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66925"/>
  <mc:AlternateContent xmlns:mc="http://schemas.openxmlformats.org/markup-compatibility/2006">
    <mc:Choice Requires="x15">
      <x15ac:absPath xmlns:x15ac="http://schemas.microsoft.com/office/spreadsheetml/2010/11/ac" url="https://nuwildcat-my.sharepoint.com/personal/jmd4525_ads_northwestern_edu/Documents/Jenna Jennifer Shared Folder/USGS/Mining &amp; Climate Change - Pathways/Climate Effects Paper/R2R 20260107/"/>
    </mc:Choice>
  </mc:AlternateContent>
  <xr:revisionPtr revIDLastSave="73" documentId="13_ncr:1_{8F2FC1C8-06BB-A843-915A-681067B9647D}" xr6:coauthVersionLast="47" xr6:coauthVersionMax="47" xr10:uidLastSave="{E01F0091-1155-1F45-8D3A-3D3DC3059EB2}"/>
  <bookViews>
    <workbookView xWindow="0" yWindow="0" windowWidth="28800" windowHeight="18000" firstSheet="2" activeTab="2" xr2:uid="{05866CE0-5E3C-264F-8870-358548908B6D}"/>
  </bookViews>
  <sheets>
    <sheet name="1. Introduction &amp; Notes" sheetId="7" r:id="rId1"/>
    <sheet name="2. Lithium Content in Resources" sheetId="4" r:id="rId2"/>
    <sheet name="3. Literature LCI Values" sheetId="3" r:id="rId3"/>
    <sheet name="4. Proposed Mine LOM &amp; Resource" sheetId="5" r:id="rId4"/>
    <sheet name="5. Proposed Mine Water Data" sheetId="8" r:id="rId5"/>
    <sheet name="6. Proposed Mine LCI Values" sheetId="29" r:id="rId6"/>
    <sheet name="7. Operating Mines Data" sheetId="14" r:id="rId7"/>
    <sheet name="8. Uncertainty Results" sheetId="33" r:id="rId8"/>
    <sheet name="9. Net Water Avail Vis" sheetId="36" r:id="rId9"/>
    <sheet name="10. Water Demand Vis" sheetId="37" r:id="rId10"/>
    <sheet name="11. Temp and Precip Change" sheetId="35" r:id="rId11"/>
    <sheet name="12. Regressions &amp; Equations" sheetId="32" r:id="rId12"/>
    <sheet name="13. Conversions" sheetId="27" r:id="rId13"/>
  </sheets>
  <definedNames>
    <definedName name="acreft">'13. Conversions'!$A$20</definedName>
    <definedName name="cubicft">'13. Conversions'!$A$19</definedName>
    <definedName name="cubicm">'13. Conversions'!$A$16</definedName>
    <definedName name="day">'13. Conversions'!$A$5</definedName>
    <definedName name="gal">'13. Conversions'!$A$18</definedName>
    <definedName name="hr">'13. Conversions'!$A$6</definedName>
    <definedName name="kg">'13. Conversions'!$A$13</definedName>
    <definedName name="lce">'13. Conversions'!$A$24</definedName>
    <definedName name="lhe">'13. Conversions'!$A$26</definedName>
    <definedName name="li">'13. Conversions'!$A$23</definedName>
    <definedName name="li2o">'13. Conversions'!$A$25</definedName>
    <definedName name="liter">'13. Conversions'!$A$17</definedName>
    <definedName name="min">'13. Conversions'!$A$7</definedName>
    <definedName name="sec">'13. Conversions'!$A$8</definedName>
    <definedName name="ston">'13. Conversions'!$A$12</definedName>
    <definedName name="ton">'13. Conversions'!$A$11</definedName>
    <definedName name="yr">'13. Conversions'!$A$4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8" l="1"/>
  <c r="H6" i="8"/>
  <c r="H7" i="8"/>
  <c r="H8" i="8"/>
  <c r="H9" i="8"/>
  <c r="H10" i="8"/>
  <c r="H11" i="8"/>
  <c r="H12" i="8"/>
  <c r="H13" i="8"/>
  <c r="H14" i="8"/>
  <c r="H15" i="8"/>
  <c r="H16" i="8"/>
  <c r="H17" i="8"/>
  <c r="H18" i="8"/>
  <c r="H19" i="8"/>
  <c r="H20" i="8"/>
  <c r="H21" i="8"/>
  <c r="H22" i="8"/>
  <c r="H23" i="8"/>
  <c r="H24" i="8"/>
  <c r="H25" i="8"/>
  <c r="H26" i="8"/>
  <c r="H27" i="8"/>
  <c r="H4" i="8"/>
  <c r="H67" i="3" l="1"/>
  <c r="H68" i="3" s="1"/>
  <c r="B141" i="37"/>
  <c r="B140" i="37"/>
  <c r="B126" i="37"/>
  <c r="B110" i="37"/>
  <c r="B115" i="37"/>
  <c r="D115" i="37"/>
  <c r="C115" i="37"/>
  <c r="D87" i="37"/>
  <c r="D92" i="37" s="1"/>
  <c r="D86" i="37" s="1"/>
  <c r="C87" i="37"/>
  <c r="C92" i="37" s="1"/>
  <c r="C86" i="37" s="1"/>
  <c r="B87" i="37"/>
  <c r="B92" i="37" s="1"/>
  <c r="Y364" i="37"/>
  <c r="X364" i="37"/>
  <c r="W364" i="37"/>
  <c r="V364" i="37"/>
  <c r="U364" i="37"/>
  <c r="T364" i="37"/>
  <c r="S364" i="37"/>
  <c r="R364" i="37"/>
  <c r="Q364" i="37"/>
  <c r="P364" i="37"/>
  <c r="O364" i="37"/>
  <c r="N364" i="37"/>
  <c r="M364" i="37"/>
  <c r="L364" i="37"/>
  <c r="K364" i="37"/>
  <c r="J364" i="37"/>
  <c r="I364" i="37"/>
  <c r="H364" i="37"/>
  <c r="G364" i="37"/>
  <c r="F364" i="37"/>
  <c r="E364" i="37"/>
  <c r="W374" i="37"/>
  <c r="Y374" i="37" s="1"/>
  <c r="T374" i="37"/>
  <c r="U374" i="37" s="1"/>
  <c r="Q374" i="37"/>
  <c r="R374" i="37" s="1"/>
  <c r="N374" i="37"/>
  <c r="K374" i="37"/>
  <c r="M374" i="37" s="1"/>
  <c r="H374" i="37"/>
  <c r="J374" i="37" s="1"/>
  <c r="E374" i="37"/>
  <c r="B374" i="37"/>
  <c r="D374" i="37" s="1"/>
  <c r="W373" i="37"/>
  <c r="Y373" i="37" s="1"/>
  <c r="T373" i="37"/>
  <c r="U373" i="37" s="1"/>
  <c r="Q373" i="37"/>
  <c r="S373" i="37" s="1"/>
  <c r="N373" i="37"/>
  <c r="K373" i="37"/>
  <c r="L373" i="37" s="1"/>
  <c r="H373" i="37"/>
  <c r="E373" i="37"/>
  <c r="G373" i="37" s="1"/>
  <c r="B373" i="37"/>
  <c r="D373" i="37" s="1"/>
  <c r="W360" i="37"/>
  <c r="Y360" i="37" s="1"/>
  <c r="T360" i="37"/>
  <c r="U360" i="37" s="1"/>
  <c r="Q360" i="37"/>
  <c r="S360" i="37" s="1"/>
  <c r="N360" i="37"/>
  <c r="K360" i="37"/>
  <c r="L360" i="37" s="1"/>
  <c r="H360" i="37"/>
  <c r="I360" i="37" s="1"/>
  <c r="E360" i="37"/>
  <c r="F360" i="37" s="1"/>
  <c r="B360" i="37"/>
  <c r="C360" i="37" s="1"/>
  <c r="W359" i="37"/>
  <c r="Y359" i="37" s="1"/>
  <c r="T359" i="37"/>
  <c r="U359" i="37" s="1"/>
  <c r="Q359" i="37"/>
  <c r="R359" i="37" s="1"/>
  <c r="N359" i="37"/>
  <c r="K359" i="37"/>
  <c r="L359" i="37" s="1"/>
  <c r="H359" i="37"/>
  <c r="J359" i="37" s="1"/>
  <c r="E359" i="37"/>
  <c r="F359" i="37" s="1"/>
  <c r="B359" i="37"/>
  <c r="D359" i="37" s="1"/>
  <c r="Y380" i="37"/>
  <c r="X380" i="37"/>
  <c r="W380" i="37"/>
  <c r="V380" i="37"/>
  <c r="U380" i="37"/>
  <c r="T380" i="37"/>
  <c r="S380" i="37"/>
  <c r="R380" i="37"/>
  <c r="Q380" i="37"/>
  <c r="P380" i="37"/>
  <c r="O380" i="37"/>
  <c r="N380" i="37"/>
  <c r="M380" i="37"/>
  <c r="L380" i="37"/>
  <c r="K380" i="37"/>
  <c r="J380" i="37"/>
  <c r="I380" i="37"/>
  <c r="H380" i="37"/>
  <c r="G380" i="37"/>
  <c r="F380" i="37"/>
  <c r="E380" i="37"/>
  <c r="Y379" i="37"/>
  <c r="X379" i="37"/>
  <c r="W379" i="37"/>
  <c r="V379" i="37"/>
  <c r="U379" i="37"/>
  <c r="T379" i="37"/>
  <c r="S379" i="37"/>
  <c r="R379" i="37"/>
  <c r="Q379" i="37"/>
  <c r="P379" i="37"/>
  <c r="O379" i="37"/>
  <c r="N379" i="37"/>
  <c r="M379" i="37"/>
  <c r="L379" i="37"/>
  <c r="K379" i="37"/>
  <c r="J379" i="37"/>
  <c r="I379" i="37"/>
  <c r="H379" i="37"/>
  <c r="G379" i="37"/>
  <c r="F379" i="37"/>
  <c r="E379" i="37"/>
  <c r="Y378" i="37"/>
  <c r="X378" i="37"/>
  <c r="W378" i="37"/>
  <c r="V378" i="37"/>
  <c r="U378" i="37"/>
  <c r="T378" i="37"/>
  <c r="S378" i="37"/>
  <c r="R378" i="37"/>
  <c r="Q378" i="37"/>
  <c r="P378" i="37"/>
  <c r="O378" i="37"/>
  <c r="N378" i="37"/>
  <c r="M378" i="37"/>
  <c r="L378" i="37"/>
  <c r="K378" i="37"/>
  <c r="J378" i="37"/>
  <c r="I378" i="37"/>
  <c r="H378" i="37"/>
  <c r="G378" i="37"/>
  <c r="F378" i="37"/>
  <c r="E378" i="37"/>
  <c r="Y377" i="37"/>
  <c r="X377" i="37"/>
  <c r="W377" i="37"/>
  <c r="V377" i="37"/>
  <c r="U377" i="37"/>
  <c r="T377" i="37"/>
  <c r="S377" i="37"/>
  <c r="R377" i="37"/>
  <c r="Q377" i="37"/>
  <c r="P377" i="37"/>
  <c r="O377" i="37"/>
  <c r="N377" i="37"/>
  <c r="M377" i="37"/>
  <c r="L377" i="37"/>
  <c r="K377" i="37"/>
  <c r="J377" i="37"/>
  <c r="I377" i="37"/>
  <c r="H377" i="37"/>
  <c r="G377" i="37"/>
  <c r="F377" i="37"/>
  <c r="E377" i="37"/>
  <c r="Y376" i="37"/>
  <c r="X376" i="37"/>
  <c r="W376" i="37"/>
  <c r="V376" i="37"/>
  <c r="U376" i="37"/>
  <c r="T376" i="37"/>
  <c r="S376" i="37"/>
  <c r="R376" i="37"/>
  <c r="Q376" i="37"/>
  <c r="P376" i="37"/>
  <c r="O376" i="37"/>
  <c r="N376" i="37"/>
  <c r="M376" i="37"/>
  <c r="L376" i="37"/>
  <c r="K376" i="37"/>
  <c r="J376" i="37"/>
  <c r="I376" i="37"/>
  <c r="H376" i="37"/>
  <c r="G376" i="37"/>
  <c r="F376" i="37"/>
  <c r="E376" i="37"/>
  <c r="Y375" i="37"/>
  <c r="X375" i="37"/>
  <c r="W375" i="37"/>
  <c r="V375" i="37"/>
  <c r="U375" i="37"/>
  <c r="T375" i="37"/>
  <c r="S375" i="37"/>
  <c r="R375" i="37"/>
  <c r="Q375" i="37"/>
  <c r="P375" i="37"/>
  <c r="O375" i="37"/>
  <c r="N375" i="37"/>
  <c r="M375" i="37"/>
  <c r="L375" i="37"/>
  <c r="K375" i="37"/>
  <c r="J375" i="37"/>
  <c r="I375" i="37"/>
  <c r="H375" i="37"/>
  <c r="G375" i="37"/>
  <c r="F375" i="37"/>
  <c r="E375" i="37"/>
  <c r="Y366" i="37"/>
  <c r="X366" i="37"/>
  <c r="W366" i="37"/>
  <c r="V366" i="37"/>
  <c r="U366" i="37"/>
  <c r="T366" i="37"/>
  <c r="S366" i="37"/>
  <c r="R366" i="37"/>
  <c r="Q366" i="37"/>
  <c r="P366" i="37"/>
  <c r="O366" i="37"/>
  <c r="N366" i="37"/>
  <c r="M366" i="37"/>
  <c r="L366" i="37"/>
  <c r="K366" i="37"/>
  <c r="J366" i="37"/>
  <c r="I366" i="37"/>
  <c r="H366" i="37"/>
  <c r="G366" i="37"/>
  <c r="F366" i="37"/>
  <c r="E366" i="37"/>
  <c r="Y365" i="37"/>
  <c r="X365" i="37"/>
  <c r="W365" i="37"/>
  <c r="V365" i="37"/>
  <c r="U365" i="37"/>
  <c r="T365" i="37"/>
  <c r="S365" i="37"/>
  <c r="R365" i="37"/>
  <c r="Q365" i="37"/>
  <c r="P365" i="37"/>
  <c r="O365" i="37"/>
  <c r="N365" i="37"/>
  <c r="M365" i="37"/>
  <c r="L365" i="37"/>
  <c r="K365" i="37"/>
  <c r="J365" i="37"/>
  <c r="I365" i="37"/>
  <c r="H365" i="37"/>
  <c r="G365" i="37"/>
  <c r="F365" i="37"/>
  <c r="E365" i="37"/>
  <c r="Y363" i="37"/>
  <c r="X363" i="37"/>
  <c r="W363" i="37"/>
  <c r="V363" i="37"/>
  <c r="U363" i="37"/>
  <c r="T363" i="37"/>
  <c r="S363" i="37"/>
  <c r="R363" i="37"/>
  <c r="Q363" i="37"/>
  <c r="P363" i="37"/>
  <c r="O363" i="37"/>
  <c r="N363" i="37"/>
  <c r="M363" i="37"/>
  <c r="L363" i="37"/>
  <c r="K363" i="37"/>
  <c r="J363" i="37"/>
  <c r="I363" i="37"/>
  <c r="H363" i="37"/>
  <c r="G363" i="37"/>
  <c r="F363" i="37"/>
  <c r="E363" i="37"/>
  <c r="Y362" i="37"/>
  <c r="X362" i="37"/>
  <c r="W362" i="37"/>
  <c r="V362" i="37"/>
  <c r="U362" i="37"/>
  <c r="T362" i="37"/>
  <c r="S362" i="37"/>
  <c r="R362" i="37"/>
  <c r="Q362" i="37"/>
  <c r="P362" i="37"/>
  <c r="O362" i="37"/>
  <c r="N362" i="37"/>
  <c r="M362" i="37"/>
  <c r="L362" i="37"/>
  <c r="K362" i="37"/>
  <c r="J362" i="37"/>
  <c r="I362" i="37"/>
  <c r="H362" i="37"/>
  <c r="G362" i="37"/>
  <c r="F362" i="37"/>
  <c r="E362" i="37"/>
  <c r="Y361" i="37"/>
  <c r="X361" i="37"/>
  <c r="W361" i="37"/>
  <c r="V361" i="37"/>
  <c r="U361" i="37"/>
  <c r="T361" i="37"/>
  <c r="S361" i="37"/>
  <c r="R361" i="37"/>
  <c r="Q361" i="37"/>
  <c r="P361" i="37"/>
  <c r="O361" i="37"/>
  <c r="N361" i="37"/>
  <c r="M361" i="37"/>
  <c r="L361" i="37"/>
  <c r="K361" i="37"/>
  <c r="J361" i="37"/>
  <c r="I361" i="37"/>
  <c r="H361" i="37"/>
  <c r="G361" i="37"/>
  <c r="F361" i="37"/>
  <c r="E361" i="37"/>
  <c r="Y381" i="37"/>
  <c r="X381" i="37"/>
  <c r="W381" i="37"/>
  <c r="V381" i="37"/>
  <c r="U381" i="37"/>
  <c r="T381" i="37"/>
  <c r="S381" i="37"/>
  <c r="R381" i="37"/>
  <c r="Q381" i="37"/>
  <c r="P381" i="37"/>
  <c r="O381" i="37"/>
  <c r="N381" i="37"/>
  <c r="M381" i="37"/>
  <c r="L381" i="37"/>
  <c r="K381" i="37"/>
  <c r="J381" i="37"/>
  <c r="I381" i="37"/>
  <c r="H381" i="37"/>
  <c r="G381" i="37"/>
  <c r="F381" i="37"/>
  <c r="E381" i="37"/>
  <c r="S374" i="37"/>
  <c r="Y367" i="37"/>
  <c r="X367" i="37"/>
  <c r="W367" i="37"/>
  <c r="V367" i="37"/>
  <c r="U367" i="37"/>
  <c r="T367" i="37"/>
  <c r="S367" i="37"/>
  <c r="R367" i="37"/>
  <c r="Q367" i="37"/>
  <c r="P367" i="37"/>
  <c r="O367" i="37"/>
  <c r="N367" i="37"/>
  <c r="M367" i="37"/>
  <c r="L367" i="37"/>
  <c r="K367" i="37"/>
  <c r="J367" i="37"/>
  <c r="I367" i="37"/>
  <c r="H367" i="37"/>
  <c r="G367" i="37"/>
  <c r="F367" i="37"/>
  <c r="E367" i="37"/>
  <c r="S359" i="37"/>
  <c r="W328" i="37"/>
  <c r="W341" i="37" s="1"/>
  <c r="T328" i="37"/>
  <c r="T341" i="37" s="1"/>
  <c r="Q328" i="37"/>
  <c r="Q341" i="37" s="1"/>
  <c r="N328" i="37"/>
  <c r="N341" i="37" s="1"/>
  <c r="K328" i="37"/>
  <c r="K341" i="37" s="1"/>
  <c r="H328" i="37"/>
  <c r="H341" i="37" s="1"/>
  <c r="E328" i="37"/>
  <c r="E341" i="37" s="1"/>
  <c r="B328" i="37"/>
  <c r="B341" i="37" s="1"/>
  <c r="W313" i="37"/>
  <c r="T313" i="37"/>
  <c r="U323" i="37" s="1"/>
  <c r="Q313" i="37"/>
  <c r="Q321" i="37" s="1"/>
  <c r="N313" i="37"/>
  <c r="N317" i="37" s="1"/>
  <c r="K313" i="37"/>
  <c r="L322" i="37" s="1"/>
  <c r="H313" i="37"/>
  <c r="J319" i="37" s="1"/>
  <c r="E313" i="37"/>
  <c r="E327" i="37" s="1"/>
  <c r="E340" i="37" s="1"/>
  <c r="E350" i="37" s="1"/>
  <c r="B313" i="37"/>
  <c r="W298" i="37"/>
  <c r="Y298" i="37" s="1"/>
  <c r="T298" i="37"/>
  <c r="V298" i="37" s="1"/>
  <c r="Q298" i="37"/>
  <c r="S298" i="37" s="1"/>
  <c r="N298" i="37"/>
  <c r="K298" i="37"/>
  <c r="M298" i="37" s="1"/>
  <c r="H298" i="37"/>
  <c r="J298" i="37" s="1"/>
  <c r="E298" i="37"/>
  <c r="B298" i="37"/>
  <c r="W297" i="37"/>
  <c r="Y297" i="37" s="1"/>
  <c r="T297" i="37"/>
  <c r="V297" i="37" s="1"/>
  <c r="Q297" i="37"/>
  <c r="R297" i="37" s="1"/>
  <c r="N297" i="37"/>
  <c r="P297" i="37" s="1"/>
  <c r="K297" i="37"/>
  <c r="H297" i="37"/>
  <c r="I297" i="37" s="1"/>
  <c r="E297" i="37"/>
  <c r="B297" i="37"/>
  <c r="P298" i="37"/>
  <c r="W284" i="37"/>
  <c r="X284" i="37" s="1"/>
  <c r="T284" i="37"/>
  <c r="V284" i="37" s="1"/>
  <c r="Q284" i="37"/>
  <c r="S284" i="37" s="1"/>
  <c r="N284" i="37"/>
  <c r="K284" i="37"/>
  <c r="M284" i="37" s="1"/>
  <c r="H284" i="37"/>
  <c r="J284" i="37" s="1"/>
  <c r="E284" i="37"/>
  <c r="B284" i="37"/>
  <c r="D284" i="37" s="1"/>
  <c r="W283" i="37"/>
  <c r="X283" i="37" s="1"/>
  <c r="T283" i="37"/>
  <c r="Q283" i="37"/>
  <c r="R283" i="37" s="1"/>
  <c r="N283" i="37"/>
  <c r="P283" i="37" s="1"/>
  <c r="K283" i="37"/>
  <c r="M283" i="37" s="1"/>
  <c r="H283" i="37"/>
  <c r="J283" i="37" s="1"/>
  <c r="E283" i="37"/>
  <c r="B283" i="37"/>
  <c r="D283" i="37" s="1"/>
  <c r="Y304" i="37"/>
  <c r="X304" i="37"/>
  <c r="W304" i="37"/>
  <c r="V304" i="37"/>
  <c r="U304" i="37"/>
  <c r="T304" i="37"/>
  <c r="S304" i="37"/>
  <c r="R304" i="37"/>
  <c r="Q304" i="37"/>
  <c r="P304" i="37"/>
  <c r="O304" i="37"/>
  <c r="N304" i="37"/>
  <c r="M304" i="37"/>
  <c r="L304" i="37"/>
  <c r="K304" i="37"/>
  <c r="J304" i="37"/>
  <c r="I304" i="37"/>
  <c r="H304" i="37"/>
  <c r="G304" i="37"/>
  <c r="F304" i="37"/>
  <c r="E304" i="37"/>
  <c r="Y303" i="37"/>
  <c r="X303" i="37"/>
  <c r="W303" i="37"/>
  <c r="V303" i="37"/>
  <c r="U303" i="37"/>
  <c r="T303" i="37"/>
  <c r="S303" i="37"/>
  <c r="R303" i="37"/>
  <c r="Q303" i="37"/>
  <c r="P303" i="37"/>
  <c r="O303" i="37"/>
  <c r="N303" i="37"/>
  <c r="M303" i="37"/>
  <c r="L303" i="37"/>
  <c r="K303" i="37"/>
  <c r="J303" i="37"/>
  <c r="I303" i="37"/>
  <c r="H303" i="37"/>
  <c r="G303" i="37"/>
  <c r="F303" i="37"/>
  <c r="E303" i="37"/>
  <c r="Y302" i="37"/>
  <c r="X302" i="37"/>
  <c r="W302" i="37"/>
  <c r="V302" i="37"/>
  <c r="U302" i="37"/>
  <c r="T302" i="37"/>
  <c r="S302" i="37"/>
  <c r="R302" i="37"/>
  <c r="Q302" i="37"/>
  <c r="P302" i="37"/>
  <c r="O302" i="37"/>
  <c r="N302" i="37"/>
  <c r="M302" i="37"/>
  <c r="L302" i="37"/>
  <c r="K302" i="37"/>
  <c r="J302" i="37"/>
  <c r="I302" i="37"/>
  <c r="H302" i="37"/>
  <c r="G302" i="37"/>
  <c r="F302" i="37"/>
  <c r="E302" i="37"/>
  <c r="Y301" i="37"/>
  <c r="X301" i="37"/>
  <c r="W301" i="37"/>
  <c r="V301" i="37"/>
  <c r="U301" i="37"/>
  <c r="T301" i="37"/>
  <c r="S301" i="37"/>
  <c r="R301" i="37"/>
  <c r="Q301" i="37"/>
  <c r="P301" i="37"/>
  <c r="O301" i="37"/>
  <c r="N301" i="37"/>
  <c r="M301" i="37"/>
  <c r="L301" i="37"/>
  <c r="K301" i="37"/>
  <c r="J301" i="37"/>
  <c r="I301" i="37"/>
  <c r="H301" i="37"/>
  <c r="G301" i="37"/>
  <c r="F301" i="37"/>
  <c r="E301" i="37"/>
  <c r="Y300" i="37"/>
  <c r="X300" i="37"/>
  <c r="W300" i="37"/>
  <c r="V300" i="37"/>
  <c r="U300" i="37"/>
  <c r="T300" i="37"/>
  <c r="S300" i="37"/>
  <c r="R300" i="37"/>
  <c r="Q300" i="37"/>
  <c r="P300" i="37"/>
  <c r="O300" i="37"/>
  <c r="N300" i="37"/>
  <c r="M300" i="37"/>
  <c r="L300" i="37"/>
  <c r="K300" i="37"/>
  <c r="J300" i="37"/>
  <c r="I300" i="37"/>
  <c r="H300" i="37"/>
  <c r="G300" i="37"/>
  <c r="F300" i="37"/>
  <c r="E300" i="37"/>
  <c r="Y299" i="37"/>
  <c r="X299" i="37"/>
  <c r="W299" i="37"/>
  <c r="V299" i="37"/>
  <c r="U299" i="37"/>
  <c r="T299" i="37"/>
  <c r="S299" i="37"/>
  <c r="R299" i="37"/>
  <c r="Q299" i="37"/>
  <c r="P299" i="37"/>
  <c r="O299" i="37"/>
  <c r="N299" i="37"/>
  <c r="M299" i="37"/>
  <c r="L299" i="37"/>
  <c r="K299" i="37"/>
  <c r="J299" i="37"/>
  <c r="I299" i="37"/>
  <c r="H299" i="37"/>
  <c r="G299" i="37"/>
  <c r="F299" i="37"/>
  <c r="E299" i="37"/>
  <c r="Y290" i="37"/>
  <c r="X290" i="37"/>
  <c r="W290" i="37"/>
  <c r="V290" i="37"/>
  <c r="U290" i="37"/>
  <c r="T290" i="37"/>
  <c r="S290" i="37"/>
  <c r="R290" i="37"/>
  <c r="Q290" i="37"/>
  <c r="P290" i="37"/>
  <c r="O290" i="37"/>
  <c r="N290" i="37"/>
  <c r="M290" i="37"/>
  <c r="L290" i="37"/>
  <c r="K290" i="37"/>
  <c r="J290" i="37"/>
  <c r="I290" i="37"/>
  <c r="H290" i="37"/>
  <c r="G290" i="37"/>
  <c r="F290" i="37"/>
  <c r="E290" i="37"/>
  <c r="Y289" i="37"/>
  <c r="X289" i="37"/>
  <c r="W289" i="37"/>
  <c r="V289" i="37"/>
  <c r="U289" i="37"/>
  <c r="T289" i="37"/>
  <c r="S289" i="37"/>
  <c r="R289" i="37"/>
  <c r="Q289" i="37"/>
  <c r="P289" i="37"/>
  <c r="O289" i="37"/>
  <c r="N289" i="37"/>
  <c r="M289" i="37"/>
  <c r="L289" i="37"/>
  <c r="K289" i="37"/>
  <c r="J289" i="37"/>
  <c r="I289" i="37"/>
  <c r="H289" i="37"/>
  <c r="G289" i="37"/>
  <c r="F289" i="37"/>
  <c r="E289" i="37"/>
  <c r="Y288" i="37"/>
  <c r="X288" i="37"/>
  <c r="W288" i="37"/>
  <c r="V288" i="37"/>
  <c r="U288" i="37"/>
  <c r="T288" i="37"/>
  <c r="S288" i="37"/>
  <c r="R288" i="37"/>
  <c r="Q288" i="37"/>
  <c r="P288" i="37"/>
  <c r="O288" i="37"/>
  <c r="N288" i="37"/>
  <c r="M288" i="37"/>
  <c r="L288" i="37"/>
  <c r="K288" i="37"/>
  <c r="J288" i="37"/>
  <c r="I288" i="37"/>
  <c r="H288" i="37"/>
  <c r="G288" i="37"/>
  <c r="F288" i="37"/>
  <c r="E288" i="37"/>
  <c r="Y287" i="37"/>
  <c r="X287" i="37"/>
  <c r="W287" i="37"/>
  <c r="V287" i="37"/>
  <c r="U287" i="37"/>
  <c r="T287" i="37"/>
  <c r="S287" i="37"/>
  <c r="R287" i="37"/>
  <c r="Q287" i="37"/>
  <c r="P287" i="37"/>
  <c r="O287" i="37"/>
  <c r="N287" i="37"/>
  <c r="M287" i="37"/>
  <c r="L287" i="37"/>
  <c r="K287" i="37"/>
  <c r="J287" i="37"/>
  <c r="I287" i="37"/>
  <c r="H287" i="37"/>
  <c r="G287" i="37"/>
  <c r="F287" i="37"/>
  <c r="E287" i="37"/>
  <c r="Y286" i="37"/>
  <c r="X286" i="37"/>
  <c r="W286" i="37"/>
  <c r="V286" i="37"/>
  <c r="U286" i="37"/>
  <c r="T286" i="37"/>
  <c r="S286" i="37"/>
  <c r="R286" i="37"/>
  <c r="Q286" i="37"/>
  <c r="P286" i="37"/>
  <c r="O286" i="37"/>
  <c r="N286" i="37"/>
  <c r="M286" i="37"/>
  <c r="L286" i="37"/>
  <c r="K286" i="37"/>
  <c r="J286" i="37"/>
  <c r="I286" i="37"/>
  <c r="H286" i="37"/>
  <c r="G286" i="37"/>
  <c r="F286" i="37"/>
  <c r="E286" i="37"/>
  <c r="Y285" i="37"/>
  <c r="X285" i="37"/>
  <c r="W285" i="37"/>
  <c r="V285" i="37"/>
  <c r="U285" i="37"/>
  <c r="T285" i="37"/>
  <c r="S285" i="37"/>
  <c r="R285" i="37"/>
  <c r="Q285" i="37"/>
  <c r="P285" i="37"/>
  <c r="O285" i="37"/>
  <c r="N285" i="37"/>
  <c r="M285" i="37"/>
  <c r="L285" i="37"/>
  <c r="K285" i="37"/>
  <c r="J285" i="37"/>
  <c r="I285" i="37"/>
  <c r="H285" i="37"/>
  <c r="G285" i="37"/>
  <c r="F285" i="37"/>
  <c r="E285" i="37"/>
  <c r="W238" i="37"/>
  <c r="Y238" i="37" s="1"/>
  <c r="Y305" i="37"/>
  <c r="X305" i="37"/>
  <c r="W305" i="37"/>
  <c r="V305" i="37"/>
  <c r="U305" i="37"/>
  <c r="T305" i="37"/>
  <c r="S305" i="37"/>
  <c r="R305" i="37"/>
  <c r="Q305" i="37"/>
  <c r="P305" i="37"/>
  <c r="O305" i="37"/>
  <c r="N305" i="37"/>
  <c r="M305" i="37"/>
  <c r="L305" i="37"/>
  <c r="K305" i="37"/>
  <c r="J305" i="37"/>
  <c r="I305" i="37"/>
  <c r="H305" i="37"/>
  <c r="G305" i="37"/>
  <c r="F305" i="37"/>
  <c r="E305" i="37"/>
  <c r="M297" i="37"/>
  <c r="L297" i="37"/>
  <c r="J297" i="37"/>
  <c r="Y291" i="37"/>
  <c r="X291" i="37"/>
  <c r="W291" i="37"/>
  <c r="V291" i="37"/>
  <c r="U291" i="37"/>
  <c r="T291" i="37"/>
  <c r="S291" i="37"/>
  <c r="R291" i="37"/>
  <c r="Q291" i="37"/>
  <c r="P291" i="37"/>
  <c r="O291" i="37"/>
  <c r="N291" i="37"/>
  <c r="M291" i="37"/>
  <c r="L291" i="37"/>
  <c r="K291" i="37"/>
  <c r="J291" i="37"/>
  <c r="I291" i="37"/>
  <c r="H291" i="37"/>
  <c r="G291" i="37"/>
  <c r="F291" i="37"/>
  <c r="E291" i="37"/>
  <c r="R284" i="37"/>
  <c r="P284" i="37"/>
  <c r="O284" i="37"/>
  <c r="V283" i="37"/>
  <c r="W252" i="37"/>
  <c r="W265" i="37" s="1"/>
  <c r="T252" i="37"/>
  <c r="T265" i="37" s="1"/>
  <c r="Q252" i="37"/>
  <c r="Q265" i="37" s="1"/>
  <c r="N252" i="37"/>
  <c r="N265" i="37" s="1"/>
  <c r="K252" i="37"/>
  <c r="K265" i="37" s="1"/>
  <c r="H252" i="37"/>
  <c r="H265" i="37" s="1"/>
  <c r="E252" i="37"/>
  <c r="E265" i="37" s="1"/>
  <c r="B252" i="37"/>
  <c r="B265" i="37" s="1"/>
  <c r="W234" i="37"/>
  <c r="W243" i="37" s="1"/>
  <c r="T234" i="37"/>
  <c r="V244" i="37" s="1"/>
  <c r="Q234" i="37"/>
  <c r="Q243" i="37" s="1"/>
  <c r="N234" i="37"/>
  <c r="P239" i="37" s="1"/>
  <c r="K234" i="37"/>
  <c r="M241" i="37" s="1"/>
  <c r="H234" i="37"/>
  <c r="H237" i="37" s="1"/>
  <c r="E234" i="37"/>
  <c r="F242" i="37" s="1"/>
  <c r="B234" i="37"/>
  <c r="B237" i="37" s="1"/>
  <c r="W219" i="37"/>
  <c r="Y219" i="37" s="1"/>
  <c r="T219" i="37"/>
  <c r="V219" i="37" s="1"/>
  <c r="Q219" i="37"/>
  <c r="R219" i="37" s="1"/>
  <c r="N219" i="37"/>
  <c r="K219" i="37"/>
  <c r="M219" i="37" s="1"/>
  <c r="H219" i="37"/>
  <c r="J219" i="37" s="1"/>
  <c r="E219" i="37"/>
  <c r="G219" i="37" s="1"/>
  <c r="B219" i="37"/>
  <c r="C219" i="37" s="1"/>
  <c r="W218" i="37"/>
  <c r="Y218" i="37" s="1"/>
  <c r="T218" i="37"/>
  <c r="V218" i="37" s="1"/>
  <c r="Q218" i="37"/>
  <c r="S218" i="37" s="1"/>
  <c r="N218" i="37"/>
  <c r="K218" i="37"/>
  <c r="M218" i="37" s="1"/>
  <c r="H218" i="37"/>
  <c r="J218" i="37" s="1"/>
  <c r="E218" i="37"/>
  <c r="G218" i="37" s="1"/>
  <c r="B218" i="37"/>
  <c r="C218" i="37" s="1"/>
  <c r="W205" i="37"/>
  <c r="Y205" i="37" s="1"/>
  <c r="T205" i="37"/>
  <c r="U205" i="37" s="1"/>
  <c r="Q205" i="37"/>
  <c r="S205" i="37" s="1"/>
  <c r="N205" i="37"/>
  <c r="K205" i="37"/>
  <c r="M205" i="37" s="1"/>
  <c r="H205" i="37"/>
  <c r="J205" i="37" s="1"/>
  <c r="E205" i="37"/>
  <c r="G205" i="37" s="1"/>
  <c r="B205" i="37"/>
  <c r="D205" i="37" s="1"/>
  <c r="W204" i="37"/>
  <c r="Y204" i="37" s="1"/>
  <c r="T204" i="37"/>
  <c r="V204" i="37" s="1"/>
  <c r="Q204" i="37"/>
  <c r="S204" i="37" s="1"/>
  <c r="N204" i="37"/>
  <c r="K204" i="37"/>
  <c r="L204" i="37" s="1"/>
  <c r="H204" i="37"/>
  <c r="J204" i="37" s="1"/>
  <c r="E204" i="37"/>
  <c r="G204" i="37" s="1"/>
  <c r="B204" i="37"/>
  <c r="D204" i="37" s="1"/>
  <c r="Y225" i="37"/>
  <c r="X225" i="37"/>
  <c r="W225" i="37"/>
  <c r="V225" i="37"/>
  <c r="U225" i="37"/>
  <c r="T225" i="37"/>
  <c r="S225" i="37"/>
  <c r="R225" i="37"/>
  <c r="Q225" i="37"/>
  <c r="P225" i="37"/>
  <c r="O225" i="37"/>
  <c r="N225" i="37"/>
  <c r="M225" i="37"/>
  <c r="L225" i="37"/>
  <c r="K225" i="37"/>
  <c r="J225" i="37"/>
  <c r="I225" i="37"/>
  <c r="H225" i="37"/>
  <c r="G225" i="37"/>
  <c r="F225" i="37"/>
  <c r="E225" i="37"/>
  <c r="Y224" i="37"/>
  <c r="X224" i="37"/>
  <c r="W224" i="37"/>
  <c r="V224" i="37"/>
  <c r="U224" i="37"/>
  <c r="T224" i="37"/>
  <c r="S224" i="37"/>
  <c r="R224" i="37"/>
  <c r="Q224" i="37"/>
  <c r="P224" i="37"/>
  <c r="O224" i="37"/>
  <c r="N224" i="37"/>
  <c r="M224" i="37"/>
  <c r="L224" i="37"/>
  <c r="K224" i="37"/>
  <c r="J224" i="37"/>
  <c r="I224" i="37"/>
  <c r="H224" i="37"/>
  <c r="G224" i="37"/>
  <c r="F224" i="37"/>
  <c r="E224" i="37"/>
  <c r="Y223" i="37"/>
  <c r="X223" i="37"/>
  <c r="W223" i="37"/>
  <c r="V223" i="37"/>
  <c r="U223" i="37"/>
  <c r="T223" i="37"/>
  <c r="S223" i="37"/>
  <c r="R223" i="37"/>
  <c r="Q223" i="37"/>
  <c r="P223" i="37"/>
  <c r="O223" i="37"/>
  <c r="N223" i="37"/>
  <c r="M223" i="37"/>
  <c r="L223" i="37"/>
  <c r="K223" i="37"/>
  <c r="J223" i="37"/>
  <c r="I223" i="37"/>
  <c r="H223" i="37"/>
  <c r="G223" i="37"/>
  <c r="F223" i="37"/>
  <c r="E223" i="37"/>
  <c r="Y222" i="37"/>
  <c r="X222" i="37"/>
  <c r="W222" i="37"/>
  <c r="V222" i="37"/>
  <c r="U222" i="37"/>
  <c r="T222" i="37"/>
  <c r="S222" i="37"/>
  <c r="R222" i="37"/>
  <c r="Q222" i="37"/>
  <c r="P222" i="37"/>
  <c r="O222" i="37"/>
  <c r="N222" i="37"/>
  <c r="M222" i="37"/>
  <c r="L222" i="37"/>
  <c r="K222" i="37"/>
  <c r="J222" i="37"/>
  <c r="I222" i="37"/>
  <c r="H222" i="37"/>
  <c r="G222" i="37"/>
  <c r="F222" i="37"/>
  <c r="E222" i="37"/>
  <c r="Y221" i="37"/>
  <c r="X221" i="37"/>
  <c r="W221" i="37"/>
  <c r="V221" i="37"/>
  <c r="U221" i="37"/>
  <c r="T221" i="37"/>
  <c r="S221" i="37"/>
  <c r="R221" i="37"/>
  <c r="Q221" i="37"/>
  <c r="P221" i="37"/>
  <c r="O221" i="37"/>
  <c r="N221" i="37"/>
  <c r="M221" i="37"/>
  <c r="L221" i="37"/>
  <c r="K221" i="37"/>
  <c r="J221" i="37"/>
  <c r="I221" i="37"/>
  <c r="H221" i="37"/>
  <c r="G221" i="37"/>
  <c r="F221" i="37"/>
  <c r="E221" i="37"/>
  <c r="Y220" i="37"/>
  <c r="X220" i="37"/>
  <c r="W220" i="37"/>
  <c r="V220" i="37"/>
  <c r="U220" i="37"/>
  <c r="T220" i="37"/>
  <c r="S220" i="37"/>
  <c r="R220" i="37"/>
  <c r="Q220" i="37"/>
  <c r="P220" i="37"/>
  <c r="O220" i="37"/>
  <c r="N220" i="37"/>
  <c r="M220" i="37"/>
  <c r="L220" i="37"/>
  <c r="K220" i="37"/>
  <c r="J220" i="37"/>
  <c r="I220" i="37"/>
  <c r="H220" i="37"/>
  <c r="G220" i="37"/>
  <c r="F220" i="37"/>
  <c r="E220" i="37"/>
  <c r="Y211" i="37"/>
  <c r="X211" i="37"/>
  <c r="W211" i="37"/>
  <c r="V211" i="37"/>
  <c r="U211" i="37"/>
  <c r="T211" i="37"/>
  <c r="S211" i="37"/>
  <c r="R211" i="37"/>
  <c r="Q211" i="37"/>
  <c r="P211" i="37"/>
  <c r="O211" i="37"/>
  <c r="N211" i="37"/>
  <c r="M211" i="37"/>
  <c r="L211" i="37"/>
  <c r="K211" i="37"/>
  <c r="J211" i="37"/>
  <c r="I211" i="37"/>
  <c r="H211" i="37"/>
  <c r="G211" i="37"/>
  <c r="F211" i="37"/>
  <c r="E211" i="37"/>
  <c r="Y210" i="37"/>
  <c r="X210" i="37"/>
  <c r="W210" i="37"/>
  <c r="V210" i="37"/>
  <c r="U210" i="37"/>
  <c r="T210" i="37"/>
  <c r="S210" i="37"/>
  <c r="R210" i="37"/>
  <c r="Q210" i="37"/>
  <c r="P210" i="37"/>
  <c r="O210" i="37"/>
  <c r="N210" i="37"/>
  <c r="M210" i="37"/>
  <c r="L210" i="37"/>
  <c r="K210" i="37"/>
  <c r="J210" i="37"/>
  <c r="I210" i="37"/>
  <c r="H210" i="37"/>
  <c r="G210" i="37"/>
  <c r="F210" i="37"/>
  <c r="E210" i="37"/>
  <c r="Y209" i="37"/>
  <c r="X209" i="37"/>
  <c r="W209" i="37"/>
  <c r="V209" i="37"/>
  <c r="U209" i="37"/>
  <c r="T209" i="37"/>
  <c r="S209" i="37"/>
  <c r="R209" i="37"/>
  <c r="Q209" i="37"/>
  <c r="P209" i="37"/>
  <c r="O209" i="37"/>
  <c r="N209" i="37"/>
  <c r="M209" i="37"/>
  <c r="L209" i="37"/>
  <c r="K209" i="37"/>
  <c r="J209" i="37"/>
  <c r="I209" i="37"/>
  <c r="H209" i="37"/>
  <c r="G209" i="37"/>
  <c r="F209" i="37"/>
  <c r="E209" i="37"/>
  <c r="Y208" i="37"/>
  <c r="X208" i="37"/>
  <c r="W208" i="37"/>
  <c r="V208" i="37"/>
  <c r="U208" i="37"/>
  <c r="T208" i="37"/>
  <c r="S208" i="37"/>
  <c r="R208" i="37"/>
  <c r="Q208" i="37"/>
  <c r="P208" i="37"/>
  <c r="O208" i="37"/>
  <c r="N208" i="37"/>
  <c r="M208" i="37"/>
  <c r="L208" i="37"/>
  <c r="K208" i="37"/>
  <c r="J208" i="37"/>
  <c r="I208" i="37"/>
  <c r="H208" i="37"/>
  <c r="G208" i="37"/>
  <c r="F208" i="37"/>
  <c r="E208" i="37"/>
  <c r="Y207" i="37"/>
  <c r="X207" i="37"/>
  <c r="W207" i="37"/>
  <c r="V207" i="37"/>
  <c r="U207" i="37"/>
  <c r="T207" i="37"/>
  <c r="S207" i="37"/>
  <c r="R207" i="37"/>
  <c r="Q207" i="37"/>
  <c r="P207" i="37"/>
  <c r="O207" i="37"/>
  <c r="N207" i="37"/>
  <c r="M207" i="37"/>
  <c r="L207" i="37"/>
  <c r="K207" i="37"/>
  <c r="J207" i="37"/>
  <c r="I207" i="37"/>
  <c r="H207" i="37"/>
  <c r="G207" i="37"/>
  <c r="F207" i="37"/>
  <c r="E207" i="37"/>
  <c r="Y206" i="37"/>
  <c r="X206" i="37"/>
  <c r="W206" i="37"/>
  <c r="V206" i="37"/>
  <c r="U206" i="37"/>
  <c r="T206" i="37"/>
  <c r="S206" i="37"/>
  <c r="R206" i="37"/>
  <c r="Q206" i="37"/>
  <c r="P206" i="37"/>
  <c r="O206" i="37"/>
  <c r="N206" i="37"/>
  <c r="M206" i="37"/>
  <c r="L206" i="37"/>
  <c r="K206" i="37"/>
  <c r="J206" i="37"/>
  <c r="I206" i="37"/>
  <c r="H206" i="37"/>
  <c r="G206" i="37"/>
  <c r="F206" i="37"/>
  <c r="E206" i="37"/>
  <c r="H160" i="37"/>
  <c r="I160" i="37" s="1"/>
  <c r="Y226" i="37"/>
  <c r="X226" i="37"/>
  <c r="W226" i="37"/>
  <c r="V226" i="37"/>
  <c r="U226" i="37"/>
  <c r="T226" i="37"/>
  <c r="S226" i="37"/>
  <c r="R226" i="37"/>
  <c r="Q226" i="37"/>
  <c r="P226" i="37"/>
  <c r="O226" i="37"/>
  <c r="N226" i="37"/>
  <c r="M226" i="37"/>
  <c r="L226" i="37"/>
  <c r="K226" i="37"/>
  <c r="J226" i="37"/>
  <c r="I226" i="37"/>
  <c r="H226" i="37"/>
  <c r="G226" i="37"/>
  <c r="F226" i="37"/>
  <c r="E226" i="37"/>
  <c r="S219" i="37"/>
  <c r="Y212" i="37"/>
  <c r="X212" i="37"/>
  <c r="W212" i="37"/>
  <c r="V212" i="37"/>
  <c r="U212" i="37"/>
  <c r="T212" i="37"/>
  <c r="S212" i="37"/>
  <c r="R212" i="37"/>
  <c r="Q212" i="37"/>
  <c r="P212" i="37"/>
  <c r="O212" i="37"/>
  <c r="N212" i="37"/>
  <c r="M212" i="37"/>
  <c r="L212" i="37"/>
  <c r="K212" i="37"/>
  <c r="J212" i="37"/>
  <c r="I212" i="37"/>
  <c r="H212" i="37"/>
  <c r="G212" i="37"/>
  <c r="F212" i="37"/>
  <c r="E212" i="37"/>
  <c r="R204" i="37"/>
  <c r="W173" i="37"/>
  <c r="W186" i="37" s="1"/>
  <c r="T173" i="37"/>
  <c r="T186" i="37" s="1"/>
  <c r="Q173" i="37"/>
  <c r="Q186" i="37" s="1"/>
  <c r="N173" i="37"/>
  <c r="N186" i="37" s="1"/>
  <c r="K173" i="37"/>
  <c r="K186" i="37" s="1"/>
  <c r="H173" i="37"/>
  <c r="H186" i="37" s="1"/>
  <c r="E173" i="37"/>
  <c r="E186" i="37" s="1"/>
  <c r="B173" i="37"/>
  <c r="B186" i="37" s="1"/>
  <c r="W156" i="37"/>
  <c r="X166" i="37" s="1"/>
  <c r="T156" i="37"/>
  <c r="T161" i="37" s="1"/>
  <c r="Q156" i="37"/>
  <c r="R165" i="37" s="1"/>
  <c r="N156" i="37"/>
  <c r="P164" i="37" s="1"/>
  <c r="K156" i="37"/>
  <c r="M164" i="37" s="1"/>
  <c r="H156" i="37"/>
  <c r="H167" i="37" s="1"/>
  <c r="E156" i="37"/>
  <c r="E172" i="37" s="1"/>
  <c r="E185" i="37" s="1"/>
  <c r="F193" i="37" s="1"/>
  <c r="B156" i="37"/>
  <c r="D165" i="37" s="1"/>
  <c r="Y147" i="37"/>
  <c r="X147" i="37"/>
  <c r="W147" i="37"/>
  <c r="V147" i="37"/>
  <c r="U147" i="37"/>
  <c r="T147" i="37"/>
  <c r="S147" i="37"/>
  <c r="R147" i="37"/>
  <c r="Q147" i="37"/>
  <c r="P147" i="37"/>
  <c r="O147" i="37"/>
  <c r="N147" i="37"/>
  <c r="M147" i="37"/>
  <c r="L147" i="37"/>
  <c r="K147" i="37"/>
  <c r="J147" i="37"/>
  <c r="I147" i="37"/>
  <c r="H147" i="37"/>
  <c r="G147" i="37"/>
  <c r="F147" i="37"/>
  <c r="E147" i="37"/>
  <c r="Y146" i="37"/>
  <c r="X146" i="37"/>
  <c r="W146" i="37"/>
  <c r="V146" i="37"/>
  <c r="U146" i="37"/>
  <c r="T146" i="37"/>
  <c r="S146" i="37"/>
  <c r="R146" i="37"/>
  <c r="Q146" i="37"/>
  <c r="P146" i="37"/>
  <c r="O146" i="37"/>
  <c r="N146" i="37"/>
  <c r="M146" i="37"/>
  <c r="L146" i="37"/>
  <c r="K146" i="37"/>
  <c r="J146" i="37"/>
  <c r="I146" i="37"/>
  <c r="H146" i="37"/>
  <c r="G146" i="37"/>
  <c r="F146" i="37"/>
  <c r="E146" i="37"/>
  <c r="Y145" i="37"/>
  <c r="X145" i="37"/>
  <c r="W145" i="37"/>
  <c r="V145" i="37"/>
  <c r="U145" i="37"/>
  <c r="T145" i="37"/>
  <c r="S145" i="37"/>
  <c r="R145" i="37"/>
  <c r="Q145" i="37"/>
  <c r="P145" i="37"/>
  <c r="O145" i="37"/>
  <c r="N145" i="37"/>
  <c r="M145" i="37"/>
  <c r="L145" i="37"/>
  <c r="K145" i="37"/>
  <c r="J145" i="37"/>
  <c r="I145" i="37"/>
  <c r="H145" i="37"/>
  <c r="G145" i="37"/>
  <c r="F145" i="37"/>
  <c r="E145" i="37"/>
  <c r="Y144" i="37"/>
  <c r="X144" i="37"/>
  <c r="W144" i="37"/>
  <c r="V144" i="37"/>
  <c r="U144" i="37"/>
  <c r="T144" i="37"/>
  <c r="S144" i="37"/>
  <c r="R144" i="37"/>
  <c r="Q144" i="37"/>
  <c r="P144" i="37"/>
  <c r="O144" i="37"/>
  <c r="N144" i="37"/>
  <c r="M144" i="37"/>
  <c r="L144" i="37"/>
  <c r="K144" i="37"/>
  <c r="J144" i="37"/>
  <c r="I144" i="37"/>
  <c r="H144" i="37"/>
  <c r="G144" i="37"/>
  <c r="F144" i="37"/>
  <c r="E144" i="37"/>
  <c r="Y143" i="37"/>
  <c r="X143" i="37"/>
  <c r="W143" i="37"/>
  <c r="V143" i="37"/>
  <c r="U143" i="37"/>
  <c r="T143" i="37"/>
  <c r="S143" i="37"/>
  <c r="R143" i="37"/>
  <c r="Q143" i="37"/>
  <c r="P143" i="37"/>
  <c r="O143" i="37"/>
  <c r="N143" i="37"/>
  <c r="M143" i="37"/>
  <c r="L143" i="37"/>
  <c r="K143" i="37"/>
  <c r="J143" i="37"/>
  <c r="I143" i="37"/>
  <c r="H143" i="37"/>
  <c r="G143" i="37"/>
  <c r="F143" i="37"/>
  <c r="E143" i="37"/>
  <c r="Y142" i="37"/>
  <c r="X142" i="37"/>
  <c r="W142" i="37"/>
  <c r="V142" i="37"/>
  <c r="U142" i="37"/>
  <c r="T142" i="37"/>
  <c r="S142" i="37"/>
  <c r="R142" i="37"/>
  <c r="Q142" i="37"/>
  <c r="P142" i="37"/>
  <c r="O142" i="37"/>
  <c r="N142" i="37"/>
  <c r="M142" i="37"/>
  <c r="L142" i="37"/>
  <c r="K142" i="37"/>
  <c r="J142" i="37"/>
  <c r="I142" i="37"/>
  <c r="H142" i="37"/>
  <c r="G142" i="37"/>
  <c r="F142" i="37"/>
  <c r="E142" i="37"/>
  <c r="W141" i="37"/>
  <c r="Y141" i="37" s="1"/>
  <c r="T141" i="37"/>
  <c r="V141" i="37" s="1"/>
  <c r="Q141" i="37"/>
  <c r="S141" i="37" s="1"/>
  <c r="N141" i="37"/>
  <c r="P141" i="37" s="1"/>
  <c r="K141" i="37"/>
  <c r="M141" i="37" s="1"/>
  <c r="H141" i="37"/>
  <c r="J141" i="37" s="1"/>
  <c r="E141" i="37"/>
  <c r="G141" i="37" s="1"/>
  <c r="W140" i="37"/>
  <c r="T140" i="37"/>
  <c r="V140" i="37" s="1"/>
  <c r="Q140" i="37"/>
  <c r="S140" i="37" s="1"/>
  <c r="N140" i="37"/>
  <c r="P140" i="37" s="1"/>
  <c r="K140" i="37"/>
  <c r="M140" i="37" s="1"/>
  <c r="H140" i="37"/>
  <c r="E140" i="37"/>
  <c r="F140" i="37" s="1"/>
  <c r="I132" i="37"/>
  <c r="Y133" i="37"/>
  <c r="X133" i="37"/>
  <c r="W133" i="37"/>
  <c r="V133" i="37"/>
  <c r="U133" i="37"/>
  <c r="T133" i="37"/>
  <c r="S133" i="37"/>
  <c r="R133" i="37"/>
  <c r="Q133" i="37"/>
  <c r="P133" i="37"/>
  <c r="O133" i="37"/>
  <c r="N133" i="37"/>
  <c r="M133" i="37"/>
  <c r="L133" i="37"/>
  <c r="K133" i="37"/>
  <c r="J133" i="37"/>
  <c r="I133" i="37"/>
  <c r="H133" i="37"/>
  <c r="G133" i="37"/>
  <c r="F133" i="37"/>
  <c r="E133" i="37"/>
  <c r="Y132" i="37"/>
  <c r="X132" i="37"/>
  <c r="W132" i="37"/>
  <c r="V132" i="37"/>
  <c r="U132" i="37"/>
  <c r="T132" i="37"/>
  <c r="S132" i="37"/>
  <c r="R132" i="37"/>
  <c r="Q132" i="37"/>
  <c r="P132" i="37"/>
  <c r="O132" i="37"/>
  <c r="N132" i="37"/>
  <c r="M132" i="37"/>
  <c r="L132" i="37"/>
  <c r="K132" i="37"/>
  <c r="J132" i="37"/>
  <c r="H132" i="37"/>
  <c r="G132" i="37"/>
  <c r="F132" i="37"/>
  <c r="E132" i="37"/>
  <c r="Y131" i="37"/>
  <c r="X131" i="37"/>
  <c r="W131" i="37"/>
  <c r="V131" i="37"/>
  <c r="U131" i="37"/>
  <c r="T131" i="37"/>
  <c r="S131" i="37"/>
  <c r="R131" i="37"/>
  <c r="Q131" i="37"/>
  <c r="P131" i="37"/>
  <c r="O131" i="37"/>
  <c r="N131" i="37"/>
  <c r="M131" i="37"/>
  <c r="L131" i="37"/>
  <c r="K131" i="37"/>
  <c r="J131" i="37"/>
  <c r="I131" i="37"/>
  <c r="H131" i="37"/>
  <c r="G131" i="37"/>
  <c r="F131" i="37"/>
  <c r="E131" i="37"/>
  <c r="Y130" i="37"/>
  <c r="X130" i="37"/>
  <c r="W130" i="37"/>
  <c r="V130" i="37"/>
  <c r="U130" i="37"/>
  <c r="T130" i="37"/>
  <c r="S130" i="37"/>
  <c r="R130" i="37"/>
  <c r="Q130" i="37"/>
  <c r="P130" i="37"/>
  <c r="O130" i="37"/>
  <c r="N130" i="37"/>
  <c r="M130" i="37"/>
  <c r="L130" i="37"/>
  <c r="K130" i="37"/>
  <c r="J130" i="37"/>
  <c r="I130" i="37"/>
  <c r="H130" i="37"/>
  <c r="G130" i="37"/>
  <c r="F130" i="37"/>
  <c r="E130" i="37"/>
  <c r="Y129" i="37"/>
  <c r="X129" i="37"/>
  <c r="W129" i="37"/>
  <c r="V129" i="37"/>
  <c r="U129" i="37"/>
  <c r="T129" i="37"/>
  <c r="S129" i="37"/>
  <c r="R129" i="37"/>
  <c r="Q129" i="37"/>
  <c r="P129" i="37"/>
  <c r="O129" i="37"/>
  <c r="N129" i="37"/>
  <c r="M129" i="37"/>
  <c r="L129" i="37"/>
  <c r="K129" i="37"/>
  <c r="J129" i="37"/>
  <c r="I129" i="37"/>
  <c r="H129" i="37"/>
  <c r="G129" i="37"/>
  <c r="F129" i="37"/>
  <c r="E129" i="37"/>
  <c r="Y128" i="37"/>
  <c r="X128" i="37"/>
  <c r="W128" i="37"/>
  <c r="V128" i="37"/>
  <c r="U128" i="37"/>
  <c r="T128" i="37"/>
  <c r="S128" i="37"/>
  <c r="R128" i="37"/>
  <c r="Q128" i="37"/>
  <c r="P128" i="37"/>
  <c r="O128" i="37"/>
  <c r="N128" i="37"/>
  <c r="M128" i="37"/>
  <c r="L128" i="37"/>
  <c r="K128" i="37"/>
  <c r="J128" i="37"/>
  <c r="I128" i="37"/>
  <c r="H128" i="37"/>
  <c r="G128" i="37"/>
  <c r="F128" i="37"/>
  <c r="E128" i="37"/>
  <c r="W127" i="37"/>
  <c r="Y127" i="37" s="1"/>
  <c r="W126" i="37"/>
  <c r="T127" i="37"/>
  <c r="V127" i="37" s="1"/>
  <c r="T126" i="37"/>
  <c r="U126" i="37" s="1"/>
  <c r="Q127" i="37"/>
  <c r="S127" i="37" s="1"/>
  <c r="Q126" i="37"/>
  <c r="S126" i="37" s="1"/>
  <c r="N127" i="37"/>
  <c r="P127" i="37" s="1"/>
  <c r="N126" i="37"/>
  <c r="K127" i="37"/>
  <c r="M127" i="37" s="1"/>
  <c r="K126" i="37"/>
  <c r="M126" i="37" s="1"/>
  <c r="H127" i="37"/>
  <c r="J127" i="37" s="1"/>
  <c r="H126" i="37"/>
  <c r="J126" i="37" s="1"/>
  <c r="E127" i="37"/>
  <c r="G127" i="37" s="1"/>
  <c r="E126" i="37"/>
  <c r="B127" i="37"/>
  <c r="D127" i="37" s="1"/>
  <c r="D126" i="37"/>
  <c r="Y134" i="37"/>
  <c r="X134" i="37"/>
  <c r="W134" i="37"/>
  <c r="V134" i="37"/>
  <c r="U134" i="37"/>
  <c r="T134" i="37"/>
  <c r="S134" i="37"/>
  <c r="R134" i="37"/>
  <c r="Q134" i="37"/>
  <c r="P134" i="37"/>
  <c r="O134" i="37"/>
  <c r="N134" i="37"/>
  <c r="M134" i="37"/>
  <c r="L134" i="37"/>
  <c r="K134" i="37"/>
  <c r="J134" i="37"/>
  <c r="I134" i="37"/>
  <c r="H134" i="37"/>
  <c r="G134" i="37"/>
  <c r="F134" i="37"/>
  <c r="E134" i="37"/>
  <c r="F87" i="37"/>
  <c r="Y148" i="37"/>
  <c r="X148" i="37"/>
  <c r="W148" i="37"/>
  <c r="V148" i="37"/>
  <c r="U148" i="37"/>
  <c r="T148" i="37"/>
  <c r="S148" i="37"/>
  <c r="R148" i="37"/>
  <c r="Q148" i="37"/>
  <c r="P148" i="37"/>
  <c r="O148" i="37"/>
  <c r="N148" i="37"/>
  <c r="M148" i="37"/>
  <c r="L148" i="37"/>
  <c r="K148" i="37"/>
  <c r="J148" i="37"/>
  <c r="I148" i="37"/>
  <c r="H148" i="37"/>
  <c r="G148" i="37"/>
  <c r="F148" i="37"/>
  <c r="E148" i="37"/>
  <c r="W95" i="37"/>
  <c r="W108" i="37" s="1"/>
  <c r="T95" i="37"/>
  <c r="T108" i="37" s="1"/>
  <c r="Q95" i="37"/>
  <c r="Q108" i="37" s="1"/>
  <c r="N95" i="37"/>
  <c r="N108" i="37" s="1"/>
  <c r="K95" i="37"/>
  <c r="K108" i="37" s="1"/>
  <c r="H95" i="37"/>
  <c r="H108" i="37" s="1"/>
  <c r="E95" i="37"/>
  <c r="E108" i="37" s="1"/>
  <c r="B95" i="37"/>
  <c r="B108" i="37" s="1"/>
  <c r="W79" i="37"/>
  <c r="Y86" i="37" s="1"/>
  <c r="T79" i="37"/>
  <c r="T84" i="37" s="1"/>
  <c r="Q79" i="37"/>
  <c r="Q88" i="37" s="1"/>
  <c r="N79" i="37"/>
  <c r="N84" i="37" s="1"/>
  <c r="K79" i="37"/>
  <c r="M86" i="37" s="1"/>
  <c r="H79" i="37"/>
  <c r="J86" i="37" s="1"/>
  <c r="E79" i="37"/>
  <c r="E84" i="37" s="1"/>
  <c r="B79" i="37"/>
  <c r="H4" i="37"/>
  <c r="I14" i="37" s="1"/>
  <c r="K4" i="37"/>
  <c r="M9" i="37" s="1"/>
  <c r="N4" i="37"/>
  <c r="P9" i="37" s="1"/>
  <c r="Q4" i="37"/>
  <c r="S15" i="37" s="1"/>
  <c r="T4" i="37"/>
  <c r="V9" i="37" s="1"/>
  <c r="W4" i="37"/>
  <c r="Y14" i="37" s="1"/>
  <c r="B4" i="37"/>
  <c r="C14" i="37" s="1"/>
  <c r="E4" i="37"/>
  <c r="E7" i="37" s="1"/>
  <c r="G7" i="37" s="1"/>
  <c r="K58" i="37"/>
  <c r="Y72" i="37"/>
  <c r="X72" i="37"/>
  <c r="W72" i="37"/>
  <c r="V72" i="37"/>
  <c r="U72" i="37"/>
  <c r="T72" i="37"/>
  <c r="S72" i="37"/>
  <c r="R72" i="37"/>
  <c r="Q72" i="37"/>
  <c r="P72" i="37"/>
  <c r="O72" i="37"/>
  <c r="N72" i="37"/>
  <c r="M72" i="37"/>
  <c r="L72" i="37"/>
  <c r="K72" i="37"/>
  <c r="J72" i="37"/>
  <c r="I72" i="37"/>
  <c r="H72" i="37"/>
  <c r="G72" i="37"/>
  <c r="F72" i="37"/>
  <c r="E72" i="37"/>
  <c r="Y58" i="37"/>
  <c r="X58" i="37"/>
  <c r="W58" i="37"/>
  <c r="V58" i="37"/>
  <c r="U58" i="37"/>
  <c r="T58" i="37"/>
  <c r="S58" i="37"/>
  <c r="R58" i="37"/>
  <c r="Q58" i="37"/>
  <c r="P58" i="37"/>
  <c r="O58" i="37"/>
  <c r="N58" i="37"/>
  <c r="M58" i="37"/>
  <c r="L58" i="37"/>
  <c r="J58" i="37"/>
  <c r="I58" i="37"/>
  <c r="H58" i="37"/>
  <c r="G58" i="37"/>
  <c r="F58" i="37"/>
  <c r="E58" i="37"/>
  <c r="E19" i="37"/>
  <c r="E32" i="37" s="1"/>
  <c r="H19" i="37"/>
  <c r="H32" i="37" s="1"/>
  <c r="K19" i="37"/>
  <c r="K32" i="37" s="1"/>
  <c r="N19" i="37"/>
  <c r="N32" i="37" s="1"/>
  <c r="Q19" i="37"/>
  <c r="Q32" i="37" s="1"/>
  <c r="T19" i="37"/>
  <c r="T32" i="37" s="1"/>
  <c r="W19" i="37"/>
  <c r="W32" i="37" s="1"/>
  <c r="B19" i="37"/>
  <c r="B32" i="37" s="1"/>
  <c r="Y71" i="37"/>
  <c r="X71" i="37"/>
  <c r="W71" i="37"/>
  <c r="V71" i="37"/>
  <c r="U71" i="37"/>
  <c r="T71" i="37"/>
  <c r="S71" i="37"/>
  <c r="R71" i="37"/>
  <c r="Q71" i="37"/>
  <c r="P71" i="37"/>
  <c r="O71" i="37"/>
  <c r="N71" i="37"/>
  <c r="M71" i="37"/>
  <c r="L71" i="37"/>
  <c r="K71" i="37"/>
  <c r="J71" i="37"/>
  <c r="I71" i="37"/>
  <c r="H71" i="37"/>
  <c r="G71" i="37"/>
  <c r="F71" i="37"/>
  <c r="E71" i="37"/>
  <c r="Y70" i="37"/>
  <c r="X70" i="37"/>
  <c r="W70" i="37"/>
  <c r="V70" i="37"/>
  <c r="U70" i="37"/>
  <c r="T70" i="37"/>
  <c r="S70" i="37"/>
  <c r="R70" i="37"/>
  <c r="Q70" i="37"/>
  <c r="P70" i="37"/>
  <c r="O70" i="37"/>
  <c r="N70" i="37"/>
  <c r="M70" i="37"/>
  <c r="L70" i="37"/>
  <c r="K70" i="37"/>
  <c r="J70" i="37"/>
  <c r="I70" i="37"/>
  <c r="H70" i="37"/>
  <c r="G70" i="37"/>
  <c r="F70" i="37"/>
  <c r="E70" i="37"/>
  <c r="Y69" i="37"/>
  <c r="X69" i="37"/>
  <c r="W69" i="37"/>
  <c r="V69" i="37"/>
  <c r="U69" i="37"/>
  <c r="T69" i="37"/>
  <c r="S69" i="37"/>
  <c r="R69" i="37"/>
  <c r="Q69" i="37"/>
  <c r="P69" i="37"/>
  <c r="O69" i="37"/>
  <c r="N69" i="37"/>
  <c r="M69" i="37"/>
  <c r="L69" i="37"/>
  <c r="K69" i="37"/>
  <c r="J69" i="37"/>
  <c r="I69" i="37"/>
  <c r="H69" i="37"/>
  <c r="G69" i="37"/>
  <c r="F69" i="37"/>
  <c r="E69" i="37"/>
  <c r="Y68" i="37"/>
  <c r="X68" i="37"/>
  <c r="W68" i="37"/>
  <c r="V68" i="37"/>
  <c r="U68" i="37"/>
  <c r="T68" i="37"/>
  <c r="S68" i="37"/>
  <c r="R68" i="37"/>
  <c r="Q68" i="37"/>
  <c r="P68" i="37"/>
  <c r="O68" i="37"/>
  <c r="N68" i="37"/>
  <c r="M68" i="37"/>
  <c r="L68" i="37"/>
  <c r="K68" i="37"/>
  <c r="J68" i="37"/>
  <c r="I68" i="37"/>
  <c r="H68" i="37"/>
  <c r="G68" i="37"/>
  <c r="F68" i="37"/>
  <c r="E68" i="37"/>
  <c r="Y67" i="37"/>
  <c r="X67" i="37"/>
  <c r="W67" i="37"/>
  <c r="V67" i="37"/>
  <c r="U67" i="37"/>
  <c r="T67" i="37"/>
  <c r="S67" i="37"/>
  <c r="R67" i="37"/>
  <c r="Q67" i="37"/>
  <c r="P67" i="37"/>
  <c r="O67" i="37"/>
  <c r="N67" i="37"/>
  <c r="M67" i="37"/>
  <c r="L67" i="37"/>
  <c r="K67" i="37"/>
  <c r="J67" i="37"/>
  <c r="I67" i="37"/>
  <c r="H67" i="37"/>
  <c r="G67" i="37"/>
  <c r="F67" i="37"/>
  <c r="E67" i="37"/>
  <c r="Y66" i="37"/>
  <c r="X66" i="37"/>
  <c r="W66" i="37"/>
  <c r="V66" i="37"/>
  <c r="U66" i="37"/>
  <c r="T66" i="37"/>
  <c r="S66" i="37"/>
  <c r="R66" i="37"/>
  <c r="Q66" i="37"/>
  <c r="P66" i="37"/>
  <c r="O66" i="37"/>
  <c r="N66" i="37"/>
  <c r="M66" i="37"/>
  <c r="L66" i="37"/>
  <c r="K66" i="37"/>
  <c r="J66" i="37"/>
  <c r="I66" i="37"/>
  <c r="H66" i="37"/>
  <c r="G66" i="37"/>
  <c r="F66" i="37"/>
  <c r="E66" i="37"/>
  <c r="W65" i="37"/>
  <c r="Y65" i="37" s="1"/>
  <c r="T65" i="37"/>
  <c r="V65" i="37" s="1"/>
  <c r="Q65" i="37"/>
  <c r="S65" i="37" s="1"/>
  <c r="N65" i="37"/>
  <c r="P65" i="37" s="1"/>
  <c r="K65" i="37"/>
  <c r="L65" i="37" s="1"/>
  <c r="H65" i="37"/>
  <c r="J65" i="37" s="1"/>
  <c r="E65" i="37"/>
  <c r="F65" i="37" s="1"/>
  <c r="B65" i="37"/>
  <c r="D65" i="37" s="1"/>
  <c r="W64" i="37"/>
  <c r="Y64" i="37" s="1"/>
  <c r="T64" i="37"/>
  <c r="V64" i="37" s="1"/>
  <c r="Q64" i="37"/>
  <c r="S64" i="37" s="1"/>
  <c r="N64" i="37"/>
  <c r="P64" i="37" s="1"/>
  <c r="K64" i="37"/>
  <c r="M64" i="37" s="1"/>
  <c r="H64" i="37"/>
  <c r="J64" i="37" s="1"/>
  <c r="E64" i="37"/>
  <c r="G64" i="37" s="1"/>
  <c r="B64" i="37"/>
  <c r="D64" i="37" s="1"/>
  <c r="Y57" i="37"/>
  <c r="X57" i="37"/>
  <c r="W57" i="37"/>
  <c r="V57" i="37"/>
  <c r="U57" i="37"/>
  <c r="T57" i="37"/>
  <c r="S57" i="37"/>
  <c r="R57" i="37"/>
  <c r="Q57" i="37"/>
  <c r="P57" i="37"/>
  <c r="L57" i="37"/>
  <c r="K57" i="37"/>
  <c r="J57" i="37"/>
  <c r="H57" i="37"/>
  <c r="Y56" i="37"/>
  <c r="X56" i="37"/>
  <c r="W56" i="37"/>
  <c r="V56" i="37"/>
  <c r="U56" i="37"/>
  <c r="T56" i="37"/>
  <c r="S56" i="37"/>
  <c r="R56" i="37"/>
  <c r="Q56" i="37"/>
  <c r="P56" i="37"/>
  <c r="L56" i="37"/>
  <c r="K56" i="37"/>
  <c r="J56" i="37"/>
  <c r="H56" i="37"/>
  <c r="Y55" i="37"/>
  <c r="X55" i="37"/>
  <c r="W55" i="37"/>
  <c r="V55" i="37"/>
  <c r="U55" i="37"/>
  <c r="T55" i="37"/>
  <c r="S55" i="37"/>
  <c r="R55" i="37"/>
  <c r="Q55" i="37"/>
  <c r="P55" i="37"/>
  <c r="L55" i="37"/>
  <c r="K55" i="37"/>
  <c r="J55" i="37"/>
  <c r="H55" i="37"/>
  <c r="Y54" i="37"/>
  <c r="X54" i="37"/>
  <c r="W54" i="37"/>
  <c r="V54" i="37"/>
  <c r="U54" i="37"/>
  <c r="T54" i="37"/>
  <c r="S54" i="37"/>
  <c r="R54" i="37"/>
  <c r="Q54" i="37"/>
  <c r="P54" i="37"/>
  <c r="L54" i="37"/>
  <c r="K54" i="37"/>
  <c r="J54" i="37"/>
  <c r="I54" i="37"/>
  <c r="H54" i="37"/>
  <c r="G54" i="37"/>
  <c r="F54" i="37"/>
  <c r="E54" i="37"/>
  <c r="Y53" i="37"/>
  <c r="X53" i="37"/>
  <c r="W53" i="37"/>
  <c r="V53" i="37"/>
  <c r="U53" i="37"/>
  <c r="T53" i="37"/>
  <c r="S53" i="37"/>
  <c r="R53" i="37"/>
  <c r="Q53" i="37"/>
  <c r="P53" i="37"/>
  <c r="L53" i="37"/>
  <c r="K53" i="37"/>
  <c r="J53" i="37"/>
  <c r="I53" i="37"/>
  <c r="H53" i="37"/>
  <c r="G53" i="37"/>
  <c r="F53" i="37"/>
  <c r="E53" i="37"/>
  <c r="Y52" i="37"/>
  <c r="X52" i="37"/>
  <c r="W52" i="37"/>
  <c r="V52" i="37"/>
  <c r="U52" i="37"/>
  <c r="T52" i="37"/>
  <c r="S52" i="37"/>
  <c r="R52" i="37"/>
  <c r="Q52" i="37"/>
  <c r="P52" i="37"/>
  <c r="L52" i="37"/>
  <c r="K52" i="37"/>
  <c r="J52" i="37"/>
  <c r="I52" i="37"/>
  <c r="H52" i="37"/>
  <c r="G52" i="37"/>
  <c r="F52" i="37"/>
  <c r="E52" i="37"/>
  <c r="W51" i="37"/>
  <c r="Y51" i="37" s="1"/>
  <c r="T51" i="37"/>
  <c r="V51" i="37" s="1"/>
  <c r="Q51" i="37"/>
  <c r="S51" i="37" s="1"/>
  <c r="K51" i="37"/>
  <c r="M51" i="37" s="1"/>
  <c r="H51" i="37"/>
  <c r="I51" i="37" s="1"/>
  <c r="E51" i="37"/>
  <c r="G51" i="37" s="1"/>
  <c r="B51" i="37"/>
  <c r="C51" i="37" s="1"/>
  <c r="W50" i="37"/>
  <c r="Y50" i="37" s="1"/>
  <c r="T50" i="37"/>
  <c r="V50" i="37" s="1"/>
  <c r="Q50" i="37"/>
  <c r="S50" i="37" s="1"/>
  <c r="K50" i="37"/>
  <c r="M50" i="37" s="1"/>
  <c r="H50" i="37"/>
  <c r="I50" i="37" s="1"/>
  <c r="E50" i="37"/>
  <c r="G50" i="37" s="1"/>
  <c r="B50" i="37"/>
  <c r="C50" i="37" s="1"/>
  <c r="N438" i="33"/>
  <c r="U8" i="36"/>
  <c r="BA86" i="36"/>
  <c r="AZ86" i="36"/>
  <c r="AY86" i="36"/>
  <c r="AX86" i="36"/>
  <c r="BA85" i="36"/>
  <c r="AZ85" i="36"/>
  <c r="AY85" i="36"/>
  <c r="AX85" i="36"/>
  <c r="BA84" i="36"/>
  <c r="AZ84" i="36"/>
  <c r="AY84" i="36"/>
  <c r="AX84" i="36"/>
  <c r="AW86" i="36"/>
  <c r="AV86" i="36"/>
  <c r="AU86" i="36"/>
  <c r="AT86" i="36"/>
  <c r="AW85" i="36"/>
  <c r="AV85" i="36"/>
  <c r="AU85" i="36"/>
  <c r="AT85" i="36"/>
  <c r="AW84" i="36"/>
  <c r="AV84" i="36"/>
  <c r="AU84" i="36"/>
  <c r="AT84" i="36"/>
  <c r="AS86" i="36"/>
  <c r="AR86" i="36"/>
  <c r="AQ86" i="36"/>
  <c r="AP86" i="36"/>
  <c r="AS85" i="36"/>
  <c r="AR85" i="36"/>
  <c r="AQ85" i="36"/>
  <c r="AP85" i="36"/>
  <c r="AS84" i="36"/>
  <c r="AR84" i="36"/>
  <c r="AQ84" i="36"/>
  <c r="AP84" i="36"/>
  <c r="AO86" i="36"/>
  <c r="AN86" i="36"/>
  <c r="AM86" i="36"/>
  <c r="AL86" i="36"/>
  <c r="AO85" i="36"/>
  <c r="AN85" i="36"/>
  <c r="AM85" i="36"/>
  <c r="AL85" i="36"/>
  <c r="AO84" i="36"/>
  <c r="AN84" i="36"/>
  <c r="AM84" i="36"/>
  <c r="AL84" i="36"/>
  <c r="AK86" i="36"/>
  <c r="AJ86" i="36"/>
  <c r="AI86" i="36"/>
  <c r="AH86" i="36"/>
  <c r="AK85" i="36"/>
  <c r="AJ85" i="36"/>
  <c r="AI85" i="36"/>
  <c r="AH85" i="36"/>
  <c r="AK84" i="36"/>
  <c r="AJ84" i="36"/>
  <c r="AI84" i="36"/>
  <c r="AH84" i="36"/>
  <c r="AG86" i="36"/>
  <c r="AF86" i="36"/>
  <c r="AE86" i="36"/>
  <c r="AD86" i="36"/>
  <c r="AG85" i="36"/>
  <c r="AF85" i="36"/>
  <c r="AE85" i="36"/>
  <c r="AD85" i="36"/>
  <c r="AG84" i="36"/>
  <c r="AF84" i="36"/>
  <c r="AE84" i="36"/>
  <c r="AD84" i="36"/>
  <c r="AC86" i="36"/>
  <c r="AB86" i="36"/>
  <c r="AA86" i="36"/>
  <c r="Z86" i="36"/>
  <c r="AC85" i="36"/>
  <c r="AB85" i="36"/>
  <c r="AA85" i="36"/>
  <c r="Z85" i="36"/>
  <c r="AC84" i="36"/>
  <c r="AB84" i="36"/>
  <c r="AA84" i="36"/>
  <c r="Z84" i="36"/>
  <c r="Y86" i="36"/>
  <c r="X86" i="36"/>
  <c r="W86" i="36"/>
  <c r="V86" i="36"/>
  <c r="Y85" i="36"/>
  <c r="X85" i="36"/>
  <c r="W85" i="36"/>
  <c r="V85" i="36"/>
  <c r="Y84" i="36"/>
  <c r="X84" i="36"/>
  <c r="W84" i="36"/>
  <c r="V84" i="36"/>
  <c r="U86" i="36"/>
  <c r="T86" i="36"/>
  <c r="S86" i="36"/>
  <c r="R86" i="36"/>
  <c r="U85" i="36"/>
  <c r="T85" i="36"/>
  <c r="S85" i="36"/>
  <c r="R85" i="36"/>
  <c r="U84" i="36"/>
  <c r="T84" i="36"/>
  <c r="S84" i="36"/>
  <c r="R84" i="36"/>
  <c r="Q86" i="36"/>
  <c r="P86" i="36"/>
  <c r="O86" i="36"/>
  <c r="N86" i="36"/>
  <c r="Q85" i="36"/>
  <c r="P85" i="36"/>
  <c r="O85" i="36"/>
  <c r="N85" i="36"/>
  <c r="Q84" i="36"/>
  <c r="P84" i="36"/>
  <c r="O84" i="36"/>
  <c r="N84" i="36"/>
  <c r="M86" i="36"/>
  <c r="L86" i="36"/>
  <c r="K86" i="36"/>
  <c r="J86" i="36"/>
  <c r="M85" i="36"/>
  <c r="L85" i="36"/>
  <c r="K85" i="36"/>
  <c r="J85" i="36"/>
  <c r="M84" i="36"/>
  <c r="L84" i="36"/>
  <c r="K84" i="36"/>
  <c r="J84" i="36"/>
  <c r="I86" i="36"/>
  <c r="H86" i="36"/>
  <c r="G86" i="36"/>
  <c r="F86" i="36"/>
  <c r="I85" i="36"/>
  <c r="H85" i="36"/>
  <c r="G85" i="36"/>
  <c r="F85" i="36"/>
  <c r="I84" i="36"/>
  <c r="H84" i="36"/>
  <c r="G84" i="36"/>
  <c r="F84" i="36"/>
  <c r="E86" i="36"/>
  <c r="E85" i="36"/>
  <c r="E84" i="36"/>
  <c r="D86" i="36"/>
  <c r="D85" i="36"/>
  <c r="D84" i="36"/>
  <c r="C86" i="36"/>
  <c r="C85" i="36"/>
  <c r="C84" i="36"/>
  <c r="B86" i="36"/>
  <c r="B85" i="36"/>
  <c r="B84" i="36"/>
  <c r="BA67" i="36"/>
  <c r="AZ67" i="36"/>
  <c r="AY67" i="36"/>
  <c r="AX67" i="36"/>
  <c r="BA66" i="36"/>
  <c r="AZ66" i="36"/>
  <c r="AY66" i="36"/>
  <c r="AX66" i="36"/>
  <c r="BA65" i="36"/>
  <c r="AZ65" i="36"/>
  <c r="AY65" i="36"/>
  <c r="AX65" i="36"/>
  <c r="AW67" i="36"/>
  <c r="AV67" i="36"/>
  <c r="AU67" i="36"/>
  <c r="AT67" i="36"/>
  <c r="AW66" i="36"/>
  <c r="AV66" i="36"/>
  <c r="AU66" i="36"/>
  <c r="AT66" i="36"/>
  <c r="AW65" i="36"/>
  <c r="AV65" i="36"/>
  <c r="AU65" i="36"/>
  <c r="AT65" i="36"/>
  <c r="AS67" i="36"/>
  <c r="AR67" i="36"/>
  <c r="AQ67" i="36"/>
  <c r="AP67" i="36"/>
  <c r="AS66" i="36"/>
  <c r="AR66" i="36"/>
  <c r="AQ66" i="36"/>
  <c r="AP66" i="36"/>
  <c r="AS65" i="36"/>
  <c r="AR65" i="36"/>
  <c r="AQ65" i="36"/>
  <c r="AP65" i="36"/>
  <c r="AO67" i="36"/>
  <c r="AN67" i="36"/>
  <c r="AM67" i="36"/>
  <c r="AL67" i="36"/>
  <c r="AO66" i="36"/>
  <c r="AN66" i="36"/>
  <c r="AM66" i="36"/>
  <c r="AL66" i="36"/>
  <c r="AO65" i="36"/>
  <c r="AN65" i="36"/>
  <c r="AM65" i="36"/>
  <c r="AL65" i="36"/>
  <c r="AK67" i="36"/>
  <c r="AJ67" i="36"/>
  <c r="AI67" i="36"/>
  <c r="AH67" i="36"/>
  <c r="AK66" i="36"/>
  <c r="AJ66" i="36"/>
  <c r="AI66" i="36"/>
  <c r="AH66" i="36"/>
  <c r="AK65" i="36"/>
  <c r="AJ65" i="36"/>
  <c r="AI65" i="36"/>
  <c r="AH65" i="36"/>
  <c r="AG67" i="36"/>
  <c r="AF67" i="36"/>
  <c r="AE67" i="36"/>
  <c r="AD67" i="36"/>
  <c r="AG66" i="36"/>
  <c r="AF66" i="36"/>
  <c r="AE66" i="36"/>
  <c r="AD66" i="36"/>
  <c r="AG65" i="36"/>
  <c r="AF65" i="36"/>
  <c r="AE65" i="36"/>
  <c r="AD65" i="36"/>
  <c r="AC67" i="36"/>
  <c r="AB67" i="36"/>
  <c r="AA67" i="36"/>
  <c r="Z67" i="36"/>
  <c r="AC66" i="36"/>
  <c r="AB66" i="36"/>
  <c r="AA66" i="36"/>
  <c r="Z66" i="36"/>
  <c r="AC65" i="36"/>
  <c r="AB65" i="36"/>
  <c r="AA65" i="36"/>
  <c r="Z65" i="36"/>
  <c r="Y67" i="36"/>
  <c r="X67" i="36"/>
  <c r="W67" i="36"/>
  <c r="V67" i="36"/>
  <c r="Y66" i="36"/>
  <c r="X66" i="36"/>
  <c r="W66" i="36"/>
  <c r="V66" i="36"/>
  <c r="Y65" i="36"/>
  <c r="X65" i="36"/>
  <c r="W65" i="36"/>
  <c r="V65" i="36"/>
  <c r="U67" i="36"/>
  <c r="T67" i="36"/>
  <c r="S67" i="36"/>
  <c r="R67" i="36"/>
  <c r="U66" i="36"/>
  <c r="T66" i="36"/>
  <c r="S66" i="36"/>
  <c r="R66" i="36"/>
  <c r="U65" i="36"/>
  <c r="T65" i="36"/>
  <c r="S65" i="36"/>
  <c r="R65" i="36"/>
  <c r="Q67" i="36"/>
  <c r="P67" i="36"/>
  <c r="O67" i="36"/>
  <c r="N67" i="36"/>
  <c r="Q66" i="36"/>
  <c r="P66" i="36"/>
  <c r="O66" i="36"/>
  <c r="N66" i="36"/>
  <c r="Q65" i="36"/>
  <c r="P65" i="36"/>
  <c r="O65" i="36"/>
  <c r="N65" i="36"/>
  <c r="M67" i="36"/>
  <c r="L67" i="36"/>
  <c r="K67" i="36"/>
  <c r="J67" i="36"/>
  <c r="M66" i="36"/>
  <c r="L66" i="36"/>
  <c r="K66" i="36"/>
  <c r="J66" i="36"/>
  <c r="M65" i="36"/>
  <c r="L65" i="36"/>
  <c r="K65" i="36"/>
  <c r="J65" i="36"/>
  <c r="I67" i="36"/>
  <c r="H67" i="36"/>
  <c r="G67" i="36"/>
  <c r="F67" i="36"/>
  <c r="I66" i="36"/>
  <c r="H66" i="36"/>
  <c r="G66" i="36"/>
  <c r="F66" i="36"/>
  <c r="I65" i="36"/>
  <c r="H65" i="36"/>
  <c r="G65" i="36"/>
  <c r="F65" i="36"/>
  <c r="C67" i="36"/>
  <c r="C66" i="36"/>
  <c r="C65" i="36"/>
  <c r="B67" i="36"/>
  <c r="B66" i="36"/>
  <c r="B65" i="36"/>
  <c r="E67" i="36"/>
  <c r="E66" i="36"/>
  <c r="E65" i="36"/>
  <c r="D67" i="36"/>
  <c r="D66" i="36"/>
  <c r="D65" i="36"/>
  <c r="BA48" i="36"/>
  <c r="AZ48" i="36"/>
  <c r="AY48" i="36"/>
  <c r="AX48" i="36"/>
  <c r="BA47" i="36"/>
  <c r="AZ47" i="36"/>
  <c r="AY47" i="36"/>
  <c r="AX47" i="36"/>
  <c r="BA46" i="36"/>
  <c r="AZ46" i="36"/>
  <c r="AY46" i="36"/>
  <c r="AX46" i="36"/>
  <c r="AW48" i="36"/>
  <c r="AV48" i="36"/>
  <c r="AU48" i="36"/>
  <c r="AT48" i="36"/>
  <c r="AW47" i="36"/>
  <c r="AV47" i="36"/>
  <c r="AU47" i="36"/>
  <c r="AT47" i="36"/>
  <c r="AW46" i="36"/>
  <c r="AV46" i="36"/>
  <c r="AU46" i="36"/>
  <c r="AT46" i="36"/>
  <c r="AS48" i="36"/>
  <c r="AR48" i="36"/>
  <c r="AQ48" i="36"/>
  <c r="AP48" i="36"/>
  <c r="AS47" i="36"/>
  <c r="AR47" i="36"/>
  <c r="AQ47" i="36"/>
  <c r="AP47" i="36"/>
  <c r="AS46" i="36"/>
  <c r="AR46" i="36"/>
  <c r="AQ46" i="36"/>
  <c r="AP46" i="36"/>
  <c r="AO48" i="36"/>
  <c r="AN48" i="36"/>
  <c r="AM48" i="36"/>
  <c r="AL48" i="36"/>
  <c r="AO47" i="36"/>
  <c r="AN47" i="36"/>
  <c r="AM47" i="36"/>
  <c r="AL47" i="36"/>
  <c r="AO46" i="36"/>
  <c r="AN46" i="36"/>
  <c r="AM46" i="36"/>
  <c r="AL46" i="36"/>
  <c r="AK48" i="36"/>
  <c r="AJ48" i="36"/>
  <c r="AI48" i="36"/>
  <c r="AH48" i="36"/>
  <c r="AK47" i="36"/>
  <c r="AJ47" i="36"/>
  <c r="AI47" i="36"/>
  <c r="AH47" i="36"/>
  <c r="AK46" i="36"/>
  <c r="AJ46" i="36"/>
  <c r="AI46" i="36"/>
  <c r="AH46" i="36"/>
  <c r="AG48" i="36"/>
  <c r="AF48" i="36"/>
  <c r="AE48" i="36"/>
  <c r="AD48" i="36"/>
  <c r="AG47" i="36"/>
  <c r="AF47" i="36"/>
  <c r="AE47" i="36"/>
  <c r="AD47" i="36"/>
  <c r="AG46" i="36"/>
  <c r="AF46" i="36"/>
  <c r="AE46" i="36"/>
  <c r="AD46" i="36"/>
  <c r="AC48" i="36"/>
  <c r="AB48" i="36"/>
  <c r="AA48" i="36"/>
  <c r="Z48" i="36"/>
  <c r="AC47" i="36"/>
  <c r="AB47" i="36"/>
  <c r="AA47" i="36"/>
  <c r="Z47" i="36"/>
  <c r="AC46" i="36"/>
  <c r="AB46" i="36"/>
  <c r="AA46" i="36"/>
  <c r="Z46" i="36"/>
  <c r="Y48" i="36"/>
  <c r="X48" i="36"/>
  <c r="W48" i="36"/>
  <c r="V48" i="36"/>
  <c r="Y47" i="36"/>
  <c r="X47" i="36"/>
  <c r="W47" i="36"/>
  <c r="V47" i="36"/>
  <c r="Y46" i="36"/>
  <c r="X46" i="36"/>
  <c r="W46" i="36"/>
  <c r="V46" i="36"/>
  <c r="U48" i="36"/>
  <c r="T48" i="36"/>
  <c r="S48" i="36"/>
  <c r="R48" i="36"/>
  <c r="U47" i="36"/>
  <c r="T47" i="36"/>
  <c r="S47" i="36"/>
  <c r="R47" i="36"/>
  <c r="U46" i="36"/>
  <c r="T46" i="36"/>
  <c r="S46" i="36"/>
  <c r="R46" i="36"/>
  <c r="Q48" i="36"/>
  <c r="P48" i="36"/>
  <c r="O48" i="36"/>
  <c r="N48" i="36"/>
  <c r="Q47" i="36"/>
  <c r="P47" i="36"/>
  <c r="O47" i="36"/>
  <c r="N47" i="36"/>
  <c r="Q46" i="36"/>
  <c r="P46" i="36"/>
  <c r="O46" i="36"/>
  <c r="N46" i="36"/>
  <c r="M48" i="36"/>
  <c r="L48" i="36"/>
  <c r="K48" i="36"/>
  <c r="J48" i="36"/>
  <c r="M47" i="36"/>
  <c r="L47" i="36"/>
  <c r="K47" i="36"/>
  <c r="J47" i="36"/>
  <c r="M46" i="36"/>
  <c r="L46" i="36"/>
  <c r="K46" i="36"/>
  <c r="J46" i="36"/>
  <c r="I48" i="36"/>
  <c r="H48" i="36"/>
  <c r="G48" i="36"/>
  <c r="F48" i="36"/>
  <c r="I47" i="36"/>
  <c r="H47" i="36"/>
  <c r="G47" i="36"/>
  <c r="F47" i="36"/>
  <c r="I46" i="36"/>
  <c r="H46" i="36"/>
  <c r="G46" i="36"/>
  <c r="F46" i="36"/>
  <c r="E48" i="36"/>
  <c r="E47" i="36"/>
  <c r="E46" i="36"/>
  <c r="D48" i="36"/>
  <c r="D47" i="36"/>
  <c r="D46" i="36"/>
  <c r="C48" i="36"/>
  <c r="C47" i="36"/>
  <c r="C46" i="36"/>
  <c r="B48" i="36"/>
  <c r="B47" i="36"/>
  <c r="B46" i="36"/>
  <c r="BA29" i="36"/>
  <c r="AZ29" i="36"/>
  <c r="AY29" i="36"/>
  <c r="AX29" i="36"/>
  <c r="BA28" i="36"/>
  <c r="AZ28" i="36"/>
  <c r="AY28" i="36"/>
  <c r="AX28" i="36"/>
  <c r="BA27" i="36"/>
  <c r="AZ27" i="36"/>
  <c r="AY27" i="36"/>
  <c r="AX27" i="36"/>
  <c r="AW29" i="36"/>
  <c r="AV29" i="36"/>
  <c r="AU29" i="36"/>
  <c r="AT29" i="36"/>
  <c r="AW28" i="36"/>
  <c r="AV28" i="36"/>
  <c r="AU28" i="36"/>
  <c r="AT28" i="36"/>
  <c r="AW27" i="36"/>
  <c r="AV27" i="36"/>
  <c r="AU27" i="36"/>
  <c r="AT27" i="36"/>
  <c r="AS29" i="36"/>
  <c r="AR29" i="36"/>
  <c r="AQ29" i="36"/>
  <c r="AP29" i="36"/>
  <c r="AS28" i="36"/>
  <c r="AR28" i="36"/>
  <c r="AQ28" i="36"/>
  <c r="AP28" i="36"/>
  <c r="AS27" i="36"/>
  <c r="AR27" i="36"/>
  <c r="AQ27" i="36"/>
  <c r="AP27" i="36"/>
  <c r="AO29" i="36"/>
  <c r="AN29" i="36"/>
  <c r="AM29" i="36"/>
  <c r="AL29" i="36"/>
  <c r="AO28" i="36"/>
  <c r="AN28" i="36"/>
  <c r="AM28" i="36"/>
  <c r="AL28" i="36"/>
  <c r="AO27" i="36"/>
  <c r="AN27" i="36"/>
  <c r="AM27" i="36"/>
  <c r="AL27" i="36"/>
  <c r="AK29" i="36"/>
  <c r="AJ29" i="36"/>
  <c r="AI29" i="36"/>
  <c r="AH29" i="36"/>
  <c r="AK28" i="36"/>
  <c r="AJ28" i="36"/>
  <c r="AI28" i="36"/>
  <c r="AH28" i="36"/>
  <c r="AK27" i="36"/>
  <c r="AJ27" i="36"/>
  <c r="AI27" i="36"/>
  <c r="AH27" i="36"/>
  <c r="AG29" i="36"/>
  <c r="AF29" i="36"/>
  <c r="AE29" i="36"/>
  <c r="AD29" i="36"/>
  <c r="AG28" i="36"/>
  <c r="AF28" i="36"/>
  <c r="AE28" i="36"/>
  <c r="AD28" i="36"/>
  <c r="AG27" i="36"/>
  <c r="AF27" i="36"/>
  <c r="AE27" i="36"/>
  <c r="AD27" i="36"/>
  <c r="AC29" i="36"/>
  <c r="AB29" i="36"/>
  <c r="AA29" i="36"/>
  <c r="Z29" i="36"/>
  <c r="AC28" i="36"/>
  <c r="AB28" i="36"/>
  <c r="AA28" i="36"/>
  <c r="Z28" i="36"/>
  <c r="AC27" i="36"/>
  <c r="AB27" i="36"/>
  <c r="AA27" i="36"/>
  <c r="Z27" i="36"/>
  <c r="Y29" i="36"/>
  <c r="X29" i="36"/>
  <c r="W29" i="36"/>
  <c r="V29" i="36"/>
  <c r="Y28" i="36"/>
  <c r="X28" i="36"/>
  <c r="W28" i="36"/>
  <c r="V28" i="36"/>
  <c r="Y27" i="36"/>
  <c r="X27" i="36"/>
  <c r="W27" i="36"/>
  <c r="V27" i="36"/>
  <c r="U29" i="36"/>
  <c r="T29" i="36"/>
  <c r="S29" i="36"/>
  <c r="R29" i="36"/>
  <c r="U28" i="36"/>
  <c r="T28" i="36"/>
  <c r="S28" i="36"/>
  <c r="R28" i="36"/>
  <c r="U27" i="36"/>
  <c r="T27" i="36"/>
  <c r="S27" i="36"/>
  <c r="R27" i="36"/>
  <c r="Q29" i="36"/>
  <c r="P29" i="36"/>
  <c r="O29" i="36"/>
  <c r="N29" i="36"/>
  <c r="Q28" i="36"/>
  <c r="P28" i="36"/>
  <c r="O28" i="36"/>
  <c r="N28" i="36"/>
  <c r="Q27" i="36"/>
  <c r="P27" i="36"/>
  <c r="O27" i="36"/>
  <c r="N27" i="36"/>
  <c r="M29" i="36"/>
  <c r="L29" i="36"/>
  <c r="K29" i="36"/>
  <c r="J29" i="36"/>
  <c r="M28" i="36"/>
  <c r="L28" i="36"/>
  <c r="K28" i="36"/>
  <c r="J28" i="36"/>
  <c r="M27" i="36"/>
  <c r="L27" i="36"/>
  <c r="K27" i="36"/>
  <c r="J27" i="36"/>
  <c r="I29" i="36"/>
  <c r="H29" i="36"/>
  <c r="G29" i="36"/>
  <c r="F29" i="36"/>
  <c r="I28" i="36"/>
  <c r="H28" i="36"/>
  <c r="G28" i="36"/>
  <c r="F28" i="36"/>
  <c r="I27" i="36"/>
  <c r="H27" i="36"/>
  <c r="G27" i="36"/>
  <c r="F27" i="36"/>
  <c r="E29" i="36"/>
  <c r="E28" i="36"/>
  <c r="E27" i="36"/>
  <c r="D29" i="36"/>
  <c r="D28" i="36"/>
  <c r="D27" i="36"/>
  <c r="C29" i="36"/>
  <c r="C28" i="36"/>
  <c r="C27" i="36"/>
  <c r="B29" i="36"/>
  <c r="B28" i="36"/>
  <c r="B27" i="36"/>
  <c r="F486" i="33" a="1"/>
  <c r="F486" i="33" s="1"/>
  <c r="F473" i="33" a="1"/>
  <c r="F473" i="33" s="1"/>
  <c r="F460" i="33" a="1"/>
  <c r="F460" i="33" s="1"/>
  <c r="F447" i="33" a="1"/>
  <c r="F447" i="33" s="1"/>
  <c r="F434" i="33" a="1"/>
  <c r="F434" i="33" s="1"/>
  <c r="F345" i="33" a="1"/>
  <c r="F345" i="33" s="1"/>
  <c r="F332" i="33" a="1"/>
  <c r="F332" i="33" s="1"/>
  <c r="F319" i="33" a="1"/>
  <c r="F319" i="33" s="1"/>
  <c r="F306" i="33" a="1"/>
  <c r="F306" i="33" s="1"/>
  <c r="F293" i="33" a="1"/>
  <c r="F293" i="33" s="1"/>
  <c r="F416" i="33" a="1"/>
  <c r="F416" i="33" s="1"/>
  <c r="F403" i="33" a="1"/>
  <c r="F403" i="33" s="1"/>
  <c r="F390" i="33" a="1"/>
  <c r="F390" i="33" s="1"/>
  <c r="F377" i="33" a="1"/>
  <c r="F377" i="33" s="1"/>
  <c r="F364" i="33" a="1"/>
  <c r="F364" i="33" s="1"/>
  <c r="C275" i="33" a="1"/>
  <c r="C275" i="33" s="1"/>
  <c r="C262" i="33" a="1"/>
  <c r="C262" i="33" s="1"/>
  <c r="C249" i="33" a="1"/>
  <c r="C249" i="33" s="1"/>
  <c r="F275" i="33" a="1"/>
  <c r="F275" i="33" s="1"/>
  <c r="F262" i="33" a="1"/>
  <c r="F262" i="33" s="1"/>
  <c r="F249" i="33" a="1"/>
  <c r="F249" i="33" s="1"/>
  <c r="F236" i="33" a="1"/>
  <c r="F236" i="33" s="1"/>
  <c r="F223" i="33" a="1"/>
  <c r="F223" i="33" s="1"/>
  <c r="C434" i="33" a="1"/>
  <c r="C434" i="33" s="1"/>
  <c r="C345" i="33" a="1"/>
  <c r="C345" i="33" s="1"/>
  <c r="C332" i="33" a="1"/>
  <c r="C332" i="33" s="1"/>
  <c r="C319" i="33" a="1"/>
  <c r="C319" i="33" s="1"/>
  <c r="C306" i="33" a="1"/>
  <c r="C306" i="33" s="1"/>
  <c r="C293" i="33" a="1"/>
  <c r="C293" i="33" s="1"/>
  <c r="C236" i="33" a="1"/>
  <c r="C236" i="33" s="1"/>
  <c r="C486" i="33" a="1"/>
  <c r="C486" i="33" s="1"/>
  <c r="C473" i="33" a="1"/>
  <c r="C473" i="33" s="1"/>
  <c r="C460" i="33" a="1"/>
  <c r="C460" i="33" s="1"/>
  <c r="C447" i="33" a="1"/>
  <c r="C447" i="33" s="1"/>
  <c r="C416" i="33" a="1"/>
  <c r="C416" i="33" s="1"/>
  <c r="C403" i="33" a="1"/>
  <c r="C403" i="33" s="1"/>
  <c r="C390" i="33" a="1"/>
  <c r="C390" i="33" s="1"/>
  <c r="C377" i="33" a="1"/>
  <c r="C377" i="33" s="1"/>
  <c r="C364" i="33" a="1"/>
  <c r="C364" i="33" s="1"/>
  <c r="C223" i="33" a="1"/>
  <c r="C223" i="33" s="1"/>
  <c r="H8" i="33"/>
  <c r="B206" i="33"/>
  <c r="B203" i="33"/>
  <c r="B204" i="33"/>
  <c r="C204" i="33"/>
  <c r="D204" i="33"/>
  <c r="B205" i="33"/>
  <c r="C205" i="33"/>
  <c r="D205" i="33"/>
  <c r="C206" i="33"/>
  <c r="D206" i="33"/>
  <c r="B207" i="33"/>
  <c r="C207" i="33"/>
  <c r="D207" i="33"/>
  <c r="B208" i="33"/>
  <c r="C208" i="33"/>
  <c r="D208" i="33"/>
  <c r="B209" i="33"/>
  <c r="C209" i="33"/>
  <c r="D209" i="33"/>
  <c r="B210" i="33"/>
  <c r="C210" i="33"/>
  <c r="D210" i="33"/>
  <c r="B211" i="33"/>
  <c r="C211" i="33"/>
  <c r="D211" i="33"/>
  <c r="B212" i="33"/>
  <c r="C212" i="33"/>
  <c r="D212" i="33"/>
  <c r="B213" i="33"/>
  <c r="C213" i="33"/>
  <c r="D213" i="33"/>
  <c r="B214" i="33"/>
  <c r="C214" i="33"/>
  <c r="D214" i="33"/>
  <c r="B215" i="33"/>
  <c r="C215" i="33"/>
  <c r="D215" i="33"/>
  <c r="C187" i="33"/>
  <c r="D187" i="33"/>
  <c r="E187" i="33"/>
  <c r="F187" i="33"/>
  <c r="G187" i="33"/>
  <c r="H187" i="33"/>
  <c r="I187" i="33"/>
  <c r="J187" i="33"/>
  <c r="K187" i="33"/>
  <c r="L187" i="33"/>
  <c r="M187" i="33"/>
  <c r="N187" i="33"/>
  <c r="O187" i="33"/>
  <c r="P187" i="33"/>
  <c r="C188" i="33"/>
  <c r="D188" i="33"/>
  <c r="E188" i="33"/>
  <c r="F188" i="33"/>
  <c r="G188" i="33"/>
  <c r="H188" i="33"/>
  <c r="I188" i="33"/>
  <c r="J188" i="33"/>
  <c r="K188" i="33"/>
  <c r="L188" i="33"/>
  <c r="M188" i="33"/>
  <c r="N188" i="33"/>
  <c r="O188" i="33"/>
  <c r="P188" i="33"/>
  <c r="C189" i="33"/>
  <c r="D189" i="33"/>
  <c r="E189" i="33"/>
  <c r="F189" i="33"/>
  <c r="G189" i="33"/>
  <c r="H189" i="33"/>
  <c r="I189" i="33"/>
  <c r="J189" i="33"/>
  <c r="K189" i="33"/>
  <c r="L189" i="33"/>
  <c r="M189" i="33"/>
  <c r="N189" i="33"/>
  <c r="O189" i="33"/>
  <c r="P189" i="33"/>
  <c r="C190" i="33"/>
  <c r="D190" i="33"/>
  <c r="E190" i="33"/>
  <c r="F190" i="33"/>
  <c r="G190" i="33"/>
  <c r="H190" i="33"/>
  <c r="I190" i="33"/>
  <c r="J190" i="33"/>
  <c r="K190" i="33"/>
  <c r="L190" i="33"/>
  <c r="M190" i="33"/>
  <c r="N190" i="33"/>
  <c r="O190" i="33"/>
  <c r="P190" i="33"/>
  <c r="C191" i="33"/>
  <c r="D191" i="33"/>
  <c r="E191" i="33"/>
  <c r="F191" i="33"/>
  <c r="G191" i="33"/>
  <c r="H191" i="33"/>
  <c r="I191" i="33"/>
  <c r="J191" i="33"/>
  <c r="K191" i="33"/>
  <c r="L191" i="33"/>
  <c r="M191" i="33"/>
  <c r="N191" i="33"/>
  <c r="O191" i="33"/>
  <c r="P191" i="33"/>
  <c r="C192" i="33"/>
  <c r="D192" i="33"/>
  <c r="E192" i="33"/>
  <c r="F192" i="33"/>
  <c r="G192" i="33"/>
  <c r="H192" i="33"/>
  <c r="I192" i="33"/>
  <c r="J192" i="33"/>
  <c r="K192" i="33"/>
  <c r="L192" i="33"/>
  <c r="M192" i="33"/>
  <c r="N192" i="33"/>
  <c r="O192" i="33"/>
  <c r="P192" i="33"/>
  <c r="C193" i="33"/>
  <c r="D193" i="33"/>
  <c r="E193" i="33"/>
  <c r="F193" i="33"/>
  <c r="G193" i="33"/>
  <c r="H193" i="33"/>
  <c r="I193" i="33"/>
  <c r="J193" i="33"/>
  <c r="K193" i="33"/>
  <c r="L193" i="33"/>
  <c r="M193" i="33"/>
  <c r="N193" i="33"/>
  <c r="O193" i="33"/>
  <c r="P193" i="33"/>
  <c r="C194" i="33"/>
  <c r="D194" i="33"/>
  <c r="E194" i="33"/>
  <c r="F194" i="33"/>
  <c r="G194" i="33"/>
  <c r="H194" i="33"/>
  <c r="I194" i="33"/>
  <c r="J194" i="33"/>
  <c r="K194" i="33"/>
  <c r="L194" i="33"/>
  <c r="M194" i="33"/>
  <c r="N194" i="33"/>
  <c r="O194" i="33"/>
  <c r="P194" i="33"/>
  <c r="C195" i="33"/>
  <c r="D195" i="33"/>
  <c r="E195" i="33"/>
  <c r="F195" i="33"/>
  <c r="G195" i="33"/>
  <c r="H195" i="33"/>
  <c r="I195" i="33"/>
  <c r="J195" i="33"/>
  <c r="K195" i="33"/>
  <c r="L195" i="33"/>
  <c r="M195" i="33"/>
  <c r="N195" i="33"/>
  <c r="O195" i="33"/>
  <c r="P195" i="33"/>
  <c r="C196" i="33"/>
  <c r="D196" i="33"/>
  <c r="E196" i="33"/>
  <c r="F196" i="33"/>
  <c r="G196" i="33"/>
  <c r="H196" i="33"/>
  <c r="I196" i="33"/>
  <c r="J196" i="33"/>
  <c r="K196" i="33"/>
  <c r="L196" i="33"/>
  <c r="M196" i="33"/>
  <c r="N196" i="33"/>
  <c r="O196" i="33"/>
  <c r="P196" i="33"/>
  <c r="C197" i="33"/>
  <c r="D197" i="33"/>
  <c r="E197" i="33"/>
  <c r="F197" i="33"/>
  <c r="G197" i="33"/>
  <c r="H197" i="33"/>
  <c r="I197" i="33"/>
  <c r="J197" i="33"/>
  <c r="K197" i="33"/>
  <c r="L197" i="33"/>
  <c r="M197" i="33"/>
  <c r="N197" i="33"/>
  <c r="O197" i="33"/>
  <c r="P197" i="33"/>
  <c r="C198" i="33"/>
  <c r="D198" i="33"/>
  <c r="E198" i="33"/>
  <c r="F198" i="33"/>
  <c r="G198" i="33"/>
  <c r="H198" i="33"/>
  <c r="I198" i="33"/>
  <c r="J198" i="33"/>
  <c r="K198" i="33"/>
  <c r="L198" i="33"/>
  <c r="M198" i="33"/>
  <c r="N198" i="33"/>
  <c r="O198" i="33"/>
  <c r="P198" i="33"/>
  <c r="C199" i="33"/>
  <c r="D199" i="33"/>
  <c r="E199" i="33"/>
  <c r="F199" i="33"/>
  <c r="G199" i="33"/>
  <c r="H199" i="33"/>
  <c r="I199" i="33"/>
  <c r="J199" i="33"/>
  <c r="K199" i="33"/>
  <c r="L199" i="33"/>
  <c r="M199" i="33"/>
  <c r="N199" i="33"/>
  <c r="O199" i="33"/>
  <c r="P199" i="33"/>
  <c r="B188" i="33"/>
  <c r="B189" i="33"/>
  <c r="B190" i="33"/>
  <c r="B191" i="33"/>
  <c r="B192" i="33"/>
  <c r="B193" i="33"/>
  <c r="B194" i="33"/>
  <c r="B195" i="33"/>
  <c r="B196" i="33"/>
  <c r="B197" i="33"/>
  <c r="B198" i="33"/>
  <c r="B199" i="33"/>
  <c r="C169" i="33"/>
  <c r="D169" i="33"/>
  <c r="E169" i="33"/>
  <c r="F169" i="33"/>
  <c r="G169" i="33"/>
  <c r="H169" i="33"/>
  <c r="I169" i="33"/>
  <c r="J169" i="33"/>
  <c r="K169" i="33"/>
  <c r="L169" i="33"/>
  <c r="M169" i="33"/>
  <c r="N169" i="33"/>
  <c r="O169" i="33"/>
  <c r="P169" i="33"/>
  <c r="C170" i="33"/>
  <c r="D170" i="33"/>
  <c r="E170" i="33"/>
  <c r="F170" i="33"/>
  <c r="G170" i="33"/>
  <c r="H170" i="33"/>
  <c r="I170" i="33"/>
  <c r="J170" i="33"/>
  <c r="K170" i="33"/>
  <c r="L170" i="33"/>
  <c r="M170" i="33"/>
  <c r="N170" i="33"/>
  <c r="O170" i="33"/>
  <c r="P170" i="33"/>
  <c r="C171" i="33"/>
  <c r="D171" i="33"/>
  <c r="E171" i="33"/>
  <c r="F171" i="33"/>
  <c r="G171" i="33"/>
  <c r="H171" i="33"/>
  <c r="I171" i="33"/>
  <c r="J171" i="33"/>
  <c r="K171" i="33"/>
  <c r="L171" i="33"/>
  <c r="M171" i="33"/>
  <c r="N171" i="33"/>
  <c r="O171" i="33"/>
  <c r="P171" i="33"/>
  <c r="C172" i="33"/>
  <c r="D172" i="33"/>
  <c r="E172" i="33"/>
  <c r="F172" i="33"/>
  <c r="G172" i="33"/>
  <c r="H172" i="33"/>
  <c r="I172" i="33"/>
  <c r="J172" i="33"/>
  <c r="K172" i="33"/>
  <c r="L172" i="33"/>
  <c r="M172" i="33"/>
  <c r="N172" i="33"/>
  <c r="O172" i="33"/>
  <c r="P172" i="33"/>
  <c r="C173" i="33"/>
  <c r="D173" i="33"/>
  <c r="E173" i="33"/>
  <c r="F173" i="33"/>
  <c r="G173" i="33"/>
  <c r="H173" i="33"/>
  <c r="I173" i="33"/>
  <c r="J173" i="33"/>
  <c r="K173" i="33"/>
  <c r="L173" i="33"/>
  <c r="M173" i="33"/>
  <c r="N173" i="33"/>
  <c r="O173" i="33"/>
  <c r="P173" i="33"/>
  <c r="C174" i="33"/>
  <c r="D174" i="33"/>
  <c r="E174" i="33"/>
  <c r="F174" i="33"/>
  <c r="G174" i="33"/>
  <c r="H174" i="33"/>
  <c r="I174" i="33"/>
  <c r="J174" i="33"/>
  <c r="K174" i="33"/>
  <c r="L174" i="33"/>
  <c r="M174" i="33"/>
  <c r="N174" i="33"/>
  <c r="O174" i="33"/>
  <c r="P174" i="33"/>
  <c r="C175" i="33"/>
  <c r="D175" i="33"/>
  <c r="E175" i="33"/>
  <c r="F175" i="33"/>
  <c r="G175" i="33"/>
  <c r="H175" i="33"/>
  <c r="I175" i="33"/>
  <c r="J175" i="33"/>
  <c r="K175" i="33"/>
  <c r="L175" i="33"/>
  <c r="M175" i="33"/>
  <c r="N175" i="33"/>
  <c r="O175" i="33"/>
  <c r="P175" i="33"/>
  <c r="C176" i="33"/>
  <c r="D176" i="33"/>
  <c r="E176" i="33"/>
  <c r="F176" i="33"/>
  <c r="G176" i="33"/>
  <c r="H176" i="33"/>
  <c r="I176" i="33"/>
  <c r="J176" i="33"/>
  <c r="K176" i="33"/>
  <c r="L176" i="33"/>
  <c r="M176" i="33"/>
  <c r="N176" i="33"/>
  <c r="O176" i="33"/>
  <c r="P176" i="33"/>
  <c r="C177" i="33"/>
  <c r="D177" i="33"/>
  <c r="E177" i="33"/>
  <c r="F177" i="33"/>
  <c r="G177" i="33"/>
  <c r="H177" i="33"/>
  <c r="I177" i="33"/>
  <c r="J177" i="33"/>
  <c r="K177" i="33"/>
  <c r="L177" i="33"/>
  <c r="M177" i="33"/>
  <c r="N177" i="33"/>
  <c r="O177" i="33"/>
  <c r="P177" i="33"/>
  <c r="C178" i="33"/>
  <c r="D178" i="33"/>
  <c r="E178" i="33"/>
  <c r="F178" i="33"/>
  <c r="G178" i="33"/>
  <c r="H178" i="33"/>
  <c r="I178" i="33"/>
  <c r="J178" i="33"/>
  <c r="K178" i="33"/>
  <c r="L178" i="33"/>
  <c r="M178" i="33"/>
  <c r="N178" i="33"/>
  <c r="O178" i="33"/>
  <c r="P178" i="33"/>
  <c r="C179" i="33"/>
  <c r="D179" i="33"/>
  <c r="E179" i="33"/>
  <c r="F179" i="33"/>
  <c r="G179" i="33"/>
  <c r="H179" i="33"/>
  <c r="I179" i="33"/>
  <c r="J179" i="33"/>
  <c r="K179" i="33"/>
  <c r="L179" i="33"/>
  <c r="M179" i="33"/>
  <c r="N179" i="33"/>
  <c r="O179" i="33"/>
  <c r="P179" i="33"/>
  <c r="C180" i="33"/>
  <c r="D180" i="33"/>
  <c r="E180" i="33"/>
  <c r="F180" i="33"/>
  <c r="G180" i="33"/>
  <c r="H180" i="33"/>
  <c r="I180" i="33"/>
  <c r="J180" i="33"/>
  <c r="K180" i="33"/>
  <c r="L180" i="33"/>
  <c r="M180" i="33"/>
  <c r="N180" i="33"/>
  <c r="O180" i="33"/>
  <c r="P180" i="33"/>
  <c r="C181" i="33"/>
  <c r="D181" i="33"/>
  <c r="E181" i="33"/>
  <c r="F181" i="33"/>
  <c r="G181" i="33"/>
  <c r="H181" i="33"/>
  <c r="I181" i="33"/>
  <c r="J181" i="33"/>
  <c r="K181" i="33"/>
  <c r="L181" i="33"/>
  <c r="M181" i="33"/>
  <c r="N181" i="33"/>
  <c r="O181" i="33"/>
  <c r="P181" i="33"/>
  <c r="B170" i="33"/>
  <c r="B171" i="33"/>
  <c r="B172" i="33"/>
  <c r="B173" i="33"/>
  <c r="B174" i="33"/>
  <c r="B175" i="33"/>
  <c r="B176" i="33"/>
  <c r="B177" i="33"/>
  <c r="B178" i="33"/>
  <c r="B179" i="33"/>
  <c r="B180" i="33"/>
  <c r="B181" i="33"/>
  <c r="C151" i="33"/>
  <c r="D151" i="33"/>
  <c r="E151" i="33"/>
  <c r="F151" i="33"/>
  <c r="G151" i="33"/>
  <c r="H151" i="33"/>
  <c r="I151" i="33"/>
  <c r="J151" i="33"/>
  <c r="K151" i="33"/>
  <c r="L151" i="33"/>
  <c r="M151" i="33"/>
  <c r="N151" i="33"/>
  <c r="O151" i="33"/>
  <c r="P151" i="33"/>
  <c r="C152" i="33"/>
  <c r="D152" i="33"/>
  <c r="E152" i="33"/>
  <c r="F152" i="33"/>
  <c r="G152" i="33"/>
  <c r="H152" i="33"/>
  <c r="I152" i="33"/>
  <c r="J152" i="33"/>
  <c r="K152" i="33"/>
  <c r="L152" i="33"/>
  <c r="M152" i="33"/>
  <c r="N152" i="33"/>
  <c r="O152" i="33"/>
  <c r="P152" i="33"/>
  <c r="C153" i="33"/>
  <c r="D153" i="33"/>
  <c r="E153" i="33"/>
  <c r="F153" i="33"/>
  <c r="G153" i="33"/>
  <c r="H153" i="33"/>
  <c r="I153" i="33"/>
  <c r="J153" i="33"/>
  <c r="K153" i="33"/>
  <c r="L153" i="33"/>
  <c r="M153" i="33"/>
  <c r="N153" i="33"/>
  <c r="O153" i="33"/>
  <c r="P153" i="33"/>
  <c r="C154" i="33"/>
  <c r="D154" i="33"/>
  <c r="E154" i="33"/>
  <c r="F154" i="33"/>
  <c r="G154" i="33"/>
  <c r="H154" i="33"/>
  <c r="I154" i="33"/>
  <c r="J154" i="33"/>
  <c r="K154" i="33"/>
  <c r="L154" i="33"/>
  <c r="M154" i="33"/>
  <c r="N154" i="33"/>
  <c r="O154" i="33"/>
  <c r="P154" i="33"/>
  <c r="C155" i="33"/>
  <c r="D155" i="33"/>
  <c r="E155" i="33"/>
  <c r="F155" i="33"/>
  <c r="G155" i="33"/>
  <c r="H155" i="33"/>
  <c r="I155" i="33"/>
  <c r="J155" i="33"/>
  <c r="K155" i="33"/>
  <c r="L155" i="33"/>
  <c r="M155" i="33"/>
  <c r="N155" i="33"/>
  <c r="O155" i="33"/>
  <c r="P155" i="33"/>
  <c r="C156" i="33"/>
  <c r="D156" i="33"/>
  <c r="E156" i="33"/>
  <c r="F156" i="33"/>
  <c r="G156" i="33"/>
  <c r="H156" i="33"/>
  <c r="I156" i="33"/>
  <c r="J156" i="33"/>
  <c r="K156" i="33"/>
  <c r="L156" i="33"/>
  <c r="M156" i="33"/>
  <c r="N156" i="33"/>
  <c r="O156" i="33"/>
  <c r="P156" i="33"/>
  <c r="C157" i="33"/>
  <c r="D157" i="33"/>
  <c r="E157" i="33"/>
  <c r="F157" i="33"/>
  <c r="G157" i="33"/>
  <c r="H157" i="33"/>
  <c r="I157" i="33"/>
  <c r="J157" i="33"/>
  <c r="K157" i="33"/>
  <c r="L157" i="33"/>
  <c r="M157" i="33"/>
  <c r="N157" i="33"/>
  <c r="O157" i="33"/>
  <c r="P157" i="33"/>
  <c r="C158" i="33"/>
  <c r="D158" i="33"/>
  <c r="E158" i="33"/>
  <c r="F158" i="33"/>
  <c r="G158" i="33"/>
  <c r="H158" i="33"/>
  <c r="I158" i="33"/>
  <c r="J158" i="33"/>
  <c r="K158" i="33"/>
  <c r="L158" i="33"/>
  <c r="M158" i="33"/>
  <c r="N158" i="33"/>
  <c r="O158" i="33"/>
  <c r="P158" i="33"/>
  <c r="C159" i="33"/>
  <c r="D159" i="33"/>
  <c r="E159" i="33"/>
  <c r="F159" i="33"/>
  <c r="G159" i="33"/>
  <c r="H159" i="33"/>
  <c r="I159" i="33"/>
  <c r="J159" i="33"/>
  <c r="K159" i="33"/>
  <c r="L159" i="33"/>
  <c r="M159" i="33"/>
  <c r="N159" i="33"/>
  <c r="O159" i="33"/>
  <c r="P159" i="33"/>
  <c r="C160" i="33"/>
  <c r="D160" i="33"/>
  <c r="E160" i="33"/>
  <c r="F160" i="33"/>
  <c r="G160" i="33"/>
  <c r="H160" i="33"/>
  <c r="I160" i="33"/>
  <c r="J160" i="33"/>
  <c r="K160" i="33"/>
  <c r="L160" i="33"/>
  <c r="M160" i="33"/>
  <c r="N160" i="33"/>
  <c r="O160" i="33"/>
  <c r="P160" i="33"/>
  <c r="C161" i="33"/>
  <c r="D161" i="33"/>
  <c r="E161" i="33"/>
  <c r="F161" i="33"/>
  <c r="G161" i="33"/>
  <c r="H161" i="33"/>
  <c r="I161" i="33"/>
  <c r="J161" i="33"/>
  <c r="K161" i="33"/>
  <c r="L161" i="33"/>
  <c r="M161" i="33"/>
  <c r="N161" i="33"/>
  <c r="O161" i="33"/>
  <c r="P161" i="33"/>
  <c r="C162" i="33"/>
  <c r="D162" i="33"/>
  <c r="E162" i="33"/>
  <c r="F162" i="33"/>
  <c r="G162" i="33"/>
  <c r="H162" i="33"/>
  <c r="I162" i="33"/>
  <c r="J162" i="33"/>
  <c r="K162" i="33"/>
  <c r="L162" i="33"/>
  <c r="M162" i="33"/>
  <c r="N162" i="33"/>
  <c r="O162" i="33"/>
  <c r="P162" i="33"/>
  <c r="C163" i="33"/>
  <c r="D163" i="33"/>
  <c r="E163" i="33"/>
  <c r="F163" i="33"/>
  <c r="G163" i="33"/>
  <c r="H163" i="33"/>
  <c r="I163" i="33"/>
  <c r="J163" i="33"/>
  <c r="K163" i="33"/>
  <c r="L163" i="33"/>
  <c r="M163" i="33"/>
  <c r="N163" i="33"/>
  <c r="O163" i="33"/>
  <c r="P163" i="33"/>
  <c r="B152" i="33"/>
  <c r="B153" i="33"/>
  <c r="B154" i="33"/>
  <c r="B155" i="33"/>
  <c r="B156" i="33"/>
  <c r="B157" i="33"/>
  <c r="B158" i="33"/>
  <c r="B159" i="33"/>
  <c r="B160" i="33"/>
  <c r="B161" i="33"/>
  <c r="B162" i="33"/>
  <c r="B163" i="33"/>
  <c r="E133" i="33"/>
  <c r="F133" i="33"/>
  <c r="G133" i="33"/>
  <c r="H133" i="33"/>
  <c r="I133" i="33"/>
  <c r="J133" i="33"/>
  <c r="K133" i="33"/>
  <c r="L133" i="33"/>
  <c r="M133" i="33"/>
  <c r="N133" i="33"/>
  <c r="O133" i="33"/>
  <c r="P133" i="33"/>
  <c r="E134" i="33"/>
  <c r="F134" i="33"/>
  <c r="G134" i="33"/>
  <c r="H134" i="33"/>
  <c r="I134" i="33"/>
  <c r="J134" i="33"/>
  <c r="K134" i="33"/>
  <c r="L134" i="33"/>
  <c r="M134" i="33"/>
  <c r="N134" i="33"/>
  <c r="O134" i="33"/>
  <c r="P134" i="33"/>
  <c r="E135" i="33"/>
  <c r="F135" i="33"/>
  <c r="G135" i="33"/>
  <c r="H135" i="33"/>
  <c r="I135" i="33"/>
  <c r="J135" i="33"/>
  <c r="K135" i="33"/>
  <c r="L135" i="33"/>
  <c r="M135" i="33"/>
  <c r="N135" i="33"/>
  <c r="O135" i="33"/>
  <c r="P135" i="33"/>
  <c r="E136" i="33"/>
  <c r="F136" i="33"/>
  <c r="G136" i="33"/>
  <c r="H136" i="33"/>
  <c r="I136" i="33"/>
  <c r="J136" i="33"/>
  <c r="K136" i="33"/>
  <c r="L136" i="33"/>
  <c r="M136" i="33"/>
  <c r="N136" i="33"/>
  <c r="O136" i="33"/>
  <c r="P136" i="33"/>
  <c r="E137" i="33"/>
  <c r="F137" i="33"/>
  <c r="G137" i="33"/>
  <c r="H137" i="33"/>
  <c r="I137" i="33"/>
  <c r="J137" i="33"/>
  <c r="K137" i="33"/>
  <c r="L137" i="33"/>
  <c r="M137" i="33"/>
  <c r="N137" i="33"/>
  <c r="O137" i="33"/>
  <c r="P137" i="33"/>
  <c r="E138" i="33"/>
  <c r="F138" i="33"/>
  <c r="G138" i="33"/>
  <c r="H138" i="33"/>
  <c r="I138" i="33"/>
  <c r="J138" i="33"/>
  <c r="K138" i="33"/>
  <c r="L138" i="33"/>
  <c r="M138" i="33"/>
  <c r="N138" i="33"/>
  <c r="O138" i="33"/>
  <c r="P138" i="33"/>
  <c r="E139" i="33"/>
  <c r="F139" i="33"/>
  <c r="G139" i="33"/>
  <c r="H139" i="33"/>
  <c r="I139" i="33"/>
  <c r="J139" i="33"/>
  <c r="K139" i="33"/>
  <c r="L139" i="33"/>
  <c r="M139" i="33"/>
  <c r="N139" i="33"/>
  <c r="O139" i="33"/>
  <c r="P139" i="33"/>
  <c r="E140" i="33"/>
  <c r="F140" i="33"/>
  <c r="G140" i="33"/>
  <c r="H140" i="33"/>
  <c r="I140" i="33"/>
  <c r="J140" i="33"/>
  <c r="K140" i="33"/>
  <c r="L140" i="33"/>
  <c r="M140" i="33"/>
  <c r="N140" i="33"/>
  <c r="O140" i="33"/>
  <c r="P140" i="33"/>
  <c r="E141" i="33"/>
  <c r="F141" i="33"/>
  <c r="G141" i="33"/>
  <c r="H141" i="33"/>
  <c r="I141" i="33"/>
  <c r="J141" i="33"/>
  <c r="K141" i="33"/>
  <c r="L141" i="33"/>
  <c r="M141" i="33"/>
  <c r="N141" i="33"/>
  <c r="O141" i="33"/>
  <c r="P141" i="33"/>
  <c r="E142" i="33"/>
  <c r="F142" i="33"/>
  <c r="G142" i="33"/>
  <c r="H142" i="33"/>
  <c r="I142" i="33"/>
  <c r="J142" i="33"/>
  <c r="K142" i="33"/>
  <c r="L142" i="33"/>
  <c r="M142" i="33"/>
  <c r="N142" i="33"/>
  <c r="O142" i="33"/>
  <c r="P142" i="33"/>
  <c r="E143" i="33"/>
  <c r="F143" i="33"/>
  <c r="G143" i="33"/>
  <c r="H143" i="33"/>
  <c r="I143" i="33"/>
  <c r="J143" i="33"/>
  <c r="K143" i="33"/>
  <c r="L143" i="33"/>
  <c r="M143" i="33"/>
  <c r="N143" i="33"/>
  <c r="O143" i="33"/>
  <c r="P143" i="33"/>
  <c r="E144" i="33"/>
  <c r="F144" i="33"/>
  <c r="G144" i="33"/>
  <c r="H144" i="33"/>
  <c r="I144" i="33"/>
  <c r="J144" i="33"/>
  <c r="K144" i="33"/>
  <c r="L144" i="33"/>
  <c r="M144" i="33"/>
  <c r="N144" i="33"/>
  <c r="O144" i="33"/>
  <c r="P144" i="33"/>
  <c r="E145" i="33"/>
  <c r="F145" i="33"/>
  <c r="G145" i="33"/>
  <c r="H145" i="33"/>
  <c r="I145" i="33"/>
  <c r="J145" i="33"/>
  <c r="K145" i="33"/>
  <c r="L145" i="33"/>
  <c r="M145" i="33"/>
  <c r="N145" i="33"/>
  <c r="O145" i="33"/>
  <c r="P145" i="33"/>
  <c r="C133" i="33"/>
  <c r="D133" i="33"/>
  <c r="C134" i="33"/>
  <c r="D134" i="33"/>
  <c r="C135" i="33"/>
  <c r="D135" i="33"/>
  <c r="C136" i="33"/>
  <c r="D136" i="33"/>
  <c r="C137" i="33"/>
  <c r="D137" i="33"/>
  <c r="C138" i="33"/>
  <c r="D138" i="33"/>
  <c r="C139" i="33"/>
  <c r="D139" i="33"/>
  <c r="C140" i="33"/>
  <c r="D140" i="33"/>
  <c r="C141" i="33"/>
  <c r="D141" i="33"/>
  <c r="C142" i="33"/>
  <c r="D142" i="33"/>
  <c r="C143" i="33"/>
  <c r="D143" i="33"/>
  <c r="C144" i="33"/>
  <c r="D144" i="33"/>
  <c r="C145" i="33"/>
  <c r="D145" i="33"/>
  <c r="B145" i="33"/>
  <c r="B134" i="33"/>
  <c r="B135" i="33"/>
  <c r="B136" i="33"/>
  <c r="B137" i="33"/>
  <c r="B138" i="33"/>
  <c r="B139" i="33"/>
  <c r="B140" i="33"/>
  <c r="B141" i="33"/>
  <c r="B142" i="33"/>
  <c r="B143" i="33"/>
  <c r="B144" i="33"/>
  <c r="B133" i="33"/>
  <c r="H182" i="3"/>
  <c r="H181" i="3"/>
  <c r="C88" i="37" l="1"/>
  <c r="C89" i="37"/>
  <c r="C90" i="37"/>
  <c r="S297" i="37"/>
  <c r="R360" i="37"/>
  <c r="R373" i="37"/>
  <c r="C84" i="37"/>
  <c r="R298" i="37"/>
  <c r="C85" i="37"/>
  <c r="N73" i="36" a="1"/>
  <c r="N73" i="36" s="1"/>
  <c r="Z73" i="36" a="1"/>
  <c r="Z73" i="36" s="1"/>
  <c r="AD92" i="36" a="1"/>
  <c r="AD92" i="36" s="1"/>
  <c r="V92" i="36" a="1"/>
  <c r="V92" i="36" s="1"/>
  <c r="F92" i="36" a="1"/>
  <c r="F92" i="36" s="1"/>
  <c r="AT92" i="36" a="1"/>
  <c r="AT92" i="36" s="1"/>
  <c r="AH92" i="36" a="1"/>
  <c r="AH92" i="36" s="1"/>
  <c r="N54" i="36" a="1"/>
  <c r="N54" i="36" s="1"/>
  <c r="J54" i="36" a="1"/>
  <c r="J54" i="36" s="1"/>
  <c r="B54" i="36" a="1"/>
  <c r="B54" i="36" s="1"/>
  <c r="Z54" i="36" a="1"/>
  <c r="Z54" i="36" s="1"/>
  <c r="AP73" i="36" a="1"/>
  <c r="AP73" i="36" s="1"/>
  <c r="AT73" i="36" a="1"/>
  <c r="AT73" i="36" s="1"/>
  <c r="AP54" i="36" a="1"/>
  <c r="AP54" i="36" s="1"/>
  <c r="F54" i="36" a="1"/>
  <c r="F54" i="36" s="1"/>
  <c r="B73" i="36" a="1"/>
  <c r="B73" i="36" s="1"/>
  <c r="R92" i="36" a="1"/>
  <c r="R92" i="36" s="1"/>
  <c r="AT54" i="36" a="1"/>
  <c r="AT54" i="36" s="1"/>
  <c r="R54" i="36" a="1"/>
  <c r="R54" i="36" s="1"/>
  <c r="AL54" i="36" a="1"/>
  <c r="AL54" i="36" s="1"/>
  <c r="AH54" i="36" a="1"/>
  <c r="AH54" i="36" s="1"/>
  <c r="F73" i="36" a="1"/>
  <c r="F73" i="36" s="1"/>
  <c r="AL73" i="36" a="1"/>
  <c r="AL73" i="36" s="1"/>
  <c r="AH73" i="36" a="1"/>
  <c r="AH73" i="36" s="1"/>
  <c r="V73" i="36" a="1"/>
  <c r="V73" i="36" s="1"/>
  <c r="V54" i="36" a="1"/>
  <c r="V54" i="36" s="1"/>
  <c r="AP92" i="36" a="1"/>
  <c r="AP92" i="36" s="1"/>
  <c r="AL92" i="36" a="1"/>
  <c r="AL92" i="36" s="1"/>
  <c r="AD54" i="36" a="1"/>
  <c r="AD54" i="36" s="1"/>
  <c r="J73" i="36" a="1"/>
  <c r="J73" i="36" s="1"/>
  <c r="AD73" i="36" a="1"/>
  <c r="AD73" i="36" s="1"/>
  <c r="R73" i="36" a="1"/>
  <c r="R73" i="36" s="1"/>
  <c r="Z92" i="36" a="1"/>
  <c r="Z92" i="36" s="1"/>
  <c r="J92" i="36" a="1"/>
  <c r="J92" i="36" s="1"/>
  <c r="B92" i="36" a="1"/>
  <c r="B92" i="36" s="1"/>
  <c r="H184" i="3"/>
  <c r="D88" i="37"/>
  <c r="D89" i="37"/>
  <c r="D90" i="37"/>
  <c r="D84" i="37"/>
  <c r="D85" i="37"/>
  <c r="D219" i="37"/>
  <c r="W240" i="37"/>
  <c r="C373" i="37"/>
  <c r="Q318" i="37"/>
  <c r="B86" i="37"/>
  <c r="I323" i="37"/>
  <c r="J323" i="37"/>
  <c r="C164" i="37"/>
  <c r="C169" i="37" s="1"/>
  <c r="B164" i="37"/>
  <c r="B169" i="37" s="1"/>
  <c r="G88" i="37"/>
  <c r="D164" i="37"/>
  <c r="D169" i="37" s="1"/>
  <c r="E177" i="37"/>
  <c r="U89" i="37"/>
  <c r="E167" i="37"/>
  <c r="B159" i="37"/>
  <c r="E164" i="37"/>
  <c r="E181" i="37"/>
  <c r="S283" i="37"/>
  <c r="D360" i="37"/>
  <c r="K321" i="37"/>
  <c r="E165" i="37"/>
  <c r="E190" i="37"/>
  <c r="G183" i="37"/>
  <c r="I161" i="37"/>
  <c r="H165" i="37"/>
  <c r="F190" i="37"/>
  <c r="Q317" i="37"/>
  <c r="F191" i="37"/>
  <c r="P318" i="37"/>
  <c r="G162" i="37"/>
  <c r="R205" i="37"/>
  <c r="N86" i="37"/>
  <c r="G163" i="37"/>
  <c r="F178" i="37"/>
  <c r="G194" i="37"/>
  <c r="T241" i="37"/>
  <c r="R319" i="37"/>
  <c r="J165" i="37"/>
  <c r="G140" i="37"/>
  <c r="E192" i="37"/>
  <c r="Q86" i="37"/>
  <c r="V205" i="37"/>
  <c r="H163" i="37"/>
  <c r="F179" i="37"/>
  <c r="G195" i="37"/>
  <c r="X242" i="37"/>
  <c r="H320" i="37"/>
  <c r="J161" i="37"/>
  <c r="R88" i="37"/>
  <c r="J163" i="37"/>
  <c r="E180" i="37"/>
  <c r="Y243" i="37"/>
  <c r="J321" i="37"/>
  <c r="W237" i="37"/>
  <c r="Y237" i="37" s="1"/>
  <c r="X240" i="37"/>
  <c r="Y242" i="37"/>
  <c r="T89" i="37"/>
  <c r="E160" i="37"/>
  <c r="D162" i="37"/>
  <c r="I163" i="37"/>
  <c r="I165" i="37"/>
  <c r="E179" i="37"/>
  <c r="E191" i="37"/>
  <c r="B238" i="37"/>
  <c r="Y240" i="37"/>
  <c r="X243" i="37"/>
  <c r="L318" i="37"/>
  <c r="P320" i="37"/>
  <c r="Q160" i="37"/>
  <c r="H162" i="37"/>
  <c r="B166" i="37"/>
  <c r="W239" i="37"/>
  <c r="W241" i="37"/>
  <c r="W244" i="37"/>
  <c r="G167" i="37"/>
  <c r="T160" i="37"/>
  <c r="I162" i="37"/>
  <c r="H164" i="37"/>
  <c r="I166" i="37"/>
  <c r="F180" i="37"/>
  <c r="G193" i="37"/>
  <c r="X239" i="37"/>
  <c r="H242" i="37"/>
  <c r="S318" i="37"/>
  <c r="H322" i="37"/>
  <c r="D242" i="37"/>
  <c r="D248" i="37" s="1"/>
  <c r="D239" i="37" s="1"/>
  <c r="J166" i="37"/>
  <c r="Y283" i="37"/>
  <c r="Y239" i="37"/>
  <c r="U242" i="37"/>
  <c r="O319" i="37"/>
  <c r="I322" i="37"/>
  <c r="W160" i="37"/>
  <c r="Y160" i="37" s="1"/>
  <c r="J162" i="37"/>
  <c r="I164" i="37"/>
  <c r="O86" i="37"/>
  <c r="G196" i="37"/>
  <c r="D218" i="37"/>
  <c r="B161" i="37"/>
  <c r="D163" i="37"/>
  <c r="J164" i="37"/>
  <c r="T166" i="37"/>
  <c r="F182" i="37"/>
  <c r="F195" i="37"/>
  <c r="H240" i="37"/>
  <c r="W242" i="37"/>
  <c r="Q319" i="37"/>
  <c r="S322" i="37"/>
  <c r="B165" i="37"/>
  <c r="Y90" i="37"/>
  <c r="B82" i="37"/>
  <c r="E87" i="37"/>
  <c r="W88" i="37"/>
  <c r="H161" i="37"/>
  <c r="H166" i="37"/>
  <c r="S240" i="37"/>
  <c r="S241" i="37"/>
  <c r="R242" i="37"/>
  <c r="R243" i="37"/>
  <c r="P244" i="37"/>
  <c r="S321" i="37"/>
  <c r="Q322" i="37"/>
  <c r="R323" i="37"/>
  <c r="F335" i="37"/>
  <c r="G346" i="37"/>
  <c r="Q316" i="37"/>
  <c r="E322" i="37"/>
  <c r="S243" i="37"/>
  <c r="S244" i="37"/>
  <c r="T320" i="37"/>
  <c r="U321" i="37"/>
  <c r="V323" i="37"/>
  <c r="G335" i="37"/>
  <c r="F347" i="37"/>
  <c r="T316" i="37"/>
  <c r="U316" i="37" s="1"/>
  <c r="E320" i="37"/>
  <c r="N238" i="37"/>
  <c r="T243" i="37"/>
  <c r="T244" i="37"/>
  <c r="U320" i="37"/>
  <c r="V321" i="37"/>
  <c r="T322" i="37"/>
  <c r="F332" i="37"/>
  <c r="F336" i="37"/>
  <c r="G347" i="37"/>
  <c r="E317" i="37"/>
  <c r="G317" i="37" s="1"/>
  <c r="F319" i="37"/>
  <c r="U244" i="37"/>
  <c r="V319" i="37"/>
  <c r="G332" i="37"/>
  <c r="G336" i="37"/>
  <c r="E348" i="37"/>
  <c r="F318" i="37"/>
  <c r="F333" i="37"/>
  <c r="F337" i="37"/>
  <c r="F349" i="37"/>
  <c r="T317" i="37"/>
  <c r="U317" i="37" s="1"/>
  <c r="E318" i="37"/>
  <c r="X89" i="37"/>
  <c r="S161" i="37"/>
  <c r="B88" i="37"/>
  <c r="T165" i="37"/>
  <c r="U166" i="37"/>
  <c r="N239" i="37"/>
  <c r="W84" i="37"/>
  <c r="R218" i="37"/>
  <c r="U219" i="37"/>
  <c r="W161" i="37"/>
  <c r="Y162" i="37"/>
  <c r="W163" i="37"/>
  <c r="Y164" i="37"/>
  <c r="Y284" i="37"/>
  <c r="O239" i="37"/>
  <c r="P240" i="37"/>
  <c r="N241" i="37"/>
  <c r="O242" i="37"/>
  <c r="I243" i="37"/>
  <c r="H244" i="37"/>
  <c r="X244" i="37"/>
  <c r="M373" i="37"/>
  <c r="T318" i="37"/>
  <c r="L320" i="37"/>
  <c r="M321" i="37"/>
  <c r="K322" i="37"/>
  <c r="N323" i="37"/>
  <c r="G333" i="37"/>
  <c r="G337" i="37"/>
  <c r="G349" i="37"/>
  <c r="E330" i="37"/>
  <c r="E324" i="37"/>
  <c r="G321" i="37"/>
  <c r="X88" i="37"/>
  <c r="W82" i="37"/>
  <c r="Y82" i="37" s="1"/>
  <c r="O240" i="37"/>
  <c r="N242" i="37"/>
  <c r="B89" i="37"/>
  <c r="R86" i="37"/>
  <c r="Y85" i="37"/>
  <c r="E159" i="37"/>
  <c r="C161" i="37"/>
  <c r="X161" i="37"/>
  <c r="B163" i="37"/>
  <c r="X163" i="37"/>
  <c r="D166" i="37"/>
  <c r="F177" i="37"/>
  <c r="F181" i="37"/>
  <c r="F192" i="37"/>
  <c r="I284" i="37"/>
  <c r="Q239" i="37"/>
  <c r="Q240" i="37"/>
  <c r="O241" i="37"/>
  <c r="P242" i="37"/>
  <c r="P243" i="37"/>
  <c r="N244" i="37"/>
  <c r="M320" i="37"/>
  <c r="N321" i="37"/>
  <c r="O323" i="37"/>
  <c r="F334" i="37"/>
  <c r="E345" i="37"/>
  <c r="F350" i="37"/>
  <c r="E331" i="37"/>
  <c r="F323" i="37"/>
  <c r="G320" i="37"/>
  <c r="Y88" i="37"/>
  <c r="W83" i="37"/>
  <c r="X83" i="37" s="1"/>
  <c r="B83" i="37"/>
  <c r="F167" i="37"/>
  <c r="H159" i="37"/>
  <c r="I159" i="37" s="1"/>
  <c r="G161" i="37"/>
  <c r="C162" i="37"/>
  <c r="C163" i="37"/>
  <c r="Y163" i="37"/>
  <c r="E166" i="37"/>
  <c r="E178" i="37"/>
  <c r="E182" i="37"/>
  <c r="N245" i="37"/>
  <c r="N237" i="37"/>
  <c r="T239" i="37"/>
  <c r="R240" i="37"/>
  <c r="R241" i="37"/>
  <c r="Q242" i="37"/>
  <c r="O244" i="37"/>
  <c r="N319" i="37"/>
  <c r="O320" i="37"/>
  <c r="R321" i="37"/>
  <c r="P322" i="37"/>
  <c r="Q323" i="37"/>
  <c r="G334" i="37"/>
  <c r="F346" i="37"/>
  <c r="G350" i="37"/>
  <c r="E316" i="37"/>
  <c r="G316" i="37" s="1"/>
  <c r="F322" i="37"/>
  <c r="G318" i="37"/>
  <c r="G126" i="37"/>
  <c r="F126" i="37"/>
  <c r="E94" i="37"/>
  <c r="F101" i="37" s="1"/>
  <c r="F88" i="37"/>
  <c r="F84" i="37"/>
  <c r="E83" i="37"/>
  <c r="G86" i="37"/>
  <c r="H83" i="37"/>
  <c r="H89" i="37"/>
  <c r="O84" i="37"/>
  <c r="R161" i="37"/>
  <c r="P162" i="37"/>
  <c r="L163" i="37"/>
  <c r="P165" i="37"/>
  <c r="Q166" i="37"/>
  <c r="G241" i="37"/>
  <c r="E242" i="37"/>
  <c r="M163" i="37"/>
  <c r="M162" i="37"/>
  <c r="M161" i="37"/>
  <c r="K160" i="37"/>
  <c r="K159" i="37"/>
  <c r="K166" i="37"/>
  <c r="K165" i="37"/>
  <c r="K164" i="37"/>
  <c r="Q162" i="37"/>
  <c r="O163" i="37"/>
  <c r="Q165" i="37"/>
  <c r="R166" i="37"/>
  <c r="O166" i="37"/>
  <c r="O165" i="37"/>
  <c r="O164" i="37"/>
  <c r="N163" i="37"/>
  <c r="N162" i="37"/>
  <c r="N161" i="37"/>
  <c r="N160" i="37"/>
  <c r="N159" i="37"/>
  <c r="N166" i="37"/>
  <c r="N165" i="37"/>
  <c r="N164" i="37"/>
  <c r="R162" i="37"/>
  <c r="P163" i="37"/>
  <c r="Q164" i="37"/>
  <c r="J89" i="37"/>
  <c r="K84" i="37"/>
  <c r="G243" i="37"/>
  <c r="F240" i="37"/>
  <c r="F243" i="37"/>
  <c r="E240" i="37"/>
  <c r="E237" i="37"/>
  <c r="E238" i="37"/>
  <c r="G244" i="37"/>
  <c r="G242" i="37"/>
  <c r="F241" i="37"/>
  <c r="G240" i="37"/>
  <c r="F239" i="37"/>
  <c r="E239" i="37"/>
  <c r="I84" i="37"/>
  <c r="P86" i="37"/>
  <c r="S166" i="37"/>
  <c r="S165" i="37"/>
  <c r="S164" i="37"/>
  <c r="Q159" i="37"/>
  <c r="Q89" i="37"/>
  <c r="Q83" i="37"/>
  <c r="R83" i="37" s="1"/>
  <c r="G84" i="37"/>
  <c r="E89" i="37"/>
  <c r="I86" i="37"/>
  <c r="K87" i="37"/>
  <c r="N89" i="37"/>
  <c r="S88" i="37"/>
  <c r="V126" i="37"/>
  <c r="V167" i="37"/>
  <c r="V163" i="37"/>
  <c r="V162" i="37"/>
  <c r="V161" i="37"/>
  <c r="V166" i="37"/>
  <c r="V165" i="37"/>
  <c r="V164" i="37"/>
  <c r="U163" i="37"/>
  <c r="U162" i="37"/>
  <c r="U161" i="37"/>
  <c r="T159" i="37"/>
  <c r="L161" i="37"/>
  <c r="T162" i="37"/>
  <c r="R163" i="37"/>
  <c r="T164" i="37"/>
  <c r="U165" i="37"/>
  <c r="G239" i="37"/>
  <c r="E243" i="37"/>
  <c r="G85" i="37"/>
  <c r="F89" i="37"/>
  <c r="L87" i="37"/>
  <c r="O89" i="37"/>
  <c r="T83" i="37"/>
  <c r="V83" i="37" s="1"/>
  <c r="X167" i="37"/>
  <c r="W166" i="37"/>
  <c r="W165" i="37"/>
  <c r="W164" i="37"/>
  <c r="W159" i="37"/>
  <c r="O161" i="37"/>
  <c r="Y161" i="37"/>
  <c r="K162" i="37"/>
  <c r="W162" i="37"/>
  <c r="S163" i="37"/>
  <c r="U164" i="37"/>
  <c r="X165" i="37"/>
  <c r="L166" i="37"/>
  <c r="Y166" i="37"/>
  <c r="L242" i="37"/>
  <c r="K239" i="37"/>
  <c r="K242" i="37"/>
  <c r="M240" i="37"/>
  <c r="M244" i="37"/>
  <c r="L243" i="37"/>
  <c r="M242" i="37"/>
  <c r="L241" i="37"/>
  <c r="K240" i="37"/>
  <c r="L239" i="37"/>
  <c r="K238" i="37"/>
  <c r="L238" i="37" s="1"/>
  <c r="K251" i="37"/>
  <c r="M262" i="37" s="1"/>
  <c r="L244" i="37"/>
  <c r="K243" i="37"/>
  <c r="K241" i="37"/>
  <c r="K244" i="37"/>
  <c r="M245" i="37"/>
  <c r="K237" i="37"/>
  <c r="M237" i="37" s="1"/>
  <c r="M239" i="37"/>
  <c r="J90" i="37"/>
  <c r="I89" i="37"/>
  <c r="H84" i="37"/>
  <c r="K83" i="37"/>
  <c r="M83" i="37" s="1"/>
  <c r="L141" i="37"/>
  <c r="R164" i="37"/>
  <c r="X90" i="37"/>
  <c r="W89" i="37"/>
  <c r="X85" i="37"/>
  <c r="E86" i="37"/>
  <c r="G89" i="37"/>
  <c r="H87" i="37"/>
  <c r="K89" i="37"/>
  <c r="P89" i="37"/>
  <c r="V85" i="37"/>
  <c r="W86" i="37"/>
  <c r="C166" i="37"/>
  <c r="C165" i="37"/>
  <c r="B160" i="37"/>
  <c r="D161" i="37"/>
  <c r="P161" i="37"/>
  <c r="B162" i="37"/>
  <c r="L162" i="37"/>
  <c r="X162" i="37"/>
  <c r="T163" i="37"/>
  <c r="X164" i="37"/>
  <c r="L165" i="37"/>
  <c r="Y165" i="37"/>
  <c r="M166" i="37"/>
  <c r="L240" i="37"/>
  <c r="M243" i="37"/>
  <c r="E244" i="37"/>
  <c r="H86" i="37"/>
  <c r="K172" i="37"/>
  <c r="L183" i="37" s="1"/>
  <c r="K161" i="37"/>
  <c r="S162" i="37"/>
  <c r="Q163" i="37"/>
  <c r="B85" i="37"/>
  <c r="F86" i="37"/>
  <c r="E90" i="37"/>
  <c r="J88" i="37"/>
  <c r="L89" i="37"/>
  <c r="S85" i="37"/>
  <c r="T86" i="37"/>
  <c r="X86" i="37"/>
  <c r="P126" i="37"/>
  <c r="O126" i="37"/>
  <c r="Q161" i="37"/>
  <c r="O162" i="37"/>
  <c r="K163" i="37"/>
  <c r="L164" i="37"/>
  <c r="M165" i="37"/>
  <c r="P166" i="37"/>
  <c r="E241" i="37"/>
  <c r="F244" i="37"/>
  <c r="W327" i="37"/>
  <c r="W340" i="37" s="1"/>
  <c r="W322" i="37"/>
  <c r="Y321" i="37"/>
  <c r="W318" i="37"/>
  <c r="W324" i="37"/>
  <c r="X321" i="37"/>
  <c r="W321" i="37"/>
  <c r="Y320" i="37"/>
  <c r="W317" i="37"/>
  <c r="Y317" i="37" s="1"/>
  <c r="W316" i="37"/>
  <c r="Y316" i="37" s="1"/>
  <c r="X323" i="37"/>
  <c r="X319" i="37"/>
  <c r="W320" i="37"/>
  <c r="Y319" i="37"/>
  <c r="Y324" i="37"/>
  <c r="W319" i="37"/>
  <c r="Y318" i="37"/>
  <c r="X324" i="37"/>
  <c r="X318" i="37"/>
  <c r="Y323" i="37"/>
  <c r="D297" i="37"/>
  <c r="C297" i="37"/>
  <c r="C298" i="37"/>
  <c r="D298" i="37"/>
  <c r="B318" i="37"/>
  <c r="C320" i="37"/>
  <c r="D321" i="37"/>
  <c r="B319" i="37"/>
  <c r="C321" i="37"/>
  <c r="D322" i="37"/>
  <c r="B320" i="37"/>
  <c r="C322" i="37"/>
  <c r="D323" i="37"/>
  <c r="B323" i="37"/>
  <c r="D318" i="37"/>
  <c r="C323" i="37"/>
  <c r="B317" i="37"/>
  <c r="C324" i="37"/>
  <c r="D319" i="37"/>
  <c r="B324" i="37"/>
  <c r="D320" i="37"/>
  <c r="B321" i="37"/>
  <c r="D324" i="37"/>
  <c r="B316" i="37"/>
  <c r="B322" i="37"/>
  <c r="C318" i="37"/>
  <c r="C319" i="37"/>
  <c r="X320" i="37"/>
  <c r="X322" i="37"/>
  <c r="J244" i="37"/>
  <c r="I241" i="37"/>
  <c r="I244" i="37"/>
  <c r="H241" i="37"/>
  <c r="J239" i="37"/>
  <c r="H243" i="37"/>
  <c r="Y322" i="37"/>
  <c r="W323" i="37"/>
  <c r="E176" i="37"/>
  <c r="O243" i="37"/>
  <c r="N240" i="37"/>
  <c r="N243" i="37"/>
  <c r="P241" i="37"/>
  <c r="O245" i="37"/>
  <c r="H239" i="37"/>
  <c r="I240" i="37"/>
  <c r="J241" i="37"/>
  <c r="I242" i="37"/>
  <c r="J243" i="37"/>
  <c r="E195" i="37"/>
  <c r="E194" i="37"/>
  <c r="E193" i="37"/>
  <c r="E188" i="37"/>
  <c r="F196" i="37"/>
  <c r="E161" i="37"/>
  <c r="E162" i="37"/>
  <c r="E163" i="37"/>
  <c r="F164" i="37"/>
  <c r="F165" i="37"/>
  <c r="F166" i="37"/>
  <c r="G177" i="37"/>
  <c r="G178" i="37"/>
  <c r="G179" i="37"/>
  <c r="G180" i="37"/>
  <c r="G181" i="37"/>
  <c r="G182" i="37"/>
  <c r="G190" i="37"/>
  <c r="G191" i="37"/>
  <c r="G192" i="37"/>
  <c r="E175" i="37"/>
  <c r="E189" i="37"/>
  <c r="R244" i="37"/>
  <c r="Q241" i="37"/>
  <c r="S239" i="37"/>
  <c r="Q244" i="37"/>
  <c r="S242" i="37"/>
  <c r="R239" i="37"/>
  <c r="Q238" i="37"/>
  <c r="Q237" i="37"/>
  <c r="R245" i="37"/>
  <c r="H238" i="37"/>
  <c r="I239" i="37"/>
  <c r="U239" i="37"/>
  <c r="J240" i="37"/>
  <c r="T240" i="37"/>
  <c r="U241" i="37"/>
  <c r="J242" i="37"/>
  <c r="V242" i="37"/>
  <c r="U243" i="37"/>
  <c r="F161" i="37"/>
  <c r="F162" i="37"/>
  <c r="F163" i="37"/>
  <c r="G164" i="37"/>
  <c r="G165" i="37"/>
  <c r="G166" i="37"/>
  <c r="F194" i="37"/>
  <c r="T242" i="37"/>
  <c r="V240" i="37"/>
  <c r="T238" i="37"/>
  <c r="V238" i="37" s="1"/>
  <c r="T237" i="37"/>
  <c r="V237" i="37" s="1"/>
  <c r="V243" i="37"/>
  <c r="U240" i="37"/>
  <c r="V239" i="37"/>
  <c r="V241" i="37"/>
  <c r="F374" i="37"/>
  <c r="G374" i="37"/>
  <c r="I324" i="37"/>
  <c r="I321" i="37"/>
  <c r="H321" i="37"/>
  <c r="J320" i="37"/>
  <c r="H317" i="37"/>
  <c r="H316" i="37"/>
  <c r="I320" i="37"/>
  <c r="H323" i="37"/>
  <c r="J322" i="37"/>
  <c r="H319" i="37"/>
  <c r="J318" i="37"/>
  <c r="H318" i="37"/>
  <c r="J373" i="37"/>
  <c r="I373" i="37"/>
  <c r="W245" i="37"/>
  <c r="X241" i="37"/>
  <c r="Y244" i="37"/>
  <c r="M323" i="37"/>
  <c r="K320" i="37"/>
  <c r="M319" i="37"/>
  <c r="K317" i="37"/>
  <c r="K316" i="37"/>
  <c r="L323" i="37"/>
  <c r="L319" i="37"/>
  <c r="K323" i="37"/>
  <c r="M322" i="37"/>
  <c r="K319" i="37"/>
  <c r="M318" i="37"/>
  <c r="L321" i="37"/>
  <c r="I318" i="37"/>
  <c r="X245" i="37"/>
  <c r="Y241" i="37"/>
  <c r="K318" i="37"/>
  <c r="I319" i="37"/>
  <c r="N327" i="37"/>
  <c r="N340" i="37" s="1"/>
  <c r="R318" i="37"/>
  <c r="P319" i="37"/>
  <c r="N320" i="37"/>
  <c r="V320" i="37"/>
  <c r="T321" i="37"/>
  <c r="R322" i="37"/>
  <c r="P323" i="37"/>
  <c r="E346" i="37"/>
  <c r="E349" i="37"/>
  <c r="E323" i="37"/>
  <c r="E319" i="37"/>
  <c r="G319" i="37"/>
  <c r="N324" i="37"/>
  <c r="E351" i="37"/>
  <c r="U318" i="37"/>
  <c r="S319" i="37"/>
  <c r="Q320" i="37"/>
  <c r="O321" i="37"/>
  <c r="U322" i="37"/>
  <c r="S323" i="37"/>
  <c r="F345" i="37"/>
  <c r="F348" i="37"/>
  <c r="F321" i="37"/>
  <c r="G324" i="37"/>
  <c r="P324" i="37"/>
  <c r="G351" i="37"/>
  <c r="N318" i="37"/>
  <c r="V318" i="37"/>
  <c r="T319" i="37"/>
  <c r="R320" i="37"/>
  <c r="P321" i="37"/>
  <c r="N322" i="37"/>
  <c r="V322" i="37"/>
  <c r="T323" i="37"/>
  <c r="G345" i="37"/>
  <c r="G348" i="37"/>
  <c r="E343" i="37"/>
  <c r="E344" i="37"/>
  <c r="E321" i="37"/>
  <c r="G323" i="37"/>
  <c r="O318" i="37"/>
  <c r="U319" i="37"/>
  <c r="S320" i="37"/>
  <c r="O322" i="37"/>
  <c r="E332" i="37"/>
  <c r="E333" i="37"/>
  <c r="E334" i="37"/>
  <c r="E335" i="37"/>
  <c r="E336" i="37"/>
  <c r="E337" i="37"/>
  <c r="E347" i="37"/>
  <c r="N316" i="37"/>
  <c r="F324" i="37"/>
  <c r="F320" i="37"/>
  <c r="G322" i="37"/>
  <c r="C374" i="37"/>
  <c r="F373" i="37"/>
  <c r="L374" i="37"/>
  <c r="I374" i="37"/>
  <c r="C359" i="37"/>
  <c r="J360" i="37"/>
  <c r="M360" i="37"/>
  <c r="G359" i="37"/>
  <c r="I359" i="37"/>
  <c r="M359" i="37"/>
  <c r="G360" i="37"/>
  <c r="G338" i="37"/>
  <c r="P359" i="37"/>
  <c r="O359" i="37"/>
  <c r="H327" i="37"/>
  <c r="J324" i="37"/>
  <c r="M324" i="37"/>
  <c r="P360" i="37"/>
  <c r="O360" i="37"/>
  <c r="P373" i="37"/>
  <c r="O373" i="37"/>
  <c r="P374" i="37"/>
  <c r="O374" i="37"/>
  <c r="F316" i="37"/>
  <c r="V316" i="37"/>
  <c r="V317" i="37"/>
  <c r="O324" i="37"/>
  <c r="K327" i="37"/>
  <c r="F351" i="37"/>
  <c r="S324" i="37"/>
  <c r="R324" i="37"/>
  <c r="T324" i="37"/>
  <c r="Q324" i="37"/>
  <c r="Q327" i="37"/>
  <c r="V359" i="37"/>
  <c r="P338" i="37"/>
  <c r="U324" i="37"/>
  <c r="T327" i="37"/>
  <c r="E338" i="37"/>
  <c r="V360" i="37"/>
  <c r="V373" i="37"/>
  <c r="V374" i="37"/>
  <c r="L324" i="37"/>
  <c r="K324" i="37"/>
  <c r="B327" i="37"/>
  <c r="H324" i="37"/>
  <c r="V324" i="37"/>
  <c r="F338" i="37"/>
  <c r="X359" i="37"/>
  <c r="X360" i="37"/>
  <c r="X373" i="37"/>
  <c r="X374" i="37"/>
  <c r="I298" i="37"/>
  <c r="L298" i="37"/>
  <c r="O283" i="37"/>
  <c r="I283" i="37"/>
  <c r="C284" i="37"/>
  <c r="B251" i="37"/>
  <c r="E245" i="37"/>
  <c r="G245" i="37"/>
  <c r="E251" i="37"/>
  <c r="F245" i="37"/>
  <c r="H251" i="37"/>
  <c r="I245" i="37"/>
  <c r="J245" i="37"/>
  <c r="H245" i="37"/>
  <c r="G284" i="37"/>
  <c r="F284" i="37"/>
  <c r="L245" i="37"/>
  <c r="P245" i="37"/>
  <c r="L283" i="37"/>
  <c r="U283" i="37"/>
  <c r="G297" i="37"/>
  <c r="F297" i="37"/>
  <c r="G298" i="37"/>
  <c r="F298" i="37"/>
  <c r="Q245" i="37"/>
  <c r="S245" i="37"/>
  <c r="N251" i="37"/>
  <c r="C283" i="37"/>
  <c r="L284" i="37"/>
  <c r="U284" i="37"/>
  <c r="T245" i="37"/>
  <c r="X237" i="37"/>
  <c r="X238" i="37"/>
  <c r="U245" i="37"/>
  <c r="Q251" i="37"/>
  <c r="U297" i="37"/>
  <c r="U298" i="37"/>
  <c r="W251" i="37"/>
  <c r="Y245" i="37"/>
  <c r="K245" i="37"/>
  <c r="V245" i="37"/>
  <c r="T251" i="37"/>
  <c r="G283" i="37"/>
  <c r="F283" i="37"/>
  <c r="O297" i="37"/>
  <c r="O298" i="37"/>
  <c r="X297" i="37"/>
  <c r="X298" i="37"/>
  <c r="L219" i="37"/>
  <c r="I218" i="37"/>
  <c r="I219" i="37"/>
  <c r="C204" i="37"/>
  <c r="M204" i="37"/>
  <c r="I205" i="37"/>
  <c r="I204" i="37"/>
  <c r="C205" i="37"/>
  <c r="N167" i="37"/>
  <c r="Y167" i="37"/>
  <c r="P204" i="37"/>
  <c r="O204" i="37"/>
  <c r="S167" i="37"/>
  <c r="R167" i="37"/>
  <c r="O167" i="37"/>
  <c r="F204" i="37"/>
  <c r="L205" i="37"/>
  <c r="P219" i="37"/>
  <c r="O219" i="37"/>
  <c r="X160" i="37"/>
  <c r="P167" i="37"/>
  <c r="N172" i="37"/>
  <c r="F219" i="37"/>
  <c r="Q167" i="37"/>
  <c r="Q172" i="37"/>
  <c r="P205" i="37"/>
  <c r="O205" i="37"/>
  <c r="U218" i="37"/>
  <c r="D167" i="37"/>
  <c r="C167" i="37"/>
  <c r="B172" i="37"/>
  <c r="B167" i="37"/>
  <c r="J160" i="37"/>
  <c r="U167" i="37"/>
  <c r="T172" i="37"/>
  <c r="F205" i="37"/>
  <c r="L218" i="37"/>
  <c r="E196" i="37"/>
  <c r="W172" i="37"/>
  <c r="U204" i="37"/>
  <c r="T167" i="37"/>
  <c r="H172" i="37"/>
  <c r="J167" i="37"/>
  <c r="I167" i="37"/>
  <c r="W167" i="37"/>
  <c r="E183" i="37"/>
  <c r="P218" i="37"/>
  <c r="O218" i="37"/>
  <c r="L167" i="37"/>
  <c r="K167" i="37"/>
  <c r="M167" i="37"/>
  <c r="F183" i="37"/>
  <c r="F218" i="37"/>
  <c r="X204" i="37"/>
  <c r="X205" i="37"/>
  <c r="X218" i="37"/>
  <c r="X219" i="37"/>
  <c r="T94" i="37"/>
  <c r="T107" i="37" s="1"/>
  <c r="U90" i="37"/>
  <c r="V87" i="37"/>
  <c r="T85" i="37"/>
  <c r="T90" i="37"/>
  <c r="U87" i="37"/>
  <c r="V84" i="37"/>
  <c r="V89" i="37"/>
  <c r="T87" i="37"/>
  <c r="U84" i="37"/>
  <c r="V90" i="37"/>
  <c r="T88" i="37"/>
  <c r="U85" i="37"/>
  <c r="T82" i="37"/>
  <c r="V82" i="37" s="1"/>
  <c r="V88" i="37"/>
  <c r="Y140" i="37"/>
  <c r="X140" i="37"/>
  <c r="J140" i="37"/>
  <c r="I140" i="37"/>
  <c r="L88" i="37"/>
  <c r="M85" i="37"/>
  <c r="M90" i="37"/>
  <c r="K88" i="37"/>
  <c r="L85" i="37"/>
  <c r="L90" i="37"/>
  <c r="M87" i="37"/>
  <c r="K85" i="37"/>
  <c r="M88" i="37"/>
  <c r="K86" i="37"/>
  <c r="K82" i="37"/>
  <c r="M82" i="37" s="1"/>
  <c r="L84" i="37"/>
  <c r="M89" i="37"/>
  <c r="U86" i="37"/>
  <c r="P90" i="37"/>
  <c r="N88" i="37"/>
  <c r="O85" i="37"/>
  <c r="N82" i="37"/>
  <c r="P82" i="37" s="1"/>
  <c r="O90" i="37"/>
  <c r="P87" i="37"/>
  <c r="N85" i="37"/>
  <c r="N90" i="37"/>
  <c r="O87" i="37"/>
  <c r="P84" i="37"/>
  <c r="O88" i="37"/>
  <c r="P85" i="37"/>
  <c r="N83" i="37"/>
  <c r="M84" i="37"/>
  <c r="K90" i="37"/>
  <c r="N87" i="37"/>
  <c r="V86" i="37"/>
  <c r="Q90" i="37"/>
  <c r="R87" i="37"/>
  <c r="S84" i="37"/>
  <c r="S89" i="37"/>
  <c r="Q87" i="37"/>
  <c r="R84" i="37"/>
  <c r="Q94" i="37"/>
  <c r="S105" i="37" s="1"/>
  <c r="R89" i="37"/>
  <c r="S86" i="37"/>
  <c r="Q84" i="37"/>
  <c r="R90" i="37"/>
  <c r="S87" i="37"/>
  <c r="Q85" i="37"/>
  <c r="Q82" i="37"/>
  <c r="L86" i="37"/>
  <c r="P88" i="37"/>
  <c r="R85" i="37"/>
  <c r="S90" i="37"/>
  <c r="U88" i="37"/>
  <c r="Y126" i="37"/>
  <c r="X126" i="37"/>
  <c r="H82" i="37"/>
  <c r="J82" i="37" s="1"/>
  <c r="J85" i="37"/>
  <c r="I88" i="37"/>
  <c r="R141" i="37"/>
  <c r="J84" i="37"/>
  <c r="I87" i="37"/>
  <c r="H90" i="37"/>
  <c r="X84" i="37"/>
  <c r="W87" i="37"/>
  <c r="Y89" i="37"/>
  <c r="F102" i="37"/>
  <c r="F103" i="37"/>
  <c r="F104" i="37"/>
  <c r="I126" i="37"/>
  <c r="O140" i="37"/>
  <c r="B84" i="37"/>
  <c r="E85" i="37"/>
  <c r="G87" i="37"/>
  <c r="F90" i="37"/>
  <c r="H85" i="37"/>
  <c r="J87" i="37"/>
  <c r="I90" i="37"/>
  <c r="Y84" i="37"/>
  <c r="X87" i="37"/>
  <c r="W90" i="37"/>
  <c r="F99" i="37"/>
  <c r="F100" i="37"/>
  <c r="I141" i="37"/>
  <c r="E82" i="37"/>
  <c r="G82" i="37" s="1"/>
  <c r="F85" i="37"/>
  <c r="E88" i="37"/>
  <c r="G90" i="37"/>
  <c r="I85" i="37"/>
  <c r="H88" i="37"/>
  <c r="W85" i="37"/>
  <c r="Y87" i="37"/>
  <c r="G99" i="37"/>
  <c r="G100" i="37"/>
  <c r="R140" i="37"/>
  <c r="U141" i="37"/>
  <c r="F141" i="37"/>
  <c r="L140" i="37"/>
  <c r="O141" i="37"/>
  <c r="U140" i="37"/>
  <c r="X141" i="37"/>
  <c r="X127" i="37"/>
  <c r="U127" i="37"/>
  <c r="R126" i="37"/>
  <c r="R127" i="37"/>
  <c r="O127" i="37"/>
  <c r="L126" i="37"/>
  <c r="L127" i="37"/>
  <c r="I127" i="37"/>
  <c r="F127" i="37"/>
  <c r="C126" i="37"/>
  <c r="C127" i="37"/>
  <c r="X82" i="37"/>
  <c r="U83" i="37"/>
  <c r="W94" i="37"/>
  <c r="K94" i="37"/>
  <c r="B94" i="37"/>
  <c r="B90" i="37"/>
  <c r="H94" i="37"/>
  <c r="N94" i="37"/>
  <c r="T9" i="37"/>
  <c r="U15" i="37"/>
  <c r="R9" i="37"/>
  <c r="C10" i="37"/>
  <c r="D11" i="37"/>
  <c r="I15" i="37"/>
  <c r="S12" i="37"/>
  <c r="H18" i="37"/>
  <c r="H31" i="37" s="1"/>
  <c r="J15" i="37"/>
  <c r="S13" i="37"/>
  <c r="T15" i="37"/>
  <c r="S14" i="37"/>
  <c r="O15" i="37"/>
  <c r="T10" i="37"/>
  <c r="U11" i="37"/>
  <c r="L13" i="37"/>
  <c r="H15" i="37"/>
  <c r="P15" i="37"/>
  <c r="S9" i="37"/>
  <c r="U10" i="37"/>
  <c r="K12" i="37"/>
  <c r="M13" i="37"/>
  <c r="T14" i="37"/>
  <c r="L12" i="37"/>
  <c r="U14" i="37"/>
  <c r="K11" i="37"/>
  <c r="M12" i="37"/>
  <c r="T13" i="37"/>
  <c r="H7" i="37"/>
  <c r="J7" i="37" s="1"/>
  <c r="K7" i="37"/>
  <c r="M7" i="37" s="1"/>
  <c r="V15" i="37"/>
  <c r="K10" i="37"/>
  <c r="U13" i="37"/>
  <c r="T18" i="37"/>
  <c r="T31" i="37" s="1"/>
  <c r="L15" i="37"/>
  <c r="J9" i="37"/>
  <c r="L10" i="37"/>
  <c r="M11" i="37"/>
  <c r="T12" i="37"/>
  <c r="K14" i="37"/>
  <c r="N7" i="37"/>
  <c r="P7" i="37" s="1"/>
  <c r="N18" i="37"/>
  <c r="N31" i="37" s="1"/>
  <c r="M15" i="37"/>
  <c r="K9" i="37"/>
  <c r="M10" i="37"/>
  <c r="S11" i="37"/>
  <c r="U12" i="37"/>
  <c r="L14" i="37"/>
  <c r="K8" i="37"/>
  <c r="L8" i="37" s="1"/>
  <c r="T7" i="37"/>
  <c r="V7" i="37" s="1"/>
  <c r="K15" i="37"/>
  <c r="L11" i="37"/>
  <c r="K18" i="37"/>
  <c r="K31" i="37" s="1"/>
  <c r="N15" i="37"/>
  <c r="L9" i="37"/>
  <c r="S10" i="37"/>
  <c r="T11" i="37"/>
  <c r="K13" i="37"/>
  <c r="M14" i="37"/>
  <c r="N8" i="37"/>
  <c r="P8" i="37" s="1"/>
  <c r="X15" i="37"/>
  <c r="G15" i="37"/>
  <c r="I9" i="37"/>
  <c r="Q9" i="37"/>
  <c r="Y9" i="37"/>
  <c r="J10" i="37"/>
  <c r="R10" i="37"/>
  <c r="B11" i="37"/>
  <c r="J11" i="37"/>
  <c r="R11" i="37"/>
  <c r="B12" i="37"/>
  <c r="J12" i="37"/>
  <c r="R12" i="37"/>
  <c r="B13" i="37"/>
  <c r="J13" i="37"/>
  <c r="R13" i="37"/>
  <c r="B14" i="37"/>
  <c r="J14" i="37"/>
  <c r="R14" i="37"/>
  <c r="B7" i="37"/>
  <c r="C7" i="37" s="1"/>
  <c r="H8" i="37"/>
  <c r="J8" i="37" s="1"/>
  <c r="B9" i="37"/>
  <c r="B10" i="37"/>
  <c r="C11" i="37"/>
  <c r="C12" i="37"/>
  <c r="C13" i="37"/>
  <c r="C9" i="37"/>
  <c r="D12" i="37"/>
  <c r="D13" i="37"/>
  <c r="D14" i="37"/>
  <c r="Q8" i="37"/>
  <c r="O24" i="37"/>
  <c r="D9" i="37"/>
  <c r="D10" i="37"/>
  <c r="E11" i="37"/>
  <c r="E12" i="37"/>
  <c r="E13" i="37"/>
  <c r="E14" i="37"/>
  <c r="C15" i="37"/>
  <c r="E9" i="37"/>
  <c r="U9" i="37"/>
  <c r="F10" i="37"/>
  <c r="N10" i="37"/>
  <c r="V10" i="37"/>
  <c r="F11" i="37"/>
  <c r="N11" i="37"/>
  <c r="V11" i="37"/>
  <c r="F12" i="37"/>
  <c r="N12" i="37"/>
  <c r="V12" i="37"/>
  <c r="F13" i="37"/>
  <c r="N13" i="37"/>
  <c r="V13" i="37"/>
  <c r="F14" i="37"/>
  <c r="N14" i="37"/>
  <c r="V14" i="37"/>
  <c r="Q7" i="37"/>
  <c r="S7" i="37" s="1"/>
  <c r="T8" i="37"/>
  <c r="V8" i="37" s="1"/>
  <c r="F9" i="37"/>
  <c r="N9" i="37"/>
  <c r="G10" i="37"/>
  <c r="O10" i="37"/>
  <c r="W10" i="37"/>
  <c r="G11" i="37"/>
  <c r="O11" i="37"/>
  <c r="W11" i="37"/>
  <c r="G12" i="37"/>
  <c r="O12" i="37"/>
  <c r="W12" i="37"/>
  <c r="G13" i="37"/>
  <c r="O13" i="37"/>
  <c r="W13" i="37"/>
  <c r="G14" i="37"/>
  <c r="O14" i="37"/>
  <c r="W14" i="37"/>
  <c r="W7" i="37"/>
  <c r="Y7" i="37" s="1"/>
  <c r="W8" i="37"/>
  <c r="Y8" i="37" s="1"/>
  <c r="B18" i="37"/>
  <c r="E15" i="37"/>
  <c r="G9" i="37"/>
  <c r="O9" i="37"/>
  <c r="W9" i="37"/>
  <c r="H10" i="37"/>
  <c r="P10" i="37"/>
  <c r="X10" i="37"/>
  <c r="H11" i="37"/>
  <c r="P11" i="37"/>
  <c r="X11" i="37"/>
  <c r="H12" i="37"/>
  <c r="P12" i="37"/>
  <c r="X12" i="37"/>
  <c r="H13" i="37"/>
  <c r="P13" i="37"/>
  <c r="X13" i="37"/>
  <c r="H14" i="37"/>
  <c r="P14" i="37"/>
  <c r="X14" i="37"/>
  <c r="E10" i="37"/>
  <c r="E8" i="37"/>
  <c r="F8" i="37" s="1"/>
  <c r="D15" i="37"/>
  <c r="G65" i="37"/>
  <c r="W18" i="37"/>
  <c r="W31" i="37" s="1"/>
  <c r="F15" i="37"/>
  <c r="H9" i="37"/>
  <c r="X9" i="37"/>
  <c r="I10" i="37"/>
  <c r="Q10" i="37"/>
  <c r="Y10" i="37"/>
  <c r="I11" i="37"/>
  <c r="Q11" i="37"/>
  <c r="Y11" i="37"/>
  <c r="I12" i="37"/>
  <c r="Q12" i="37"/>
  <c r="Y12" i="37"/>
  <c r="I13" i="37"/>
  <c r="Q13" i="37"/>
  <c r="Y13" i="37"/>
  <c r="Q14" i="37"/>
  <c r="B8" i="37"/>
  <c r="D8" i="37" s="1"/>
  <c r="U26" i="37"/>
  <c r="Q18" i="37"/>
  <c r="Q31" i="37" s="1"/>
  <c r="W15" i="37"/>
  <c r="Q15" i="37"/>
  <c r="Y15" i="37"/>
  <c r="R15" i="37"/>
  <c r="B15" i="37"/>
  <c r="E18" i="37"/>
  <c r="E31" i="37" s="1"/>
  <c r="D50" i="37"/>
  <c r="I55" i="37"/>
  <c r="I56" i="37"/>
  <c r="I57" i="37"/>
  <c r="N50" i="37"/>
  <c r="P50" i="37" s="1"/>
  <c r="N51" i="37"/>
  <c r="P51" i="37" s="1"/>
  <c r="M52" i="37"/>
  <c r="M53" i="37"/>
  <c r="M54" i="37"/>
  <c r="E55" i="37"/>
  <c r="M55" i="37"/>
  <c r="E56" i="37"/>
  <c r="M56" i="37"/>
  <c r="E57" i="37"/>
  <c r="M57" i="37"/>
  <c r="N52" i="37"/>
  <c r="N53" i="37"/>
  <c r="N54" i="37"/>
  <c r="F55" i="37"/>
  <c r="N55" i="37"/>
  <c r="F56" i="37"/>
  <c r="N56" i="37"/>
  <c r="F57" i="37"/>
  <c r="N57" i="37"/>
  <c r="R51" i="37"/>
  <c r="O52" i="37"/>
  <c r="O53" i="37"/>
  <c r="O54" i="37"/>
  <c r="G55" i="37"/>
  <c r="O55" i="37"/>
  <c r="G56" i="37"/>
  <c r="O56" i="37"/>
  <c r="G57" i="37"/>
  <c r="O57" i="37"/>
  <c r="F7" i="37"/>
  <c r="F50" i="37"/>
  <c r="U65" i="37"/>
  <c r="I65" i="37"/>
  <c r="F51" i="37"/>
  <c r="U64" i="37"/>
  <c r="F64" i="37"/>
  <c r="R50" i="37"/>
  <c r="I64" i="37"/>
  <c r="L64" i="37"/>
  <c r="L50" i="37"/>
  <c r="C64" i="37"/>
  <c r="C65" i="37"/>
  <c r="M65" i="37"/>
  <c r="L51" i="37"/>
  <c r="D51" i="37"/>
  <c r="J50" i="37"/>
  <c r="J51" i="37"/>
  <c r="R64" i="37"/>
  <c r="R65" i="37"/>
  <c r="U50" i="37"/>
  <c r="U51" i="37"/>
  <c r="O64" i="37"/>
  <c r="O65" i="37"/>
  <c r="X51" i="37"/>
  <c r="X64" i="37"/>
  <c r="X65" i="37"/>
  <c r="X50" i="37"/>
  <c r="N92" i="36" a="1"/>
  <c r="N92" i="36" s="1"/>
  <c r="AP35" i="36" a="1"/>
  <c r="AP35" i="36" s="1"/>
  <c r="Z35" i="36" a="1"/>
  <c r="Z35" i="36" s="1"/>
  <c r="AD35" i="36" a="1"/>
  <c r="AD35" i="36" s="1"/>
  <c r="AL35" i="36" a="1"/>
  <c r="AL35" i="36" s="1"/>
  <c r="V35" i="36" a="1"/>
  <c r="V35" i="36" s="1"/>
  <c r="J35" i="36" a="1"/>
  <c r="J35" i="36" s="1"/>
  <c r="R35" i="36" a="1"/>
  <c r="R35" i="36" s="1"/>
  <c r="AH35" i="36" a="1"/>
  <c r="AH35" i="36" s="1"/>
  <c r="B35" i="36" a="1"/>
  <c r="B35" i="36" s="1"/>
  <c r="AT35" i="36" a="1"/>
  <c r="AT35" i="36" s="1"/>
  <c r="N35" i="36" a="1"/>
  <c r="N35" i="36" s="1"/>
  <c r="F35" i="36" a="1"/>
  <c r="F35" i="36" s="1"/>
  <c r="H174" i="3"/>
  <c r="H179" i="3" s="1"/>
  <c r="H166" i="3"/>
  <c r="H171" i="3" s="1"/>
  <c r="H198" i="3" l="1"/>
  <c r="G198" i="3"/>
  <c r="C198" i="3"/>
  <c r="F198" i="3"/>
  <c r="E198" i="3"/>
  <c r="D198" i="3"/>
  <c r="E105" i="37"/>
  <c r="F105" i="37"/>
  <c r="G104" i="37"/>
  <c r="E100" i="37"/>
  <c r="G105" i="37"/>
  <c r="G103" i="37"/>
  <c r="E99" i="37"/>
  <c r="E107" i="37"/>
  <c r="G102" i="37"/>
  <c r="S83" i="37"/>
  <c r="F317" i="37"/>
  <c r="E101" i="37"/>
  <c r="K183" i="37"/>
  <c r="G101" i="37"/>
  <c r="Y83" i="37"/>
  <c r="R105" i="37"/>
  <c r="K185" i="37"/>
  <c r="J159" i="37"/>
  <c r="M183" i="37"/>
  <c r="X317" i="37"/>
  <c r="W338" i="37"/>
  <c r="L237" i="37"/>
  <c r="X316" i="37"/>
  <c r="U238" i="37"/>
  <c r="D241" i="37"/>
  <c r="D245" i="37"/>
  <c r="D244" i="37"/>
  <c r="D240" i="37"/>
  <c r="Q107" i="37"/>
  <c r="Q111" i="37" s="1"/>
  <c r="L83" i="37"/>
  <c r="L262" i="37"/>
  <c r="D243" i="37"/>
  <c r="T105" i="37"/>
  <c r="V105" i="37"/>
  <c r="M238" i="37"/>
  <c r="Q105" i="37"/>
  <c r="N27" i="37"/>
  <c r="I82" i="37"/>
  <c r="U105" i="37"/>
  <c r="P348" i="37"/>
  <c r="P345" i="37"/>
  <c r="O348" i="37"/>
  <c r="O345" i="37"/>
  <c r="N344" i="37"/>
  <c r="N343" i="37"/>
  <c r="P349" i="37"/>
  <c r="N348" i="37"/>
  <c r="P346" i="37"/>
  <c r="N345" i="37"/>
  <c r="P350" i="37"/>
  <c r="P347" i="37"/>
  <c r="O350" i="37"/>
  <c r="O347" i="37"/>
  <c r="N350" i="37"/>
  <c r="N347" i="37"/>
  <c r="N349" i="37"/>
  <c r="N346" i="37"/>
  <c r="O346" i="37"/>
  <c r="O349" i="37"/>
  <c r="T110" i="37"/>
  <c r="T111" i="37"/>
  <c r="M337" i="37"/>
  <c r="M336" i="37"/>
  <c r="M335" i="37"/>
  <c r="M334" i="37"/>
  <c r="M333" i="37"/>
  <c r="M332" i="37"/>
  <c r="K331" i="37"/>
  <c r="K330" i="37"/>
  <c r="L337" i="37"/>
  <c r="L336" i="37"/>
  <c r="L335" i="37"/>
  <c r="L334" i="37"/>
  <c r="L333" i="37"/>
  <c r="L332" i="37"/>
  <c r="K337" i="37"/>
  <c r="K336" i="37"/>
  <c r="K335" i="37"/>
  <c r="K334" i="37"/>
  <c r="K333" i="37"/>
  <c r="K332" i="37"/>
  <c r="W331" i="37"/>
  <c r="W330" i="37"/>
  <c r="X337" i="37"/>
  <c r="X336" i="37"/>
  <c r="X335" i="37"/>
  <c r="X334" i="37"/>
  <c r="X333" i="37"/>
  <c r="X332" i="37"/>
  <c r="Y336" i="37"/>
  <c r="Y334" i="37"/>
  <c r="Y332" i="37"/>
  <c r="W336" i="37"/>
  <c r="W334" i="37"/>
  <c r="W332" i="37"/>
  <c r="Y337" i="37"/>
  <c r="Y335" i="37"/>
  <c r="Y333" i="37"/>
  <c r="W335" i="37"/>
  <c r="W337" i="37"/>
  <c r="W333" i="37"/>
  <c r="I83" i="37"/>
  <c r="J83" i="37"/>
  <c r="X182" i="37"/>
  <c r="X181" i="37"/>
  <c r="X180" i="37"/>
  <c r="X179" i="37"/>
  <c r="X178" i="37"/>
  <c r="X177" i="37"/>
  <c r="W182" i="37"/>
  <c r="W181" i="37"/>
  <c r="W180" i="37"/>
  <c r="W179" i="37"/>
  <c r="W178" i="37"/>
  <c r="W177" i="37"/>
  <c r="W175" i="37"/>
  <c r="Y181" i="37"/>
  <c r="Y182" i="37"/>
  <c r="Y177" i="37"/>
  <c r="W176" i="37"/>
  <c r="Y178" i="37"/>
  <c r="Y179" i="37"/>
  <c r="Y180" i="37"/>
  <c r="S178" i="37"/>
  <c r="R177" i="37"/>
  <c r="Q180" i="37"/>
  <c r="S179" i="37"/>
  <c r="R178" i="37"/>
  <c r="Q177" i="37"/>
  <c r="R181" i="37"/>
  <c r="Q175" i="37"/>
  <c r="S180" i="37"/>
  <c r="R179" i="37"/>
  <c r="Q178" i="37"/>
  <c r="S181" i="37"/>
  <c r="R180" i="37"/>
  <c r="Q179" i="37"/>
  <c r="S182" i="37"/>
  <c r="Q181" i="37"/>
  <c r="R182" i="37"/>
  <c r="Q176" i="37"/>
  <c r="Q182" i="37"/>
  <c r="S177" i="37"/>
  <c r="H255" i="37"/>
  <c r="H254" i="37"/>
  <c r="J256" i="37"/>
  <c r="J260" i="37"/>
  <c r="I259" i="37"/>
  <c r="J261" i="37"/>
  <c r="I260" i="37"/>
  <c r="H259" i="37"/>
  <c r="I261" i="37"/>
  <c r="H260" i="37"/>
  <c r="I256" i="37"/>
  <c r="I257" i="37"/>
  <c r="H261" i="37"/>
  <c r="J257" i="37"/>
  <c r="H256" i="37"/>
  <c r="J258" i="37"/>
  <c r="H257" i="37"/>
  <c r="I258" i="37"/>
  <c r="J259" i="37"/>
  <c r="H258" i="37"/>
  <c r="F188" i="37"/>
  <c r="G188" i="37"/>
  <c r="K176" i="37"/>
  <c r="L176" i="37" s="1"/>
  <c r="L182" i="37"/>
  <c r="L181" i="37"/>
  <c r="L180" i="37"/>
  <c r="L179" i="37"/>
  <c r="L178" i="37"/>
  <c r="L177" i="37"/>
  <c r="M182" i="37"/>
  <c r="K181" i="37"/>
  <c r="K177" i="37"/>
  <c r="K182" i="37"/>
  <c r="M178" i="37"/>
  <c r="K175" i="37"/>
  <c r="M177" i="37"/>
  <c r="M179" i="37"/>
  <c r="K178" i="37"/>
  <c r="M180" i="37"/>
  <c r="K179" i="37"/>
  <c r="M181" i="37"/>
  <c r="K180" i="37"/>
  <c r="F83" i="37"/>
  <c r="G83" i="37"/>
  <c r="U82" i="37"/>
  <c r="U237" i="37"/>
  <c r="O338" i="37"/>
  <c r="Y338" i="37"/>
  <c r="X159" i="37"/>
  <c r="Y159" i="37"/>
  <c r="B175" i="37"/>
  <c r="B177" i="37"/>
  <c r="D182" i="37"/>
  <c r="D181" i="37"/>
  <c r="D180" i="37"/>
  <c r="D179" i="37"/>
  <c r="D178" i="37"/>
  <c r="D177" i="37"/>
  <c r="B176" i="37"/>
  <c r="C177" i="37"/>
  <c r="C180" i="37"/>
  <c r="B179" i="37"/>
  <c r="C178" i="37"/>
  <c r="C179" i="37"/>
  <c r="B178" i="37"/>
  <c r="C181" i="37"/>
  <c r="B180" i="37"/>
  <c r="C182" i="37"/>
  <c r="B181" i="37"/>
  <c r="B182" i="37"/>
  <c r="D256" i="37"/>
  <c r="C259" i="37"/>
  <c r="C256" i="37"/>
  <c r="C257" i="37"/>
  <c r="B255" i="37"/>
  <c r="B256" i="37"/>
  <c r="D257" i="37"/>
  <c r="D258" i="37"/>
  <c r="B257" i="37"/>
  <c r="B254" i="37"/>
  <c r="C258" i="37"/>
  <c r="B258" i="37"/>
  <c r="D259" i="37"/>
  <c r="D261" i="37"/>
  <c r="C260" i="37"/>
  <c r="D260" i="37"/>
  <c r="B259" i="37"/>
  <c r="C261" i="37"/>
  <c r="B260" i="37"/>
  <c r="B261" i="37"/>
  <c r="H175" i="37"/>
  <c r="H182" i="37"/>
  <c r="H181" i="37"/>
  <c r="H180" i="37"/>
  <c r="H179" i="37"/>
  <c r="H178" i="37"/>
  <c r="H177" i="37"/>
  <c r="H176" i="37"/>
  <c r="J180" i="37"/>
  <c r="I179" i="37"/>
  <c r="J181" i="37"/>
  <c r="I180" i="37"/>
  <c r="J182" i="37"/>
  <c r="I181" i="37"/>
  <c r="I182" i="37"/>
  <c r="J177" i="37"/>
  <c r="J178" i="37"/>
  <c r="I177" i="37"/>
  <c r="J179" i="37"/>
  <c r="I178" i="37"/>
  <c r="V182" i="37"/>
  <c r="T182" i="37"/>
  <c r="T181" i="37"/>
  <c r="T180" i="37"/>
  <c r="T179" i="37"/>
  <c r="T178" i="37"/>
  <c r="T177" i="37"/>
  <c r="V180" i="37"/>
  <c r="U179" i="37"/>
  <c r="U182" i="37"/>
  <c r="T175" i="37"/>
  <c r="V181" i="37"/>
  <c r="U180" i="37"/>
  <c r="U181" i="37"/>
  <c r="V177" i="37"/>
  <c r="T176" i="37"/>
  <c r="V178" i="37"/>
  <c r="U177" i="37"/>
  <c r="V179" i="37"/>
  <c r="U178" i="37"/>
  <c r="X338" i="37"/>
  <c r="E97" i="37"/>
  <c r="E103" i="37"/>
  <c r="E98" i="37"/>
  <c r="E102" i="37"/>
  <c r="E104" i="37"/>
  <c r="Q110" i="37"/>
  <c r="W255" i="37"/>
  <c r="W254" i="37"/>
  <c r="W261" i="37"/>
  <c r="W260" i="37"/>
  <c r="W259" i="37"/>
  <c r="Y261" i="37"/>
  <c r="X260" i="37"/>
  <c r="Y256" i="37"/>
  <c r="X261" i="37"/>
  <c r="X256" i="37"/>
  <c r="Y257" i="37"/>
  <c r="W256" i="37"/>
  <c r="Y258" i="37"/>
  <c r="W257" i="37"/>
  <c r="X257" i="37"/>
  <c r="X258" i="37"/>
  <c r="Y259" i="37"/>
  <c r="W258" i="37"/>
  <c r="Y260" i="37"/>
  <c r="X259" i="37"/>
  <c r="U337" i="37"/>
  <c r="U336" i="37"/>
  <c r="U335" i="37"/>
  <c r="U334" i="37"/>
  <c r="U333" i="37"/>
  <c r="U332" i="37"/>
  <c r="T337" i="37"/>
  <c r="T336" i="37"/>
  <c r="T335" i="37"/>
  <c r="T334" i="37"/>
  <c r="T333" i="37"/>
  <c r="T332" i="37"/>
  <c r="T330" i="37"/>
  <c r="V336" i="37"/>
  <c r="V334" i="37"/>
  <c r="V332" i="37"/>
  <c r="T331" i="37"/>
  <c r="V335" i="37"/>
  <c r="V337" i="37"/>
  <c r="V333" i="37"/>
  <c r="V25" i="37"/>
  <c r="N176" i="37"/>
  <c r="N175" i="37"/>
  <c r="P182" i="37"/>
  <c r="P181" i="37"/>
  <c r="P180" i="37"/>
  <c r="P179" i="37"/>
  <c r="P178" i="37"/>
  <c r="P177" i="37"/>
  <c r="O182" i="37"/>
  <c r="O181" i="37"/>
  <c r="O180" i="37"/>
  <c r="O179" i="37"/>
  <c r="O178" i="37"/>
  <c r="O177" i="37"/>
  <c r="N182" i="37"/>
  <c r="N177" i="37"/>
  <c r="N178" i="37"/>
  <c r="N179" i="37"/>
  <c r="N180" i="37"/>
  <c r="N181" i="37"/>
  <c r="X348" i="37"/>
  <c r="X345" i="37"/>
  <c r="Y349" i="37"/>
  <c r="W348" i="37"/>
  <c r="Y346" i="37"/>
  <c r="W345" i="37"/>
  <c r="X349" i="37"/>
  <c r="X346" i="37"/>
  <c r="W344" i="37"/>
  <c r="W343" i="37"/>
  <c r="X350" i="37"/>
  <c r="X347" i="37"/>
  <c r="Y348" i="37"/>
  <c r="Y345" i="37"/>
  <c r="Y350" i="37"/>
  <c r="Y347" i="37"/>
  <c r="W350" i="37"/>
  <c r="W347" i="37"/>
  <c r="W349" i="37"/>
  <c r="W346" i="37"/>
  <c r="V258" i="37"/>
  <c r="U257" i="37"/>
  <c r="T256" i="37"/>
  <c r="T254" i="37"/>
  <c r="V261" i="37"/>
  <c r="V260" i="37"/>
  <c r="V259" i="37"/>
  <c r="U258" i="37"/>
  <c r="T257" i="37"/>
  <c r="U261" i="37"/>
  <c r="U260" i="37"/>
  <c r="U259" i="37"/>
  <c r="T258" i="37"/>
  <c r="T255" i="37"/>
  <c r="T259" i="37"/>
  <c r="T260" i="37"/>
  <c r="T261" i="37"/>
  <c r="U256" i="37"/>
  <c r="V256" i="37"/>
  <c r="V257" i="37"/>
  <c r="S256" i="37"/>
  <c r="Q254" i="37"/>
  <c r="S257" i="37"/>
  <c r="R256" i="37"/>
  <c r="Q255" i="37"/>
  <c r="R258" i="37"/>
  <c r="S259" i="37"/>
  <c r="Q258" i="37"/>
  <c r="S260" i="37"/>
  <c r="R259" i="37"/>
  <c r="R261" i="37"/>
  <c r="Q260" i="37"/>
  <c r="Q256" i="37"/>
  <c r="R257" i="37"/>
  <c r="S258" i="37"/>
  <c r="Q257" i="37"/>
  <c r="S261" i="37"/>
  <c r="R260" i="37"/>
  <c r="Q259" i="37"/>
  <c r="Q261" i="37"/>
  <c r="S337" i="37"/>
  <c r="S336" i="37"/>
  <c r="S335" i="37"/>
  <c r="S334" i="37"/>
  <c r="S333" i="37"/>
  <c r="S332" i="37"/>
  <c r="Q337" i="37"/>
  <c r="Q335" i="37"/>
  <c r="Q333" i="37"/>
  <c r="Q330" i="37"/>
  <c r="Q336" i="37"/>
  <c r="Q334" i="37"/>
  <c r="Q332" i="37"/>
  <c r="Q331" i="37"/>
  <c r="R333" i="37"/>
  <c r="R336" i="37"/>
  <c r="R335" i="37"/>
  <c r="R337" i="37"/>
  <c r="R332" i="37"/>
  <c r="R334" i="37"/>
  <c r="H331" i="37"/>
  <c r="H330" i="37"/>
  <c r="H337" i="37"/>
  <c r="H336" i="37"/>
  <c r="H335" i="37"/>
  <c r="H334" i="37"/>
  <c r="H333" i="37"/>
  <c r="H332" i="37"/>
  <c r="I336" i="37"/>
  <c r="I334" i="37"/>
  <c r="I332" i="37"/>
  <c r="I337" i="37"/>
  <c r="I335" i="37"/>
  <c r="I333" i="37"/>
  <c r="J332" i="37"/>
  <c r="J333" i="37"/>
  <c r="J334" i="37"/>
  <c r="J335" i="37"/>
  <c r="J336" i="37"/>
  <c r="J337" i="37"/>
  <c r="G344" i="37"/>
  <c r="F344" i="37"/>
  <c r="K262" i="37"/>
  <c r="K255" i="37"/>
  <c r="L255" i="37" s="1"/>
  <c r="K254" i="37"/>
  <c r="L254" i="37" s="1"/>
  <c r="M257" i="37"/>
  <c r="L256" i="37"/>
  <c r="M258" i="37"/>
  <c r="L257" i="37"/>
  <c r="K256" i="37"/>
  <c r="M261" i="37"/>
  <c r="M260" i="37"/>
  <c r="M259" i="37"/>
  <c r="L258" i="37"/>
  <c r="K257" i="37"/>
  <c r="K261" i="37"/>
  <c r="M256" i="37"/>
  <c r="K258" i="37"/>
  <c r="K264" i="37"/>
  <c r="L259" i="37"/>
  <c r="L260" i="37"/>
  <c r="K259" i="37"/>
  <c r="L261" i="37"/>
  <c r="K260" i="37"/>
  <c r="K189" i="37"/>
  <c r="M195" i="37"/>
  <c r="M194" i="37"/>
  <c r="M193" i="37"/>
  <c r="M192" i="37"/>
  <c r="K193" i="37"/>
  <c r="L194" i="37"/>
  <c r="L192" i="37"/>
  <c r="L191" i="37"/>
  <c r="L190" i="37"/>
  <c r="L195" i="37"/>
  <c r="K194" i="37"/>
  <c r="K195" i="37"/>
  <c r="K188" i="37"/>
  <c r="K192" i="37"/>
  <c r="M190" i="37"/>
  <c r="K190" i="37"/>
  <c r="M191" i="37"/>
  <c r="L193" i="37"/>
  <c r="K191" i="37"/>
  <c r="O82" i="37"/>
  <c r="D337" i="37"/>
  <c r="D336" i="37"/>
  <c r="D335" i="37"/>
  <c r="D334" i="37"/>
  <c r="D333" i="37"/>
  <c r="D332" i="37"/>
  <c r="C337" i="37"/>
  <c r="C336" i="37"/>
  <c r="C335" i="37"/>
  <c r="C334" i="37"/>
  <c r="C333" i="37"/>
  <c r="C332" i="37"/>
  <c r="B331" i="37"/>
  <c r="B330" i="37"/>
  <c r="B337" i="37"/>
  <c r="B332" i="37"/>
  <c r="B333" i="37"/>
  <c r="B334" i="37"/>
  <c r="B335" i="37"/>
  <c r="B336" i="37"/>
  <c r="T27" i="37"/>
  <c r="N331" i="37"/>
  <c r="P331" i="37" s="1"/>
  <c r="N330" i="37"/>
  <c r="P330" i="37" s="1"/>
  <c r="P337" i="37"/>
  <c r="P336" i="37"/>
  <c r="P335" i="37"/>
  <c r="P334" i="37"/>
  <c r="P333" i="37"/>
  <c r="P332" i="37"/>
  <c r="O337" i="37"/>
  <c r="O335" i="37"/>
  <c r="O333" i="37"/>
  <c r="N337" i="37"/>
  <c r="N335" i="37"/>
  <c r="N333" i="37"/>
  <c r="O334" i="37"/>
  <c r="N334" i="37"/>
  <c r="O336" i="37"/>
  <c r="N336" i="37"/>
  <c r="O332" i="37"/>
  <c r="N332" i="37"/>
  <c r="V28" i="37"/>
  <c r="E110" i="37"/>
  <c r="E111" i="37"/>
  <c r="N255" i="37"/>
  <c r="N254" i="37"/>
  <c r="O261" i="37"/>
  <c r="O260" i="37"/>
  <c r="O259" i="37"/>
  <c r="N258" i="37"/>
  <c r="N261" i="37"/>
  <c r="N260" i="37"/>
  <c r="N259" i="37"/>
  <c r="P257" i="37"/>
  <c r="N256" i="37"/>
  <c r="O257" i="37"/>
  <c r="P258" i="37"/>
  <c r="N257" i="37"/>
  <c r="P259" i="37"/>
  <c r="P256" i="37"/>
  <c r="O256" i="37"/>
  <c r="O258" i="37"/>
  <c r="P260" i="37"/>
  <c r="P261" i="37"/>
  <c r="G261" i="37"/>
  <c r="G260" i="37"/>
  <c r="G259" i="37"/>
  <c r="F258" i="37"/>
  <c r="E257" i="37"/>
  <c r="F261" i="37"/>
  <c r="F260" i="37"/>
  <c r="F259" i="37"/>
  <c r="E258" i="37"/>
  <c r="E261" i="37"/>
  <c r="E260" i="37"/>
  <c r="E259" i="37"/>
  <c r="E254" i="37"/>
  <c r="E255" i="37"/>
  <c r="G258" i="37"/>
  <c r="G256" i="37"/>
  <c r="F256" i="37"/>
  <c r="G257" i="37"/>
  <c r="E256" i="37"/>
  <c r="F257" i="37"/>
  <c r="N338" i="37"/>
  <c r="G343" i="37"/>
  <c r="F343" i="37"/>
  <c r="G189" i="37"/>
  <c r="F189" i="37"/>
  <c r="S338" i="37"/>
  <c r="R338" i="37"/>
  <c r="Q338" i="37"/>
  <c r="Q340" i="37"/>
  <c r="O316" i="37"/>
  <c r="P316" i="37"/>
  <c r="Y330" i="37"/>
  <c r="X330" i="37"/>
  <c r="G331" i="37"/>
  <c r="F331" i="37"/>
  <c r="J317" i="37"/>
  <c r="I317" i="37"/>
  <c r="R317" i="37"/>
  <c r="S317" i="37"/>
  <c r="D317" i="37"/>
  <c r="C317" i="37"/>
  <c r="D316" i="37"/>
  <c r="C316" i="37"/>
  <c r="L338" i="37"/>
  <c r="K338" i="37"/>
  <c r="K340" i="37"/>
  <c r="M338" i="37"/>
  <c r="H340" i="37"/>
  <c r="J338" i="37"/>
  <c r="H338" i="37"/>
  <c r="I338" i="37"/>
  <c r="P351" i="37"/>
  <c r="N351" i="37"/>
  <c r="O351" i="37"/>
  <c r="D338" i="37"/>
  <c r="C338" i="37"/>
  <c r="B340" i="37"/>
  <c r="B338" i="37"/>
  <c r="T338" i="37"/>
  <c r="T340" i="37"/>
  <c r="V338" i="37"/>
  <c r="U338" i="37"/>
  <c r="R316" i="37"/>
  <c r="S316" i="37"/>
  <c r="J316" i="37"/>
  <c r="I316" i="37"/>
  <c r="F330" i="37"/>
  <c r="G330" i="37"/>
  <c r="L317" i="37"/>
  <c r="M317" i="37"/>
  <c r="O317" i="37"/>
  <c r="P317" i="37"/>
  <c r="M316" i="37"/>
  <c r="L316" i="37"/>
  <c r="X331" i="37"/>
  <c r="Y331" i="37"/>
  <c r="X351" i="37"/>
  <c r="W351" i="37"/>
  <c r="Y351" i="37"/>
  <c r="R262" i="37"/>
  <c r="Q262" i="37"/>
  <c r="Q264" i="37"/>
  <c r="S262" i="37"/>
  <c r="D237" i="37"/>
  <c r="C237" i="37"/>
  <c r="G238" i="37"/>
  <c r="F238" i="37"/>
  <c r="S238" i="37"/>
  <c r="R238" i="37"/>
  <c r="C238" i="37"/>
  <c r="D238" i="37"/>
  <c r="I237" i="37"/>
  <c r="J237" i="37"/>
  <c r="P238" i="37"/>
  <c r="O238" i="37"/>
  <c r="I238" i="37"/>
  <c r="J238" i="37"/>
  <c r="D262" i="37"/>
  <c r="B264" i="37"/>
  <c r="B262" i="37"/>
  <c r="C262" i="37"/>
  <c r="W264" i="37"/>
  <c r="Y262" i="37"/>
  <c r="X262" i="37"/>
  <c r="W262" i="37"/>
  <c r="T262" i="37"/>
  <c r="V262" i="37"/>
  <c r="T264" i="37"/>
  <c r="U262" i="37"/>
  <c r="H264" i="37"/>
  <c r="J262" i="37"/>
  <c r="I262" i="37"/>
  <c r="H262" i="37"/>
  <c r="S237" i="37"/>
  <c r="R237" i="37"/>
  <c r="E264" i="37"/>
  <c r="G262" i="37"/>
  <c r="F262" i="37"/>
  <c r="E262" i="37"/>
  <c r="N262" i="37"/>
  <c r="N264" i="37"/>
  <c r="O262" i="37"/>
  <c r="P262" i="37"/>
  <c r="P237" i="37"/>
  <c r="O237" i="37"/>
  <c r="G237" i="37"/>
  <c r="F237" i="37"/>
  <c r="G160" i="37"/>
  <c r="F160" i="37"/>
  <c r="F175" i="37"/>
  <c r="G175" i="37"/>
  <c r="T183" i="37"/>
  <c r="V183" i="37"/>
  <c r="T185" i="37"/>
  <c r="U183" i="37"/>
  <c r="D183" i="37"/>
  <c r="C183" i="37"/>
  <c r="B185" i="37"/>
  <c r="B183" i="37"/>
  <c r="S183" i="37"/>
  <c r="R183" i="37"/>
  <c r="Q185" i="37"/>
  <c r="Q183" i="37"/>
  <c r="U159" i="37"/>
  <c r="V159" i="37"/>
  <c r="G176" i="37"/>
  <c r="F176" i="37"/>
  <c r="D160" i="37"/>
  <c r="C160" i="37"/>
  <c r="L175" i="37"/>
  <c r="M175" i="37"/>
  <c r="U160" i="37"/>
  <c r="V160" i="37"/>
  <c r="S159" i="37"/>
  <c r="R159" i="37"/>
  <c r="S160" i="37"/>
  <c r="R160" i="37"/>
  <c r="Y183" i="37"/>
  <c r="X183" i="37"/>
  <c r="W183" i="37"/>
  <c r="W185" i="37"/>
  <c r="M160" i="37"/>
  <c r="L160" i="37"/>
  <c r="N185" i="37"/>
  <c r="P183" i="37"/>
  <c r="O183" i="37"/>
  <c r="N183" i="37"/>
  <c r="P160" i="37"/>
  <c r="O160" i="37"/>
  <c r="G159" i="37"/>
  <c r="F159" i="37"/>
  <c r="L196" i="37"/>
  <c r="K196" i="37"/>
  <c r="M196" i="37"/>
  <c r="H185" i="37"/>
  <c r="J183" i="37"/>
  <c r="I183" i="37"/>
  <c r="H183" i="37"/>
  <c r="M159" i="37"/>
  <c r="L159" i="37"/>
  <c r="D159" i="37"/>
  <c r="C159" i="37"/>
  <c r="P159" i="37"/>
  <c r="O159" i="37"/>
  <c r="M101" i="37"/>
  <c r="M100" i="37"/>
  <c r="M99" i="37"/>
  <c r="K98" i="37"/>
  <c r="K103" i="37"/>
  <c r="K100" i="37"/>
  <c r="M104" i="37"/>
  <c r="M102" i="37"/>
  <c r="L100" i="37"/>
  <c r="L104" i="37"/>
  <c r="L102" i="37"/>
  <c r="K104" i="37"/>
  <c r="K102" i="37"/>
  <c r="K97" i="37"/>
  <c r="M103" i="37"/>
  <c r="L101" i="37"/>
  <c r="L99" i="37"/>
  <c r="L103" i="37"/>
  <c r="K101" i="37"/>
  <c r="K99" i="37"/>
  <c r="N98" i="37"/>
  <c r="P104" i="37"/>
  <c r="P103" i="37"/>
  <c r="P102" i="37"/>
  <c r="O101" i="37"/>
  <c r="O100" i="37"/>
  <c r="O99" i="37"/>
  <c r="O104" i="37"/>
  <c r="O103" i="37"/>
  <c r="O102" i="37"/>
  <c r="N101" i="37"/>
  <c r="N100" i="37"/>
  <c r="N99" i="37"/>
  <c r="N97" i="37"/>
  <c r="N104" i="37"/>
  <c r="N103" i="37"/>
  <c r="N102" i="37"/>
  <c r="P101" i="37"/>
  <c r="P100" i="37"/>
  <c r="P99" i="37"/>
  <c r="O83" i="37"/>
  <c r="P83" i="37"/>
  <c r="H104" i="37"/>
  <c r="H103" i="37"/>
  <c r="H102" i="37"/>
  <c r="I104" i="37"/>
  <c r="I103" i="37"/>
  <c r="I102" i="37"/>
  <c r="H101" i="37"/>
  <c r="H100" i="37"/>
  <c r="H99" i="37"/>
  <c r="H97" i="37"/>
  <c r="J101" i="37"/>
  <c r="J99" i="37"/>
  <c r="J103" i="37"/>
  <c r="I101" i="37"/>
  <c r="I99" i="37"/>
  <c r="J100" i="37"/>
  <c r="J104" i="37"/>
  <c r="J102" i="37"/>
  <c r="I100" i="37"/>
  <c r="H98" i="37"/>
  <c r="G118" i="37"/>
  <c r="G117" i="37"/>
  <c r="G116" i="37"/>
  <c r="G115" i="37"/>
  <c r="G114" i="37"/>
  <c r="G113" i="37"/>
  <c r="G112" i="37"/>
  <c r="E118" i="37"/>
  <c r="E117" i="37"/>
  <c r="E115" i="37"/>
  <c r="F118" i="37"/>
  <c r="F117" i="37"/>
  <c r="F116" i="37"/>
  <c r="F115" i="37"/>
  <c r="F114" i="37"/>
  <c r="F113" i="37"/>
  <c r="F112" i="37"/>
  <c r="E116" i="37"/>
  <c r="E112" i="37"/>
  <c r="E114" i="37"/>
  <c r="E113" i="37"/>
  <c r="U118" i="37"/>
  <c r="U115" i="37"/>
  <c r="V118" i="37"/>
  <c r="V117" i="37"/>
  <c r="V116" i="37"/>
  <c r="V115" i="37"/>
  <c r="V114" i="37"/>
  <c r="V113" i="37"/>
  <c r="V112" i="37"/>
  <c r="U117" i="37"/>
  <c r="U116" i="37"/>
  <c r="U114" i="37"/>
  <c r="T118" i="37"/>
  <c r="T113" i="37"/>
  <c r="T117" i="37"/>
  <c r="T116" i="37"/>
  <c r="U112" i="37"/>
  <c r="T115" i="37"/>
  <c r="T112" i="37"/>
  <c r="T114" i="37"/>
  <c r="U113" i="37"/>
  <c r="F82" i="37"/>
  <c r="Q97" i="37"/>
  <c r="Q104" i="37"/>
  <c r="Q103" i="37"/>
  <c r="Q102" i="37"/>
  <c r="S104" i="37"/>
  <c r="S102" i="37"/>
  <c r="R100" i="37"/>
  <c r="R104" i="37"/>
  <c r="R102" i="37"/>
  <c r="Q100" i="37"/>
  <c r="S99" i="37"/>
  <c r="S101" i="37"/>
  <c r="S103" i="37"/>
  <c r="R101" i="37"/>
  <c r="R99" i="37"/>
  <c r="Q98" i="37"/>
  <c r="R103" i="37"/>
  <c r="Q101" i="37"/>
  <c r="Q99" i="37"/>
  <c r="S100" i="37"/>
  <c r="X104" i="37"/>
  <c r="X103" i="37"/>
  <c r="X102" i="37"/>
  <c r="W101" i="37"/>
  <c r="W100" i="37"/>
  <c r="W99" i="37"/>
  <c r="W104" i="37"/>
  <c r="W103" i="37"/>
  <c r="W102" i="37"/>
  <c r="W98" i="37"/>
  <c r="W97" i="37"/>
  <c r="Y104" i="37"/>
  <c r="Y103" i="37"/>
  <c r="Y102" i="37"/>
  <c r="X101" i="37"/>
  <c r="X100" i="37"/>
  <c r="X99" i="37"/>
  <c r="Y101" i="37"/>
  <c r="Y99" i="37"/>
  <c r="Y100" i="37"/>
  <c r="S82" i="37"/>
  <c r="R82" i="37"/>
  <c r="J24" i="37"/>
  <c r="C104" i="37"/>
  <c r="B102" i="37"/>
  <c r="B100" i="37"/>
  <c r="B104" i="37"/>
  <c r="D101" i="37"/>
  <c r="D99" i="37"/>
  <c r="D103" i="37"/>
  <c r="C101" i="37"/>
  <c r="C99" i="37"/>
  <c r="C103" i="37"/>
  <c r="B101" i="37"/>
  <c r="B98" i="37"/>
  <c r="B99" i="37"/>
  <c r="B103" i="37"/>
  <c r="B97" i="37"/>
  <c r="D102" i="37"/>
  <c r="D100" i="37"/>
  <c r="D104" i="37"/>
  <c r="C102" i="37"/>
  <c r="C100" i="37"/>
  <c r="Q118" i="37"/>
  <c r="Q117" i="37"/>
  <c r="Q116" i="37"/>
  <c r="Q115" i="37"/>
  <c r="Q114" i="37"/>
  <c r="Q113" i="37"/>
  <c r="Q112" i="37"/>
  <c r="S118" i="37"/>
  <c r="S113" i="37"/>
  <c r="R118" i="37"/>
  <c r="S117" i="37"/>
  <c r="R113" i="37"/>
  <c r="R117" i="37"/>
  <c r="S116" i="37"/>
  <c r="R116" i="37"/>
  <c r="S115" i="37"/>
  <c r="S112" i="37"/>
  <c r="R115" i="37"/>
  <c r="S114" i="37"/>
  <c r="R112" i="37"/>
  <c r="R114" i="37"/>
  <c r="L82" i="37"/>
  <c r="V101" i="37"/>
  <c r="V100" i="37"/>
  <c r="V99" i="37"/>
  <c r="V104" i="37"/>
  <c r="V103" i="37"/>
  <c r="V102" i="37"/>
  <c r="U101" i="37"/>
  <c r="U100" i="37"/>
  <c r="U99" i="37"/>
  <c r="T103" i="37"/>
  <c r="U103" i="37"/>
  <c r="T101" i="37"/>
  <c r="T99" i="37"/>
  <c r="T98" i="37"/>
  <c r="T97" i="37"/>
  <c r="U104" i="37"/>
  <c r="U102" i="37"/>
  <c r="T100" i="37"/>
  <c r="T104" i="37"/>
  <c r="T102" i="37"/>
  <c r="C83" i="37"/>
  <c r="D83" i="37"/>
  <c r="C105" i="37"/>
  <c r="B107" i="37"/>
  <c r="D105" i="37"/>
  <c r="B105" i="37"/>
  <c r="I105" i="37"/>
  <c r="H105" i="37"/>
  <c r="J105" i="37"/>
  <c r="H107" i="37"/>
  <c r="C82" i="37"/>
  <c r="D82" i="37"/>
  <c r="W107" i="37"/>
  <c r="Y105" i="37"/>
  <c r="X105" i="37"/>
  <c r="W105" i="37"/>
  <c r="P105" i="37"/>
  <c r="O105" i="37"/>
  <c r="N107" i="37"/>
  <c r="N105" i="37"/>
  <c r="K105" i="37"/>
  <c r="K107" i="37"/>
  <c r="M105" i="37"/>
  <c r="L105" i="37"/>
  <c r="U8" i="37"/>
  <c r="Q34" i="37"/>
  <c r="Q40" i="37"/>
  <c r="R41" i="37"/>
  <c r="S42" i="37"/>
  <c r="Q38" i="37"/>
  <c r="S39" i="37"/>
  <c r="Q39" i="37"/>
  <c r="R40" i="37"/>
  <c r="S41" i="37"/>
  <c r="R39" i="37"/>
  <c r="S40" i="37"/>
  <c r="Q37" i="37"/>
  <c r="R38" i="37"/>
  <c r="Q36" i="37"/>
  <c r="R37" i="37"/>
  <c r="S38" i="37"/>
  <c r="R36" i="37"/>
  <c r="S37" i="37"/>
  <c r="Q42" i="37"/>
  <c r="S36" i="37"/>
  <c r="Q41" i="37"/>
  <c r="R42" i="37"/>
  <c r="Q35" i="37"/>
  <c r="N38" i="37"/>
  <c r="P39" i="37"/>
  <c r="P37" i="37"/>
  <c r="N35" i="37"/>
  <c r="N37" i="37"/>
  <c r="O38" i="37"/>
  <c r="N36" i="37"/>
  <c r="O37" i="37"/>
  <c r="P38" i="37"/>
  <c r="O36" i="37"/>
  <c r="N42" i="37"/>
  <c r="P36" i="37"/>
  <c r="N41" i="37"/>
  <c r="O42" i="37"/>
  <c r="N40" i="37"/>
  <c r="O41" i="37"/>
  <c r="P42" i="37"/>
  <c r="N39" i="37"/>
  <c r="O40" i="37"/>
  <c r="P41" i="37"/>
  <c r="N34" i="37"/>
  <c r="O39" i="37"/>
  <c r="P40" i="37"/>
  <c r="T36" i="37"/>
  <c r="U37" i="37"/>
  <c r="V38" i="37"/>
  <c r="T34" i="37"/>
  <c r="U36" i="37"/>
  <c r="V37" i="37"/>
  <c r="T42" i="37"/>
  <c r="T40" i="37"/>
  <c r="U41" i="37"/>
  <c r="V42" i="37"/>
  <c r="V36" i="37"/>
  <c r="T41" i="37"/>
  <c r="U42" i="37"/>
  <c r="T39" i="37"/>
  <c r="U40" i="37"/>
  <c r="V41" i="37"/>
  <c r="T35" i="37"/>
  <c r="U39" i="37"/>
  <c r="V40" i="37"/>
  <c r="T38" i="37"/>
  <c r="V39" i="37"/>
  <c r="T37" i="37"/>
  <c r="U38" i="37"/>
  <c r="H39" i="37"/>
  <c r="I40" i="37"/>
  <c r="J41" i="37"/>
  <c r="I39" i="37"/>
  <c r="J40" i="37"/>
  <c r="H37" i="37"/>
  <c r="I38" i="37"/>
  <c r="H38" i="37"/>
  <c r="J39" i="37"/>
  <c r="H34" i="37"/>
  <c r="H35" i="37"/>
  <c r="H36" i="37"/>
  <c r="I37" i="37"/>
  <c r="J38" i="37"/>
  <c r="I36" i="37"/>
  <c r="J37" i="37"/>
  <c r="H42" i="37"/>
  <c r="J36" i="37"/>
  <c r="H41" i="37"/>
  <c r="I42" i="37"/>
  <c r="H40" i="37"/>
  <c r="I41" i="37"/>
  <c r="J42" i="37"/>
  <c r="X39" i="37"/>
  <c r="Y40" i="37"/>
  <c r="W36" i="37"/>
  <c r="W38" i="37"/>
  <c r="Y39" i="37"/>
  <c r="W37" i="37"/>
  <c r="X38" i="37"/>
  <c r="X37" i="37"/>
  <c r="Y38" i="37"/>
  <c r="W34" i="37"/>
  <c r="X36" i="37"/>
  <c r="Y37" i="37"/>
  <c r="W42" i="37"/>
  <c r="Y36" i="37"/>
  <c r="W41" i="37"/>
  <c r="X42" i="37"/>
  <c r="W35" i="37"/>
  <c r="W40" i="37"/>
  <c r="X41" i="37"/>
  <c r="Y42" i="37"/>
  <c r="W39" i="37"/>
  <c r="X40" i="37"/>
  <c r="Y41" i="37"/>
  <c r="P27" i="37"/>
  <c r="L36" i="37"/>
  <c r="M37" i="37"/>
  <c r="K42" i="37"/>
  <c r="M36" i="37"/>
  <c r="K41" i="37"/>
  <c r="L42" i="37"/>
  <c r="K39" i="37"/>
  <c r="K40" i="37"/>
  <c r="L41" i="37"/>
  <c r="M42" i="37"/>
  <c r="L40" i="37"/>
  <c r="M41" i="37"/>
  <c r="L39" i="37"/>
  <c r="M40" i="37"/>
  <c r="K34" i="37"/>
  <c r="K38" i="37"/>
  <c r="M39" i="37"/>
  <c r="K37" i="37"/>
  <c r="L38" i="37"/>
  <c r="K35" i="37"/>
  <c r="K36" i="37"/>
  <c r="L37" i="37"/>
  <c r="M38" i="37"/>
  <c r="U23" i="37"/>
  <c r="O26" i="37"/>
  <c r="E37" i="37"/>
  <c r="F38" i="37"/>
  <c r="G36" i="37"/>
  <c r="E41" i="37"/>
  <c r="F42" i="37"/>
  <c r="E35" i="37"/>
  <c r="E36" i="37"/>
  <c r="F37" i="37"/>
  <c r="G38" i="37"/>
  <c r="E34" i="37"/>
  <c r="F36" i="37"/>
  <c r="G37" i="37"/>
  <c r="E42" i="37"/>
  <c r="E40" i="37"/>
  <c r="F41" i="37"/>
  <c r="G42" i="37"/>
  <c r="E39" i="37"/>
  <c r="F40" i="37"/>
  <c r="G41" i="37"/>
  <c r="F39" i="37"/>
  <c r="G40" i="37"/>
  <c r="E38" i="37"/>
  <c r="G39" i="37"/>
  <c r="I24" i="37"/>
  <c r="T28" i="37"/>
  <c r="M8" i="37"/>
  <c r="N28" i="37"/>
  <c r="U24" i="37"/>
  <c r="V27" i="37"/>
  <c r="T26" i="37"/>
  <c r="V24" i="37"/>
  <c r="V29" i="37"/>
  <c r="P24" i="37"/>
  <c r="T25" i="37"/>
  <c r="O27" i="37"/>
  <c r="V23" i="37"/>
  <c r="N29" i="37"/>
  <c r="P23" i="37"/>
  <c r="O25" i="37"/>
  <c r="T24" i="37"/>
  <c r="N26" i="37"/>
  <c r="O29" i="37"/>
  <c r="U29" i="37"/>
  <c r="T29" i="37"/>
  <c r="H22" i="37"/>
  <c r="I22" i="37" s="1"/>
  <c r="O7" i="37"/>
  <c r="T23" i="37"/>
  <c r="X25" i="37"/>
  <c r="H26" i="37"/>
  <c r="N21" i="37"/>
  <c r="P26" i="37"/>
  <c r="O50" i="37"/>
  <c r="U7" i="37"/>
  <c r="P29" i="37"/>
  <c r="H23" i="37"/>
  <c r="Y27" i="37"/>
  <c r="B26" i="37"/>
  <c r="C26" i="37"/>
  <c r="D26" i="37"/>
  <c r="B23" i="37"/>
  <c r="B21" i="37"/>
  <c r="C21" i="37" s="1"/>
  <c r="B31" i="37"/>
  <c r="H25" i="37"/>
  <c r="D27" i="37"/>
  <c r="X28" i="37"/>
  <c r="L26" i="37"/>
  <c r="H29" i="37"/>
  <c r="D24" i="37"/>
  <c r="K22" i="37"/>
  <c r="M22" i="37" s="1"/>
  <c r="I7" i="37"/>
  <c r="H28" i="37"/>
  <c r="B28" i="37"/>
  <c r="W26" i="37"/>
  <c r="R27" i="37"/>
  <c r="J23" i="37"/>
  <c r="J28" i="37"/>
  <c r="I28" i="37"/>
  <c r="J26" i="37"/>
  <c r="W23" i="37"/>
  <c r="J29" i="37"/>
  <c r="J27" i="37"/>
  <c r="D7" i="37"/>
  <c r="I25" i="37"/>
  <c r="H24" i="37"/>
  <c r="W24" i="37"/>
  <c r="L7" i="37"/>
  <c r="R23" i="37"/>
  <c r="B29" i="37"/>
  <c r="Y28" i="37"/>
  <c r="M23" i="37"/>
  <c r="I29" i="37"/>
  <c r="H21" i="37"/>
  <c r="I27" i="37"/>
  <c r="H27" i="37"/>
  <c r="I26" i="37"/>
  <c r="I23" i="37"/>
  <c r="B27" i="37"/>
  <c r="C25" i="37"/>
  <c r="K28" i="37"/>
  <c r="L27" i="37"/>
  <c r="K23" i="37"/>
  <c r="L23" i="37"/>
  <c r="B24" i="37"/>
  <c r="M25" i="37"/>
  <c r="B25" i="37"/>
  <c r="W29" i="37"/>
  <c r="M27" i="37"/>
  <c r="J25" i="37"/>
  <c r="R24" i="37"/>
  <c r="D28" i="37"/>
  <c r="L29" i="37"/>
  <c r="O28" i="37"/>
  <c r="P28" i="37"/>
  <c r="N24" i="37"/>
  <c r="T22" i="37"/>
  <c r="V26" i="37"/>
  <c r="U25" i="37"/>
  <c r="T21" i="37"/>
  <c r="U27" i="37"/>
  <c r="U28" i="37"/>
  <c r="L28" i="37"/>
  <c r="M29" i="37"/>
  <c r="M28" i="37"/>
  <c r="K25" i="37"/>
  <c r="M24" i="37"/>
  <c r="L25" i="37"/>
  <c r="K21" i="37"/>
  <c r="O8" i="37"/>
  <c r="D23" i="37"/>
  <c r="K29" i="37"/>
  <c r="K24" i="37"/>
  <c r="M26" i="37"/>
  <c r="C27" i="37"/>
  <c r="R7" i="37"/>
  <c r="C23" i="37"/>
  <c r="D29" i="37"/>
  <c r="B22" i="37"/>
  <c r="C22" i="37" s="1"/>
  <c r="N23" i="37"/>
  <c r="P25" i="37"/>
  <c r="K26" i="37"/>
  <c r="L24" i="37"/>
  <c r="D25" i="37"/>
  <c r="C29" i="37"/>
  <c r="N22" i="37"/>
  <c r="O22" i="37" s="1"/>
  <c r="K27" i="37"/>
  <c r="N25" i="37"/>
  <c r="O23" i="37"/>
  <c r="Q28" i="37"/>
  <c r="X29" i="37"/>
  <c r="W21" i="37"/>
  <c r="Q27" i="37"/>
  <c r="G8" i="37"/>
  <c r="X8" i="37"/>
  <c r="Q25" i="37"/>
  <c r="X26" i="37"/>
  <c r="X7" i="37"/>
  <c r="Q26" i="37"/>
  <c r="O51" i="37"/>
  <c r="W25" i="37"/>
  <c r="C24" i="37"/>
  <c r="C28" i="37"/>
  <c r="Y29" i="37"/>
  <c r="Y24" i="37"/>
  <c r="W27" i="37"/>
  <c r="X23" i="37"/>
  <c r="Y23" i="37"/>
  <c r="W28" i="37"/>
  <c r="X24" i="37"/>
  <c r="Y25" i="37"/>
  <c r="W22" i="37"/>
  <c r="I8" i="37"/>
  <c r="C8" i="37"/>
  <c r="R28" i="37"/>
  <c r="Y26" i="37"/>
  <c r="X27" i="37"/>
  <c r="R8" i="37"/>
  <c r="S8" i="37"/>
  <c r="Q29" i="37"/>
  <c r="S23" i="37"/>
  <c r="S24" i="37"/>
  <c r="S25" i="37"/>
  <c r="Q21" i="37"/>
  <c r="S26" i="37"/>
  <c r="Q22" i="37"/>
  <c r="R29" i="37"/>
  <c r="S29" i="37"/>
  <c r="S28" i="37"/>
  <c r="S27" i="37"/>
  <c r="R26" i="37"/>
  <c r="Q24" i="37"/>
  <c r="R25" i="37"/>
  <c r="Q23" i="37"/>
  <c r="E28" i="37"/>
  <c r="G26" i="37"/>
  <c r="F23" i="37"/>
  <c r="F27" i="37"/>
  <c r="E24" i="37"/>
  <c r="E27" i="37"/>
  <c r="G25" i="37"/>
  <c r="F26" i="37"/>
  <c r="E23" i="37"/>
  <c r="G27" i="37"/>
  <c r="F24" i="37"/>
  <c r="E21" i="37"/>
  <c r="E26" i="37"/>
  <c r="G24" i="37"/>
  <c r="E22" i="37"/>
  <c r="G29" i="37"/>
  <c r="F29" i="37"/>
  <c r="E29" i="37"/>
  <c r="G28" i="37"/>
  <c r="F25" i="37"/>
  <c r="F28" i="37"/>
  <c r="E25" i="37"/>
  <c r="G23" i="37"/>
  <c r="H45" i="29"/>
  <c r="H16" i="29"/>
  <c r="H48" i="29" s="1"/>
  <c r="G12" i="8"/>
  <c r="G7" i="8"/>
  <c r="AE13" i="5"/>
  <c r="V13" i="5"/>
  <c r="T13" i="5"/>
  <c r="B187" i="33"/>
  <c r="M254" i="37" l="1"/>
  <c r="C193" i="37"/>
  <c r="C198" i="37" s="1"/>
  <c r="D193" i="37"/>
  <c r="B193" i="37"/>
  <c r="M176" i="37"/>
  <c r="M255" i="37"/>
  <c r="N110" i="37"/>
  <c r="N111" i="37"/>
  <c r="U350" i="37"/>
  <c r="U347" i="37"/>
  <c r="T350" i="37"/>
  <c r="T347" i="37"/>
  <c r="V348" i="37"/>
  <c r="V345" i="37"/>
  <c r="U349" i="37"/>
  <c r="U346" i="37"/>
  <c r="V349" i="37"/>
  <c r="V346" i="37"/>
  <c r="T349" i="37"/>
  <c r="T346" i="37"/>
  <c r="T348" i="37"/>
  <c r="T345" i="37"/>
  <c r="T344" i="37"/>
  <c r="T343" i="37"/>
  <c r="V350" i="37"/>
  <c r="V347" i="37"/>
  <c r="U348" i="37"/>
  <c r="U345" i="37"/>
  <c r="O330" i="37"/>
  <c r="Y344" i="37"/>
  <c r="X344" i="37"/>
  <c r="R349" i="37"/>
  <c r="R346" i="37"/>
  <c r="Q344" i="37"/>
  <c r="Q343" i="37"/>
  <c r="Q349" i="37"/>
  <c r="Q346" i="37"/>
  <c r="S350" i="37"/>
  <c r="S347" i="37"/>
  <c r="S348" i="37"/>
  <c r="S345" i="37"/>
  <c r="Q350" i="37"/>
  <c r="Q347" i="37"/>
  <c r="S349" i="37"/>
  <c r="S346" i="37"/>
  <c r="R350" i="37"/>
  <c r="R347" i="37"/>
  <c r="R348" i="37"/>
  <c r="Q348" i="37"/>
  <c r="R345" i="37"/>
  <c r="Q345" i="37"/>
  <c r="H111" i="37"/>
  <c r="H110" i="37"/>
  <c r="Q188" i="37"/>
  <c r="R195" i="37"/>
  <c r="Q192" i="37"/>
  <c r="Q195" i="37"/>
  <c r="S193" i="37"/>
  <c r="Q189" i="37"/>
  <c r="R193" i="37"/>
  <c r="S194" i="37"/>
  <c r="R192" i="37"/>
  <c r="S190" i="37"/>
  <c r="R191" i="37"/>
  <c r="R194" i="37"/>
  <c r="R190" i="37"/>
  <c r="Q193" i="37"/>
  <c r="Q194" i="37"/>
  <c r="Q190" i="37"/>
  <c r="S191" i="37"/>
  <c r="Q191" i="37"/>
  <c r="S195" i="37"/>
  <c r="S192" i="37"/>
  <c r="T188" i="37"/>
  <c r="U195" i="37"/>
  <c r="U194" i="37"/>
  <c r="U193" i="37"/>
  <c r="U192" i="37"/>
  <c r="T189" i="37"/>
  <c r="T193" i="37"/>
  <c r="V194" i="37"/>
  <c r="V191" i="37"/>
  <c r="V190" i="37"/>
  <c r="V192" i="37"/>
  <c r="T191" i="37"/>
  <c r="T190" i="37"/>
  <c r="T194" i="37"/>
  <c r="V195" i="37"/>
  <c r="U191" i="37"/>
  <c r="V193" i="37"/>
  <c r="T195" i="37"/>
  <c r="T192" i="37"/>
  <c r="U190" i="37"/>
  <c r="J273" i="37"/>
  <c r="I273" i="37"/>
  <c r="H268" i="37"/>
  <c r="H267" i="37"/>
  <c r="H274" i="37"/>
  <c r="H271" i="37"/>
  <c r="J269" i="37"/>
  <c r="H273" i="37"/>
  <c r="J272" i="37"/>
  <c r="I269" i="37"/>
  <c r="I272" i="37"/>
  <c r="H269" i="37"/>
  <c r="H270" i="37"/>
  <c r="J274" i="37"/>
  <c r="I274" i="37"/>
  <c r="J271" i="37"/>
  <c r="J270" i="37"/>
  <c r="I270" i="37"/>
  <c r="I271" i="37"/>
  <c r="H272" i="37"/>
  <c r="R273" i="37"/>
  <c r="Q273" i="37"/>
  <c r="Q268" i="37"/>
  <c r="Q267" i="37"/>
  <c r="S272" i="37"/>
  <c r="R269" i="37"/>
  <c r="R272" i="37"/>
  <c r="Q269" i="37"/>
  <c r="Q272" i="37"/>
  <c r="S270" i="37"/>
  <c r="Q274" i="37"/>
  <c r="R270" i="37"/>
  <c r="Q270" i="37"/>
  <c r="S271" i="37"/>
  <c r="R271" i="37"/>
  <c r="S274" i="37"/>
  <c r="Q271" i="37"/>
  <c r="R274" i="37"/>
  <c r="S273" i="37"/>
  <c r="S269" i="37"/>
  <c r="M274" i="37"/>
  <c r="L274" i="37"/>
  <c r="M273" i="37"/>
  <c r="K273" i="37"/>
  <c r="K272" i="37"/>
  <c r="M270" i="37"/>
  <c r="L270" i="37"/>
  <c r="K268" i="37"/>
  <c r="K267" i="37"/>
  <c r="K274" i="37"/>
  <c r="K270" i="37"/>
  <c r="L271" i="37"/>
  <c r="K271" i="37"/>
  <c r="L273" i="37"/>
  <c r="M269" i="37"/>
  <c r="L272" i="37"/>
  <c r="K269" i="37"/>
  <c r="L269" i="37"/>
  <c r="M271" i="37"/>
  <c r="M272" i="37"/>
  <c r="K275" i="37"/>
  <c r="L275" i="37"/>
  <c r="M275" i="37"/>
  <c r="G98" i="37"/>
  <c r="F98" i="37"/>
  <c r="V111" i="37"/>
  <c r="U111" i="37"/>
  <c r="P343" i="37"/>
  <c r="O343" i="37"/>
  <c r="D348" i="37"/>
  <c r="D353" i="37" s="1"/>
  <c r="C348" i="37"/>
  <c r="C353" i="37" s="1"/>
  <c r="C349" i="37"/>
  <c r="B346" i="37"/>
  <c r="B348" i="37"/>
  <c r="B353" i="37" s="1"/>
  <c r="B347" i="37" s="1"/>
  <c r="B344" i="37"/>
  <c r="B343" i="37"/>
  <c r="V110" i="37"/>
  <c r="U110" i="37"/>
  <c r="P344" i="37"/>
  <c r="O344" i="37"/>
  <c r="G111" i="37"/>
  <c r="F111" i="37"/>
  <c r="M189" i="37"/>
  <c r="L189" i="37"/>
  <c r="G97" i="37"/>
  <c r="F97" i="37"/>
  <c r="W272" i="37"/>
  <c r="Y273" i="37"/>
  <c r="X274" i="37"/>
  <c r="W273" i="37"/>
  <c r="X271" i="37"/>
  <c r="W271" i="37"/>
  <c r="Y269" i="37"/>
  <c r="Y274" i="37"/>
  <c r="X269" i="37"/>
  <c r="W267" i="37"/>
  <c r="W268" i="37"/>
  <c r="Y271" i="37"/>
  <c r="W274" i="37"/>
  <c r="Y272" i="37"/>
  <c r="X272" i="37"/>
  <c r="W269" i="37"/>
  <c r="X273" i="37"/>
  <c r="Y270" i="37"/>
  <c r="X270" i="37"/>
  <c r="W270" i="37"/>
  <c r="O331" i="37"/>
  <c r="G110" i="37"/>
  <c r="F110" i="37"/>
  <c r="K111" i="37"/>
  <c r="K110" i="37"/>
  <c r="B189" i="37"/>
  <c r="B188" i="37"/>
  <c r="U274" i="37"/>
  <c r="T267" i="37"/>
  <c r="T274" i="37"/>
  <c r="V272" i="37"/>
  <c r="T268" i="37"/>
  <c r="U273" i="37"/>
  <c r="U270" i="37"/>
  <c r="V273" i="37"/>
  <c r="T270" i="37"/>
  <c r="T273" i="37"/>
  <c r="V271" i="37"/>
  <c r="V270" i="37"/>
  <c r="U271" i="37"/>
  <c r="V269" i="37"/>
  <c r="V274" i="37"/>
  <c r="T271" i="37"/>
  <c r="U272" i="37"/>
  <c r="T272" i="37"/>
  <c r="U269" i="37"/>
  <c r="T269" i="37"/>
  <c r="M350" i="37"/>
  <c r="M347" i="37"/>
  <c r="L350" i="37"/>
  <c r="L347" i="37"/>
  <c r="K350" i="37"/>
  <c r="K347" i="37"/>
  <c r="M349" i="37"/>
  <c r="K348" i="37"/>
  <c r="M346" i="37"/>
  <c r="K345" i="37"/>
  <c r="K344" i="37"/>
  <c r="K343" i="37"/>
  <c r="L348" i="37"/>
  <c r="L345" i="37"/>
  <c r="L349" i="37"/>
  <c r="M345" i="37"/>
  <c r="K349" i="37"/>
  <c r="L346" i="37"/>
  <c r="K346" i="37"/>
  <c r="M348" i="37"/>
  <c r="S111" i="37"/>
  <c r="R111" i="37"/>
  <c r="O194" i="37"/>
  <c r="P191" i="37"/>
  <c r="P190" i="37"/>
  <c r="N194" i="37"/>
  <c r="P192" i="37"/>
  <c r="O191" i="37"/>
  <c r="O190" i="37"/>
  <c r="P195" i="37"/>
  <c r="O192" i="37"/>
  <c r="N191" i="37"/>
  <c r="N190" i="37"/>
  <c r="N195" i="37"/>
  <c r="P193" i="37"/>
  <c r="N188" i="37"/>
  <c r="N192" i="37"/>
  <c r="P194" i="37"/>
  <c r="N189" i="37"/>
  <c r="O193" i="37"/>
  <c r="N193" i="37"/>
  <c r="O195" i="37"/>
  <c r="E274" i="37"/>
  <c r="E273" i="37"/>
  <c r="E270" i="37"/>
  <c r="G271" i="37"/>
  <c r="G273" i="37"/>
  <c r="F271" i="37"/>
  <c r="E267" i="37"/>
  <c r="E268" i="37"/>
  <c r="E272" i="37"/>
  <c r="G270" i="37"/>
  <c r="F270" i="37"/>
  <c r="F274" i="37"/>
  <c r="E271" i="37"/>
  <c r="F273" i="37"/>
  <c r="G269" i="37"/>
  <c r="F269" i="37"/>
  <c r="E269" i="37"/>
  <c r="G274" i="37"/>
  <c r="G272" i="37"/>
  <c r="F272" i="37"/>
  <c r="J349" i="37"/>
  <c r="H348" i="37"/>
  <c r="J346" i="37"/>
  <c r="H345" i="37"/>
  <c r="I349" i="37"/>
  <c r="I346" i="37"/>
  <c r="H349" i="37"/>
  <c r="H346" i="37"/>
  <c r="H350" i="37"/>
  <c r="H347" i="37"/>
  <c r="J348" i="37"/>
  <c r="J345" i="37"/>
  <c r="H344" i="37"/>
  <c r="H343" i="37"/>
  <c r="I348" i="37"/>
  <c r="I345" i="37"/>
  <c r="I350" i="37"/>
  <c r="I347" i="37"/>
  <c r="J350" i="37"/>
  <c r="J347" i="37"/>
  <c r="W111" i="37"/>
  <c r="W110" i="37"/>
  <c r="I195" i="37"/>
  <c r="H192" i="37"/>
  <c r="H191" i="37"/>
  <c r="H190" i="37"/>
  <c r="H188" i="37"/>
  <c r="H195" i="37"/>
  <c r="J193" i="37"/>
  <c r="I193" i="37"/>
  <c r="J194" i="37"/>
  <c r="H193" i="37"/>
  <c r="J191" i="37"/>
  <c r="I191" i="37"/>
  <c r="J195" i="37"/>
  <c r="I192" i="37"/>
  <c r="J192" i="37"/>
  <c r="I194" i="37"/>
  <c r="J190" i="37"/>
  <c r="H194" i="37"/>
  <c r="I190" i="37"/>
  <c r="H189" i="37"/>
  <c r="W189" i="37"/>
  <c r="X194" i="37"/>
  <c r="X191" i="37"/>
  <c r="X190" i="37"/>
  <c r="W194" i="37"/>
  <c r="Y192" i="37"/>
  <c r="W191" i="37"/>
  <c r="W190" i="37"/>
  <c r="Y195" i="37"/>
  <c r="X192" i="37"/>
  <c r="W195" i="37"/>
  <c r="Y193" i="37"/>
  <c r="W188" i="37"/>
  <c r="X193" i="37"/>
  <c r="Y191" i="37"/>
  <c r="W193" i="37"/>
  <c r="X195" i="37"/>
  <c r="W192" i="37"/>
  <c r="Y190" i="37"/>
  <c r="Y194" i="37"/>
  <c r="N267" i="37"/>
  <c r="P274" i="37"/>
  <c r="O274" i="37"/>
  <c r="P271" i="37"/>
  <c r="N268" i="37"/>
  <c r="N274" i="37"/>
  <c r="O271" i="37"/>
  <c r="N271" i="37"/>
  <c r="P269" i="37"/>
  <c r="O273" i="37"/>
  <c r="P272" i="37"/>
  <c r="O269" i="37"/>
  <c r="N273" i="37"/>
  <c r="O272" i="37"/>
  <c r="N269" i="37"/>
  <c r="N272" i="37"/>
  <c r="O270" i="37"/>
  <c r="P270" i="37"/>
  <c r="N270" i="37"/>
  <c r="P273" i="37"/>
  <c r="D272" i="37"/>
  <c r="D277" i="37" s="1"/>
  <c r="C272" i="37"/>
  <c r="B272" i="37"/>
  <c r="B277" i="37" s="1"/>
  <c r="B268" i="37"/>
  <c r="B267" i="37"/>
  <c r="M188" i="37"/>
  <c r="L188" i="37"/>
  <c r="Y343" i="37"/>
  <c r="X343" i="37"/>
  <c r="S110" i="37"/>
  <c r="R110" i="37"/>
  <c r="D331" i="37"/>
  <c r="C331" i="37"/>
  <c r="L351" i="37"/>
  <c r="K351" i="37"/>
  <c r="M351" i="37"/>
  <c r="S351" i="37"/>
  <c r="R351" i="37"/>
  <c r="Q351" i="37"/>
  <c r="V331" i="37"/>
  <c r="U331" i="37"/>
  <c r="J351" i="37"/>
  <c r="H351" i="37"/>
  <c r="I351" i="37"/>
  <c r="V330" i="37"/>
  <c r="U330" i="37"/>
  <c r="J330" i="37"/>
  <c r="I330" i="37"/>
  <c r="L330" i="37"/>
  <c r="M330" i="37"/>
  <c r="S331" i="37"/>
  <c r="R331" i="37"/>
  <c r="T351" i="37"/>
  <c r="V351" i="37"/>
  <c r="U351" i="37"/>
  <c r="J331" i="37"/>
  <c r="I331" i="37"/>
  <c r="D330" i="37"/>
  <c r="C330" i="37"/>
  <c r="L331" i="37"/>
  <c r="M331" i="37"/>
  <c r="S330" i="37"/>
  <c r="R330" i="37"/>
  <c r="F254" i="37"/>
  <c r="G254" i="37"/>
  <c r="R254" i="37"/>
  <c r="S254" i="37"/>
  <c r="O255" i="37"/>
  <c r="P255" i="37"/>
  <c r="R255" i="37"/>
  <c r="S255" i="37"/>
  <c r="J254" i="37"/>
  <c r="I254" i="37"/>
  <c r="T275" i="37"/>
  <c r="V275" i="37"/>
  <c r="U275" i="37"/>
  <c r="P275" i="37"/>
  <c r="O275" i="37"/>
  <c r="N275" i="37"/>
  <c r="P254" i="37"/>
  <c r="O254" i="37"/>
  <c r="V254" i="37"/>
  <c r="U254" i="37"/>
  <c r="Y254" i="37"/>
  <c r="X254" i="37"/>
  <c r="Y275" i="37"/>
  <c r="W275" i="37"/>
  <c r="X275" i="37"/>
  <c r="D254" i="37"/>
  <c r="C254" i="37"/>
  <c r="J275" i="37"/>
  <c r="I275" i="37"/>
  <c r="H275" i="37"/>
  <c r="G255" i="37"/>
  <c r="F255" i="37"/>
  <c r="J255" i="37"/>
  <c r="I255" i="37"/>
  <c r="U255" i="37"/>
  <c r="V255" i="37"/>
  <c r="D255" i="37"/>
  <c r="C255" i="37"/>
  <c r="S275" i="37"/>
  <c r="R275" i="37"/>
  <c r="Q275" i="37"/>
  <c r="Y255" i="37"/>
  <c r="X255" i="37"/>
  <c r="G275" i="37"/>
  <c r="E275" i="37"/>
  <c r="F275" i="37"/>
  <c r="Y196" i="37"/>
  <c r="X196" i="37"/>
  <c r="W196" i="37"/>
  <c r="Y175" i="37"/>
  <c r="X175" i="37"/>
  <c r="J196" i="37"/>
  <c r="I196" i="37"/>
  <c r="H196" i="37"/>
  <c r="P175" i="37"/>
  <c r="O175" i="37"/>
  <c r="S176" i="37"/>
  <c r="R176" i="37"/>
  <c r="P196" i="37"/>
  <c r="O196" i="37"/>
  <c r="N196" i="37"/>
  <c r="S175" i="37"/>
  <c r="R175" i="37"/>
  <c r="V175" i="37"/>
  <c r="U175" i="37"/>
  <c r="D175" i="37"/>
  <c r="C175" i="37"/>
  <c r="U176" i="37"/>
  <c r="V176" i="37"/>
  <c r="J176" i="37"/>
  <c r="I176" i="37"/>
  <c r="J175" i="37"/>
  <c r="I175" i="37"/>
  <c r="P176" i="37"/>
  <c r="O176" i="37"/>
  <c r="Y176" i="37"/>
  <c r="X176" i="37"/>
  <c r="S196" i="37"/>
  <c r="R196" i="37"/>
  <c r="Q196" i="37"/>
  <c r="D176" i="37"/>
  <c r="C176" i="37"/>
  <c r="D198" i="37"/>
  <c r="T196" i="37"/>
  <c r="U196" i="37"/>
  <c r="V196" i="37"/>
  <c r="M118" i="37"/>
  <c r="M116" i="37"/>
  <c r="M117" i="37"/>
  <c r="M115" i="37"/>
  <c r="M113" i="37"/>
  <c r="L114" i="37"/>
  <c r="K112" i="37"/>
  <c r="K114" i="37"/>
  <c r="L118" i="37"/>
  <c r="L113" i="37"/>
  <c r="K118" i="37"/>
  <c r="L117" i="37"/>
  <c r="K113" i="37"/>
  <c r="K117" i="37"/>
  <c r="L116" i="37"/>
  <c r="K116" i="37"/>
  <c r="L115" i="37"/>
  <c r="M112" i="37"/>
  <c r="K115" i="37"/>
  <c r="M114" i="37"/>
  <c r="L112" i="37"/>
  <c r="S97" i="37"/>
  <c r="R97" i="37"/>
  <c r="J98" i="37"/>
  <c r="I98" i="37"/>
  <c r="M97" i="37"/>
  <c r="L97" i="37"/>
  <c r="X118" i="37"/>
  <c r="X117" i="37"/>
  <c r="X116" i="37"/>
  <c r="X115" i="37"/>
  <c r="X114" i="37"/>
  <c r="X113" i="37"/>
  <c r="X112" i="37"/>
  <c r="W118" i="37"/>
  <c r="W117" i="37"/>
  <c r="W116" i="37"/>
  <c r="W115" i="37"/>
  <c r="W114" i="37"/>
  <c r="W113" i="37"/>
  <c r="W112" i="37"/>
  <c r="Y118" i="37"/>
  <c r="Y117" i="37"/>
  <c r="Y116" i="37"/>
  <c r="Y115" i="37"/>
  <c r="Y114" i="37"/>
  <c r="Y113" i="37"/>
  <c r="Y112" i="37"/>
  <c r="S98" i="37"/>
  <c r="R98" i="37"/>
  <c r="P98" i="37"/>
  <c r="O98" i="37"/>
  <c r="D37" i="37"/>
  <c r="D36" i="37"/>
  <c r="D38" i="37"/>
  <c r="D42" i="37"/>
  <c r="D40" i="37"/>
  <c r="D39" i="37"/>
  <c r="D44" i="37" s="1"/>
  <c r="C120" i="37"/>
  <c r="B120" i="37"/>
  <c r="B111" i="37"/>
  <c r="Y97" i="37"/>
  <c r="X97" i="37"/>
  <c r="J97" i="37"/>
  <c r="I97" i="37"/>
  <c r="M98" i="37"/>
  <c r="L98" i="37"/>
  <c r="P118" i="37"/>
  <c r="P117" i="37"/>
  <c r="P116" i="37"/>
  <c r="P115" i="37"/>
  <c r="P114" i="37"/>
  <c r="P113" i="37"/>
  <c r="P112" i="37"/>
  <c r="O118" i="37"/>
  <c r="O117" i="37"/>
  <c r="O116" i="37"/>
  <c r="O115" i="37"/>
  <c r="O114" i="37"/>
  <c r="O113" i="37"/>
  <c r="O112" i="37"/>
  <c r="N118" i="37"/>
  <c r="N117" i="37"/>
  <c r="N116" i="37"/>
  <c r="N115" i="37"/>
  <c r="N114" i="37"/>
  <c r="N113" i="37"/>
  <c r="N112" i="37"/>
  <c r="V97" i="37"/>
  <c r="U97" i="37"/>
  <c r="Y98" i="37"/>
  <c r="X98" i="37"/>
  <c r="H118" i="37"/>
  <c r="H117" i="37"/>
  <c r="H116" i="37"/>
  <c r="H115" i="37"/>
  <c r="H114" i="37"/>
  <c r="H113" i="37"/>
  <c r="H112" i="37"/>
  <c r="I118" i="37"/>
  <c r="I117" i="37"/>
  <c r="I116" i="37"/>
  <c r="I115" i="37"/>
  <c r="I114" i="37"/>
  <c r="I113" i="37"/>
  <c r="I112" i="37"/>
  <c r="J115" i="37"/>
  <c r="J112" i="37"/>
  <c r="J114" i="37"/>
  <c r="J118" i="37"/>
  <c r="J113" i="37"/>
  <c r="J117" i="37"/>
  <c r="J116" i="37"/>
  <c r="V98" i="37"/>
  <c r="U98" i="37"/>
  <c r="O97" i="37"/>
  <c r="P97" i="37"/>
  <c r="C98" i="37"/>
  <c r="D98" i="37"/>
  <c r="C97" i="37"/>
  <c r="D97" i="37"/>
  <c r="M35" i="37"/>
  <c r="L35" i="37"/>
  <c r="I35" i="37"/>
  <c r="J35" i="37"/>
  <c r="F34" i="37"/>
  <c r="G34" i="37"/>
  <c r="I34" i="37"/>
  <c r="J34" i="37"/>
  <c r="U35" i="37"/>
  <c r="V35" i="37"/>
  <c r="S35" i="37"/>
  <c r="R35" i="37"/>
  <c r="X34" i="37"/>
  <c r="Y34" i="37"/>
  <c r="X35" i="37"/>
  <c r="Y35" i="37"/>
  <c r="O34" i="37"/>
  <c r="P34" i="37"/>
  <c r="B41" i="37"/>
  <c r="C42" i="37"/>
  <c r="B34" i="37"/>
  <c r="B42" i="37"/>
  <c r="C41" i="37"/>
  <c r="B35" i="37"/>
  <c r="C40" i="37"/>
  <c r="D41" i="37"/>
  <c r="B36" i="37"/>
  <c r="B37" i="37"/>
  <c r="C39" i="37"/>
  <c r="C44" i="37" s="1"/>
  <c r="B38" i="37"/>
  <c r="C38" i="37"/>
  <c r="B39" i="37"/>
  <c r="B44" i="37" s="1"/>
  <c r="C37" i="37"/>
  <c r="B40" i="37"/>
  <c r="C36" i="37"/>
  <c r="G35" i="37"/>
  <c r="F35" i="37"/>
  <c r="L34" i="37"/>
  <c r="M34" i="37"/>
  <c r="P35" i="37"/>
  <c r="O35" i="37"/>
  <c r="U34" i="37"/>
  <c r="V34" i="37"/>
  <c r="S34" i="37"/>
  <c r="R34" i="37"/>
  <c r="J22" i="37"/>
  <c r="O21" i="37"/>
  <c r="P21" i="37"/>
  <c r="L22" i="37"/>
  <c r="I21" i="37"/>
  <c r="J21" i="37"/>
  <c r="V22" i="37"/>
  <c r="U22" i="37"/>
  <c r="V21" i="37"/>
  <c r="U21" i="37"/>
  <c r="P22" i="37"/>
  <c r="D22" i="37"/>
  <c r="M21" i="37"/>
  <c r="L21" i="37"/>
  <c r="Y21" i="37"/>
  <c r="X21" i="37"/>
  <c r="D21" i="37"/>
  <c r="Y22" i="37"/>
  <c r="X22" i="37"/>
  <c r="S21" i="37"/>
  <c r="R21" i="37"/>
  <c r="S22" i="37"/>
  <c r="R22" i="37"/>
  <c r="F22" i="37"/>
  <c r="G22" i="37"/>
  <c r="G21" i="37"/>
  <c r="F21" i="37"/>
  <c r="D203" i="33"/>
  <c r="C203" i="33"/>
  <c r="B169" i="33"/>
  <c r="B151" i="33"/>
  <c r="K14" i="33"/>
  <c r="J14" i="33"/>
  <c r="I14" i="33"/>
  <c r="H27" i="33"/>
  <c r="H26" i="33"/>
  <c r="H25" i="33"/>
  <c r="H24" i="33"/>
  <c r="H23" i="33"/>
  <c r="H22" i="33"/>
  <c r="H21" i="33"/>
  <c r="H20" i="33"/>
  <c r="H19" i="33"/>
  <c r="H18" i="33"/>
  <c r="H17" i="33"/>
  <c r="H16" i="33"/>
  <c r="H15" i="33"/>
  <c r="H14" i="33"/>
  <c r="H13" i="33"/>
  <c r="H12" i="33"/>
  <c r="H11" i="33"/>
  <c r="H10" i="33"/>
  <c r="H9" i="33"/>
  <c r="H7" i="33"/>
  <c r="H6" i="33"/>
  <c r="H5" i="33"/>
  <c r="D11" i="32"/>
  <c r="D10" i="32"/>
  <c r="D9" i="32"/>
  <c r="D5" i="32"/>
  <c r="H21" i="29"/>
  <c r="H20" i="29"/>
  <c r="E19" i="8"/>
  <c r="G19" i="8" s="1"/>
  <c r="E194" i="3"/>
  <c r="D194" i="3"/>
  <c r="C194" i="3"/>
  <c r="H53" i="29"/>
  <c r="H51" i="29"/>
  <c r="H46" i="29"/>
  <c r="H18" i="29"/>
  <c r="H17" i="29"/>
  <c r="D92" i="4"/>
  <c r="F92" i="4"/>
  <c r="D86" i="4"/>
  <c r="E86" i="4"/>
  <c r="F86" i="4"/>
  <c r="D78" i="4"/>
  <c r="E78" i="4"/>
  <c r="F78" i="4"/>
  <c r="D79" i="4"/>
  <c r="F79" i="4"/>
  <c r="D80" i="4"/>
  <c r="F80" i="4"/>
  <c r="D81" i="4"/>
  <c r="F81" i="4"/>
  <c r="D82" i="4"/>
  <c r="F82" i="4"/>
  <c r="F83" i="4"/>
  <c r="E84" i="4"/>
  <c r="D85" i="4"/>
  <c r="E85" i="4"/>
  <c r="F85" i="4"/>
  <c r="D87" i="4"/>
  <c r="E87" i="4"/>
  <c r="F87" i="4"/>
  <c r="D88" i="4"/>
  <c r="E88" i="4"/>
  <c r="F88" i="4"/>
  <c r="D89" i="4"/>
  <c r="F89" i="4"/>
  <c r="D90" i="4"/>
  <c r="F90" i="4"/>
  <c r="D91" i="4"/>
  <c r="F91" i="4"/>
  <c r="D94" i="4"/>
  <c r="E94" i="4"/>
  <c r="F94" i="4"/>
  <c r="D95" i="4"/>
  <c r="F95" i="4"/>
  <c r="D96" i="4"/>
  <c r="E96" i="4"/>
  <c r="F96" i="4"/>
  <c r="D97" i="4"/>
  <c r="E97" i="4"/>
  <c r="F97" i="4"/>
  <c r="F98" i="4"/>
  <c r="D99" i="4"/>
  <c r="F99" i="4"/>
  <c r="C79" i="4"/>
  <c r="C87" i="4"/>
  <c r="C94" i="4"/>
  <c r="C96" i="4"/>
  <c r="C97" i="4"/>
  <c r="C98" i="4"/>
  <c r="C99" i="4"/>
  <c r="C78" i="4"/>
  <c r="H61" i="3"/>
  <c r="C131" i="37" l="1"/>
  <c r="B350" i="37"/>
  <c r="B132" i="37"/>
  <c r="B113" i="37"/>
  <c r="B130" i="37"/>
  <c r="B112" i="37"/>
  <c r="B131" i="37"/>
  <c r="B129" i="37"/>
  <c r="B142" i="37"/>
  <c r="B128" i="37"/>
  <c r="B118" i="37"/>
  <c r="B114" i="37"/>
  <c r="B117" i="37"/>
  <c r="B134" i="37"/>
  <c r="B116" i="37"/>
  <c r="B133" i="37"/>
  <c r="C129" i="37"/>
  <c r="C116" i="37"/>
  <c r="C128" i="37"/>
  <c r="C114" i="37"/>
  <c r="C148" i="37"/>
  <c r="C113" i="37"/>
  <c r="C142" i="37"/>
  <c r="C134" i="37"/>
  <c r="C112" i="37"/>
  <c r="C119" i="37" s="1"/>
  <c r="C133" i="37"/>
  <c r="C132" i="37"/>
  <c r="C118" i="37"/>
  <c r="C130" i="37"/>
  <c r="C117" i="37"/>
  <c r="C225" i="37"/>
  <c r="C224" i="37"/>
  <c r="C212" i="37"/>
  <c r="C223" i="37"/>
  <c r="C211" i="37"/>
  <c r="C222" i="37"/>
  <c r="C210" i="37"/>
  <c r="C221" i="37"/>
  <c r="C209" i="37"/>
  <c r="C220" i="37"/>
  <c r="C208" i="37"/>
  <c r="C207" i="37"/>
  <c r="C226" i="37"/>
  <c r="C206" i="37"/>
  <c r="C196" i="37"/>
  <c r="C195" i="37"/>
  <c r="C194" i="37"/>
  <c r="B349" i="37"/>
  <c r="B345" i="37"/>
  <c r="D223" i="37"/>
  <c r="D206" i="37"/>
  <c r="D226" i="37"/>
  <c r="D225" i="37"/>
  <c r="D212" i="37"/>
  <c r="D224" i="37"/>
  <c r="D211" i="37"/>
  <c r="D222" i="37"/>
  <c r="D210" i="37"/>
  <c r="D221" i="37"/>
  <c r="D209" i="37"/>
  <c r="D220" i="37"/>
  <c r="D208" i="37"/>
  <c r="D207" i="37"/>
  <c r="B351" i="37"/>
  <c r="D196" i="37"/>
  <c r="D195" i="37"/>
  <c r="D194" i="37"/>
  <c r="D192" i="37"/>
  <c r="D191" i="37"/>
  <c r="D190" i="37"/>
  <c r="C192" i="37"/>
  <c r="C191" i="37"/>
  <c r="C190" i="37"/>
  <c r="B288" i="37"/>
  <c r="B241" i="37"/>
  <c r="B243" i="37"/>
  <c r="B245" i="37"/>
  <c r="B242" i="37"/>
  <c r="B240" i="37"/>
  <c r="B244" i="37"/>
  <c r="B239" i="37"/>
  <c r="B291" i="37"/>
  <c r="B305" i="37"/>
  <c r="B290" i="37"/>
  <c r="B304" i="37"/>
  <c r="B289" i="37"/>
  <c r="B303" i="37"/>
  <c r="B301" i="37"/>
  <c r="B286" i="37"/>
  <c r="B300" i="37"/>
  <c r="B285" i="37"/>
  <c r="B302" i="37"/>
  <c r="B299" i="37"/>
  <c r="B287" i="37"/>
  <c r="D302" i="37"/>
  <c r="D291" i="37"/>
  <c r="D290" i="37"/>
  <c r="D289" i="37"/>
  <c r="D288" i="37"/>
  <c r="D287" i="37"/>
  <c r="D303" i="37"/>
  <c r="D286" i="37"/>
  <c r="D305" i="37"/>
  <c r="D285" i="37"/>
  <c r="D274" i="37"/>
  <c r="D273" i="37"/>
  <c r="D275" i="37"/>
  <c r="D268" i="37"/>
  <c r="C268" i="37"/>
  <c r="P267" i="37"/>
  <c r="O267" i="37"/>
  <c r="X188" i="37"/>
  <c r="Y188" i="37"/>
  <c r="L267" i="37"/>
  <c r="M267" i="37"/>
  <c r="S188" i="37"/>
  <c r="R188" i="37"/>
  <c r="Y110" i="37"/>
  <c r="X110" i="37"/>
  <c r="J343" i="37"/>
  <c r="I343" i="37"/>
  <c r="P188" i="37"/>
  <c r="O188" i="37"/>
  <c r="M343" i="37"/>
  <c r="L343" i="37"/>
  <c r="M268" i="37"/>
  <c r="L268" i="37"/>
  <c r="S267" i="37"/>
  <c r="R267" i="37"/>
  <c r="J110" i="37"/>
  <c r="I110" i="37"/>
  <c r="Y111" i="37"/>
  <c r="X111" i="37"/>
  <c r="J344" i="37"/>
  <c r="I344" i="37"/>
  <c r="M344" i="37"/>
  <c r="L344" i="37"/>
  <c r="R268" i="37"/>
  <c r="S268" i="37"/>
  <c r="J111" i="37"/>
  <c r="I111" i="37"/>
  <c r="G268" i="37"/>
  <c r="F268" i="37"/>
  <c r="Y268" i="37"/>
  <c r="X268" i="37"/>
  <c r="S189" i="37"/>
  <c r="R189" i="37"/>
  <c r="R343" i="37"/>
  <c r="S343" i="37"/>
  <c r="P268" i="37"/>
  <c r="O268" i="37"/>
  <c r="G267" i="37"/>
  <c r="F267" i="37"/>
  <c r="V268" i="37"/>
  <c r="U268" i="37"/>
  <c r="Y267" i="37"/>
  <c r="X267" i="37"/>
  <c r="V188" i="37"/>
  <c r="U188" i="37"/>
  <c r="R344" i="37"/>
  <c r="S344" i="37"/>
  <c r="J189" i="37"/>
  <c r="I189" i="37"/>
  <c r="M110" i="37"/>
  <c r="L110" i="37"/>
  <c r="D343" i="37"/>
  <c r="C343" i="37"/>
  <c r="J267" i="37"/>
  <c r="I267" i="37"/>
  <c r="P189" i="37"/>
  <c r="O189" i="37"/>
  <c r="M111" i="37"/>
  <c r="L111" i="37"/>
  <c r="D344" i="37"/>
  <c r="C344" i="37"/>
  <c r="J268" i="37"/>
  <c r="I268" i="37"/>
  <c r="V343" i="37"/>
  <c r="U343" i="37"/>
  <c r="P111" i="37"/>
  <c r="O111" i="37"/>
  <c r="Y189" i="37"/>
  <c r="X189" i="37"/>
  <c r="I188" i="37"/>
  <c r="J188" i="37"/>
  <c r="D267" i="37"/>
  <c r="C267" i="37"/>
  <c r="U267" i="37"/>
  <c r="V267" i="37"/>
  <c r="B364" i="37"/>
  <c r="B361" i="37"/>
  <c r="B366" i="37"/>
  <c r="B365" i="37"/>
  <c r="B379" i="37"/>
  <c r="B381" i="37"/>
  <c r="B363" i="37"/>
  <c r="B378" i="37"/>
  <c r="B362" i="37"/>
  <c r="B367" i="37"/>
  <c r="V189" i="37"/>
  <c r="U189" i="37"/>
  <c r="V344" i="37"/>
  <c r="U344" i="37"/>
  <c r="P110" i="37"/>
  <c r="O110" i="37"/>
  <c r="D271" i="37"/>
  <c r="D270" i="37"/>
  <c r="D269" i="37"/>
  <c r="B269" i="37"/>
  <c r="B275" i="37"/>
  <c r="B274" i="37"/>
  <c r="B273" i="37"/>
  <c r="B271" i="37"/>
  <c r="B270" i="37"/>
  <c r="D366" i="37"/>
  <c r="D347" i="37"/>
  <c r="D365" i="37"/>
  <c r="D346" i="37"/>
  <c r="D364" i="37"/>
  <c r="D345" i="37"/>
  <c r="D378" i="37"/>
  <c r="D363" i="37"/>
  <c r="D381" i="37"/>
  <c r="D362" i="37"/>
  <c r="D380" i="37"/>
  <c r="D361" i="37"/>
  <c r="D351" i="37"/>
  <c r="D379" i="37"/>
  <c r="D350" i="37"/>
  <c r="D367" i="37"/>
  <c r="D349" i="37"/>
  <c r="C346" i="37"/>
  <c r="C381" i="37"/>
  <c r="C362" i="37"/>
  <c r="C367" i="37"/>
  <c r="C379" i="37"/>
  <c r="C366" i="37"/>
  <c r="C378" i="37"/>
  <c r="C365" i="37"/>
  <c r="C364" i="37"/>
  <c r="C363" i="37"/>
  <c r="C361" i="37"/>
  <c r="C347" i="37"/>
  <c r="C345" i="37"/>
  <c r="C350" i="37"/>
  <c r="C351" i="37"/>
  <c r="B380" i="37"/>
  <c r="B377" i="37"/>
  <c r="B376" i="37"/>
  <c r="B375" i="37"/>
  <c r="C380" i="37"/>
  <c r="C377" i="37"/>
  <c r="C376" i="37"/>
  <c r="C375" i="37"/>
  <c r="D377" i="37"/>
  <c r="D376" i="37"/>
  <c r="D375" i="37"/>
  <c r="D304" i="37"/>
  <c r="D301" i="37"/>
  <c r="D300" i="37"/>
  <c r="D299" i="37"/>
  <c r="D188" i="37"/>
  <c r="C188" i="37"/>
  <c r="D189" i="37"/>
  <c r="C189" i="37"/>
  <c r="B72" i="37"/>
  <c r="B56" i="37"/>
  <c r="B71" i="37"/>
  <c r="B55" i="37"/>
  <c r="B70" i="37"/>
  <c r="B54" i="37"/>
  <c r="B52" i="37"/>
  <c r="B57" i="37"/>
  <c r="B67" i="37"/>
  <c r="B66" i="37"/>
  <c r="B58" i="37"/>
  <c r="B53" i="37"/>
  <c r="B69" i="37"/>
  <c r="B68" i="37"/>
  <c r="C57" i="37"/>
  <c r="C72" i="37"/>
  <c r="C56" i="37"/>
  <c r="C71" i="37"/>
  <c r="C55" i="37"/>
  <c r="C66" i="37"/>
  <c r="C58" i="37"/>
  <c r="C52" i="37"/>
  <c r="C70" i="37"/>
  <c r="C69" i="37"/>
  <c r="C68" i="37"/>
  <c r="C67" i="37"/>
  <c r="C54" i="37"/>
  <c r="C53" i="37"/>
  <c r="C111" i="37"/>
  <c r="D111" i="37"/>
  <c r="D66" i="37"/>
  <c r="D58" i="37"/>
  <c r="D57" i="37"/>
  <c r="D72" i="37"/>
  <c r="D56" i="37"/>
  <c r="D67" i="37"/>
  <c r="D69" i="37"/>
  <c r="D54" i="37"/>
  <c r="D68" i="37"/>
  <c r="D55" i="37"/>
  <c r="D53" i="37"/>
  <c r="D52" i="37"/>
  <c r="D71" i="37"/>
  <c r="D70" i="37"/>
  <c r="B147" i="37"/>
  <c r="B146" i="37"/>
  <c r="B145" i="37"/>
  <c r="B144" i="37"/>
  <c r="B143" i="37"/>
  <c r="C147" i="37"/>
  <c r="C146" i="37"/>
  <c r="C145" i="37"/>
  <c r="C144" i="37"/>
  <c r="C143" i="37"/>
  <c r="C110" i="37"/>
  <c r="D110" i="37"/>
  <c r="B148" i="37"/>
  <c r="D35" i="37"/>
  <c r="C35" i="37"/>
  <c r="D34" i="37"/>
  <c r="C34" i="37"/>
  <c r="I447" i="33" a="1"/>
  <c r="I377" i="33" a="1"/>
  <c r="I319" i="33" a="1"/>
  <c r="I486" i="33" a="1"/>
  <c r="I275" i="33" a="1"/>
  <c r="I460" i="33" a="1"/>
  <c r="I293" i="33" a="1"/>
  <c r="I473" i="33" a="1"/>
  <c r="I416" i="33" a="1"/>
  <c r="I236" i="33" a="1"/>
  <c r="I434" i="33" a="1"/>
  <c r="I223" i="33" a="1"/>
  <c r="I332" i="33" a="1"/>
  <c r="I403" i="33" a="1"/>
  <c r="I262" i="33" a="1"/>
  <c r="I345" i="33" a="1"/>
  <c r="I390" i="33" a="1"/>
  <c r="I249" i="33" a="1"/>
  <c r="I364" i="33" a="1"/>
  <c r="I306" i="33" a="1"/>
  <c r="H50" i="29"/>
  <c r="H5" i="29"/>
  <c r="H18" i="3"/>
  <c r="H11" i="3"/>
  <c r="D52" i="5"/>
  <c r="E52" i="5" s="1"/>
  <c r="D53" i="5"/>
  <c r="E53" i="5" s="1"/>
  <c r="D54" i="5"/>
  <c r="E54" i="5" s="1"/>
  <c r="D55" i="5"/>
  <c r="E55" i="5" s="1"/>
  <c r="D56" i="5"/>
  <c r="E56" i="5" s="1"/>
  <c r="D57" i="5"/>
  <c r="E57" i="5" s="1"/>
  <c r="D58" i="5"/>
  <c r="E58" i="5" s="1"/>
  <c r="D59" i="5"/>
  <c r="E59" i="5" s="1"/>
  <c r="D60" i="5"/>
  <c r="E60" i="5" s="1"/>
  <c r="D51" i="5"/>
  <c r="E51" i="5" s="1"/>
  <c r="U15" i="5"/>
  <c r="T17" i="5"/>
  <c r="B119" i="37" l="1"/>
  <c r="D140" i="37"/>
  <c r="C140" i="37"/>
  <c r="D141" i="37"/>
  <c r="C141" i="37"/>
  <c r="D292" i="37"/>
  <c r="B276" i="37"/>
  <c r="B292" i="37"/>
  <c r="D276" i="37"/>
  <c r="I473" i="33"/>
  <c r="L473" i="33" s="1"/>
  <c r="M473" i="33"/>
  <c r="L476" i="33"/>
  <c r="N478" i="33"/>
  <c r="M481" i="33"/>
  <c r="L484" i="33"/>
  <c r="N473" i="33"/>
  <c r="M476" i="33"/>
  <c r="L479" i="33"/>
  <c r="N481" i="33"/>
  <c r="M484" i="33"/>
  <c r="L474" i="33"/>
  <c r="N476" i="33"/>
  <c r="M479" i="33"/>
  <c r="L482" i="33"/>
  <c r="N484" i="33"/>
  <c r="M474" i="33"/>
  <c r="L477" i="33"/>
  <c r="N479" i="33"/>
  <c r="M482" i="33"/>
  <c r="L485" i="33"/>
  <c r="N474" i="33"/>
  <c r="M477" i="33"/>
  <c r="L480" i="33"/>
  <c r="N482" i="33"/>
  <c r="M485" i="33"/>
  <c r="L475" i="33"/>
  <c r="N477" i="33"/>
  <c r="M480" i="33"/>
  <c r="L483" i="33"/>
  <c r="N485" i="33"/>
  <c r="M475" i="33"/>
  <c r="L478" i="33"/>
  <c r="N480" i="33"/>
  <c r="M483" i="33"/>
  <c r="N475" i="33"/>
  <c r="M478" i="33"/>
  <c r="L481" i="33"/>
  <c r="N483" i="33"/>
  <c r="I293" i="33"/>
  <c r="L294" i="33"/>
  <c r="G8" i="36" s="1"/>
  <c r="N296" i="33"/>
  <c r="O10" i="36" s="1"/>
  <c r="M299" i="33"/>
  <c r="AA9" i="36" s="1"/>
  <c r="L302" i="33"/>
  <c r="AM8" i="36" s="1"/>
  <c r="N304" i="33"/>
  <c r="AU10" i="36" s="1"/>
  <c r="L295" i="33"/>
  <c r="K8" i="36" s="1"/>
  <c r="L298" i="33"/>
  <c r="W8" i="36" s="1"/>
  <c r="L301" i="33"/>
  <c r="AI8" i="36" s="1"/>
  <c r="L304" i="33"/>
  <c r="AU8" i="36" s="1"/>
  <c r="M295" i="33"/>
  <c r="K9" i="36" s="1"/>
  <c r="M298" i="33"/>
  <c r="W9" i="36" s="1"/>
  <c r="M301" i="33"/>
  <c r="AI9" i="36" s="1"/>
  <c r="M304" i="33"/>
  <c r="AU9" i="36" s="1"/>
  <c r="N295" i="33"/>
  <c r="K10" i="36" s="1"/>
  <c r="N298" i="33"/>
  <c r="W10" i="36" s="1"/>
  <c r="N301" i="33"/>
  <c r="AI10" i="36" s="1"/>
  <c r="L305" i="33"/>
  <c r="AY8" i="36" s="1"/>
  <c r="M294" i="33"/>
  <c r="G9" i="36" s="1"/>
  <c r="M297" i="33"/>
  <c r="S9" i="36" s="1"/>
  <c r="M300" i="33"/>
  <c r="AE9" i="36" s="1"/>
  <c r="M303" i="33"/>
  <c r="AQ9" i="36" s="1"/>
  <c r="N294" i="33"/>
  <c r="G10" i="36" s="1"/>
  <c r="N300" i="33"/>
  <c r="AE10" i="36" s="1"/>
  <c r="L296" i="33"/>
  <c r="O8" i="36" s="1"/>
  <c r="M302" i="33"/>
  <c r="AM9" i="36" s="1"/>
  <c r="M296" i="33"/>
  <c r="O9" i="36" s="1"/>
  <c r="N302" i="33"/>
  <c r="AM10" i="36" s="1"/>
  <c r="L297" i="33"/>
  <c r="S8" i="36" s="1"/>
  <c r="L303" i="33"/>
  <c r="AQ8" i="36" s="1"/>
  <c r="N297" i="33"/>
  <c r="S10" i="36" s="1"/>
  <c r="N303" i="33"/>
  <c r="AQ10" i="36" s="1"/>
  <c r="L299" i="33"/>
  <c r="AA8" i="36" s="1"/>
  <c r="M305" i="33"/>
  <c r="AY9" i="36" s="1"/>
  <c r="N299" i="33"/>
  <c r="AA10" i="36" s="1"/>
  <c r="N305" i="33"/>
  <c r="AY10" i="36" s="1"/>
  <c r="L300" i="33"/>
  <c r="AE8" i="36" s="1"/>
  <c r="I345" i="33"/>
  <c r="L345" i="33" s="1"/>
  <c r="M347" i="33"/>
  <c r="L350" i="33"/>
  <c r="N352" i="33"/>
  <c r="M355" i="33"/>
  <c r="N346" i="33"/>
  <c r="N349" i="33"/>
  <c r="L353" i="33"/>
  <c r="L356" i="33"/>
  <c r="L347" i="33"/>
  <c r="M350" i="33"/>
  <c r="M353" i="33"/>
  <c r="M356" i="33"/>
  <c r="N347" i="33"/>
  <c r="N350" i="33"/>
  <c r="N353" i="33"/>
  <c r="N356" i="33"/>
  <c r="L346" i="33"/>
  <c r="L349" i="33"/>
  <c r="L352" i="33"/>
  <c r="L355" i="33"/>
  <c r="M349" i="33"/>
  <c r="N355" i="33"/>
  <c r="L351" i="33"/>
  <c r="L357" i="33"/>
  <c r="M345" i="33"/>
  <c r="M351" i="33"/>
  <c r="M357" i="33"/>
  <c r="N345" i="33"/>
  <c r="N351" i="33"/>
  <c r="N357" i="33"/>
  <c r="M346" i="33"/>
  <c r="M352" i="33"/>
  <c r="L348" i="33"/>
  <c r="L354" i="33"/>
  <c r="M348" i="33"/>
  <c r="M354" i="33"/>
  <c r="N348" i="33"/>
  <c r="N354" i="33"/>
  <c r="I262" i="33"/>
  <c r="L262" i="33" s="1"/>
  <c r="L264" i="33"/>
  <c r="N266" i="33"/>
  <c r="M269" i="33"/>
  <c r="L272" i="33"/>
  <c r="N274" i="33"/>
  <c r="N264" i="33"/>
  <c r="N267" i="33"/>
  <c r="N270" i="33"/>
  <c r="N273" i="33"/>
  <c r="L265" i="33"/>
  <c r="L268" i="33"/>
  <c r="L271" i="33"/>
  <c r="L274" i="33"/>
  <c r="M262" i="33"/>
  <c r="M265" i="33"/>
  <c r="M268" i="33"/>
  <c r="M271" i="33"/>
  <c r="M274" i="33"/>
  <c r="N263" i="33"/>
  <c r="L267" i="33"/>
  <c r="L270" i="33"/>
  <c r="L273" i="33"/>
  <c r="M264" i="33"/>
  <c r="M270" i="33"/>
  <c r="N265" i="33"/>
  <c r="N271" i="33"/>
  <c r="L266" i="33"/>
  <c r="M272" i="33"/>
  <c r="M266" i="33"/>
  <c r="N272" i="33"/>
  <c r="M267" i="33"/>
  <c r="M273" i="33"/>
  <c r="N262" i="33"/>
  <c r="N268" i="33"/>
  <c r="L263" i="33"/>
  <c r="L269" i="33"/>
  <c r="M263" i="33"/>
  <c r="N269" i="33"/>
  <c r="I403" i="33"/>
  <c r="L403" i="33" s="1"/>
  <c r="L405" i="33"/>
  <c r="N407" i="33"/>
  <c r="N405" i="33"/>
  <c r="N408" i="33"/>
  <c r="M411" i="33"/>
  <c r="L414" i="33"/>
  <c r="L406" i="33"/>
  <c r="L409" i="33"/>
  <c r="N411" i="33"/>
  <c r="M414" i="33"/>
  <c r="M403" i="33"/>
  <c r="M406" i="33"/>
  <c r="M409" i="33"/>
  <c r="L412" i="33"/>
  <c r="N414" i="33"/>
  <c r="N404" i="33"/>
  <c r="L408" i="33"/>
  <c r="N410" i="33"/>
  <c r="M413" i="33"/>
  <c r="M405" i="33"/>
  <c r="L411" i="33"/>
  <c r="N406" i="33"/>
  <c r="M412" i="33"/>
  <c r="L407" i="33"/>
  <c r="N412" i="33"/>
  <c r="M407" i="33"/>
  <c r="L413" i="33"/>
  <c r="M408" i="33"/>
  <c r="N413" i="33"/>
  <c r="N403" i="33"/>
  <c r="N409" i="33"/>
  <c r="L415" i="33"/>
  <c r="L404" i="33"/>
  <c r="L410" i="33"/>
  <c r="M415" i="33"/>
  <c r="M404" i="33"/>
  <c r="M410" i="33"/>
  <c r="N415" i="33"/>
  <c r="I460" i="33"/>
  <c r="L460" i="33" s="1"/>
  <c r="L461" i="33"/>
  <c r="N463" i="33"/>
  <c r="M466" i="33"/>
  <c r="L469" i="33"/>
  <c r="M461" i="33"/>
  <c r="L464" i="33"/>
  <c r="N466" i="33"/>
  <c r="M469" i="33"/>
  <c r="L472" i="33"/>
  <c r="N461" i="33"/>
  <c r="M464" i="33"/>
  <c r="L467" i="33"/>
  <c r="N469" i="33"/>
  <c r="M472" i="33"/>
  <c r="M460" i="33"/>
  <c r="L463" i="33"/>
  <c r="N465" i="33"/>
  <c r="M468" i="33"/>
  <c r="L471" i="33"/>
  <c r="M463" i="33"/>
  <c r="N468" i="33"/>
  <c r="N464" i="33"/>
  <c r="L470" i="33"/>
  <c r="L465" i="33"/>
  <c r="M470" i="33"/>
  <c r="M465" i="33"/>
  <c r="N470" i="33"/>
  <c r="N460" i="33"/>
  <c r="L466" i="33"/>
  <c r="M471" i="33"/>
  <c r="L462" i="33"/>
  <c r="M467" i="33"/>
  <c r="N471" i="33"/>
  <c r="M462" i="33"/>
  <c r="N467" i="33"/>
  <c r="N472" i="33"/>
  <c r="N462" i="33"/>
  <c r="L468" i="33"/>
  <c r="I275" i="33"/>
  <c r="L275" i="33" s="1"/>
  <c r="M277" i="33"/>
  <c r="L280" i="33"/>
  <c r="N282" i="33"/>
  <c r="M285" i="33"/>
  <c r="N276" i="33"/>
  <c r="N279" i="33"/>
  <c r="L283" i="33"/>
  <c r="L286" i="33"/>
  <c r="L277" i="33"/>
  <c r="M280" i="33"/>
  <c r="M283" i="33"/>
  <c r="M286" i="33"/>
  <c r="N277" i="33"/>
  <c r="N280" i="33"/>
  <c r="N283" i="33"/>
  <c r="N286" i="33"/>
  <c r="L276" i="33"/>
  <c r="L279" i="33"/>
  <c r="L282" i="33"/>
  <c r="L285" i="33"/>
  <c r="M276" i="33"/>
  <c r="M282" i="33"/>
  <c r="L278" i="33"/>
  <c r="L284" i="33"/>
  <c r="M278" i="33"/>
  <c r="M284" i="33"/>
  <c r="N278" i="33"/>
  <c r="N284" i="33"/>
  <c r="M279" i="33"/>
  <c r="N285" i="33"/>
  <c r="L281" i="33"/>
  <c r="L287" i="33"/>
  <c r="M275" i="33"/>
  <c r="M281" i="33"/>
  <c r="M287" i="33"/>
  <c r="N275" i="33"/>
  <c r="N281" i="33"/>
  <c r="N287" i="33"/>
  <c r="I223" i="33"/>
  <c r="L224" i="33"/>
  <c r="F8" i="36" s="1"/>
  <c r="N226" i="33"/>
  <c r="N10" i="36" s="1"/>
  <c r="M229" i="33"/>
  <c r="Z9" i="36" s="1"/>
  <c r="L232" i="33"/>
  <c r="AL8" i="36" s="1"/>
  <c r="N234" i="33"/>
  <c r="AT10" i="36" s="1"/>
  <c r="L225" i="33"/>
  <c r="J8" i="36" s="1"/>
  <c r="L228" i="33"/>
  <c r="V8" i="36" s="1"/>
  <c r="L231" i="33"/>
  <c r="AH8" i="36" s="1"/>
  <c r="L234" i="33"/>
  <c r="AT8" i="36" s="1"/>
  <c r="M225" i="33"/>
  <c r="J9" i="36" s="1"/>
  <c r="M228" i="33"/>
  <c r="V9" i="36" s="1"/>
  <c r="M231" i="33"/>
  <c r="AH9" i="36" s="1"/>
  <c r="M234" i="33"/>
  <c r="AT9" i="36" s="1"/>
  <c r="N225" i="33"/>
  <c r="J10" i="36" s="1"/>
  <c r="N228" i="33"/>
  <c r="V10" i="36" s="1"/>
  <c r="N231" i="33"/>
  <c r="AH10" i="36" s="1"/>
  <c r="L235" i="33"/>
  <c r="AX8" i="36" s="1"/>
  <c r="M224" i="33"/>
  <c r="F9" i="36" s="1"/>
  <c r="M227" i="33"/>
  <c r="R9" i="36" s="1"/>
  <c r="M230" i="33"/>
  <c r="AD9" i="36" s="1"/>
  <c r="M233" i="33"/>
  <c r="AP9" i="36" s="1"/>
  <c r="N227" i="33"/>
  <c r="R10" i="36" s="1"/>
  <c r="N233" i="33"/>
  <c r="AP10" i="36" s="1"/>
  <c r="L229" i="33"/>
  <c r="Z8" i="36" s="1"/>
  <c r="M235" i="33"/>
  <c r="AX9" i="36" s="1"/>
  <c r="N229" i="33"/>
  <c r="Z10" i="36" s="1"/>
  <c r="N235" i="33"/>
  <c r="AX10" i="36" s="1"/>
  <c r="L230" i="33"/>
  <c r="AD8" i="36" s="1"/>
  <c r="N224" i="33"/>
  <c r="F10" i="36" s="1"/>
  <c r="N230" i="33"/>
  <c r="AD10" i="36" s="1"/>
  <c r="L226" i="33"/>
  <c r="N8" i="36" s="1"/>
  <c r="M232" i="33"/>
  <c r="AL9" i="36" s="1"/>
  <c r="M226" i="33"/>
  <c r="N9" i="36" s="1"/>
  <c r="N232" i="33"/>
  <c r="AL10" i="36" s="1"/>
  <c r="L227" i="33"/>
  <c r="R8" i="36" s="1"/>
  <c r="L233" i="33"/>
  <c r="AP8" i="36" s="1"/>
  <c r="I486" i="33"/>
  <c r="L486" i="33" s="1"/>
  <c r="N486" i="33"/>
  <c r="M489" i="33"/>
  <c r="L492" i="33"/>
  <c r="N494" i="33"/>
  <c r="M497" i="33"/>
  <c r="L487" i="33"/>
  <c r="N489" i="33"/>
  <c r="M492" i="33"/>
  <c r="L495" i="33"/>
  <c r="N497" i="33"/>
  <c r="M487" i="33"/>
  <c r="L490" i="33"/>
  <c r="N492" i="33"/>
  <c r="M495" i="33"/>
  <c r="L498" i="33"/>
  <c r="N487" i="33"/>
  <c r="M490" i="33"/>
  <c r="L493" i="33"/>
  <c r="N495" i="33"/>
  <c r="M498" i="33"/>
  <c r="L488" i="33"/>
  <c r="N490" i="33"/>
  <c r="M493" i="33"/>
  <c r="L496" i="33"/>
  <c r="N498" i="33"/>
  <c r="M488" i="33"/>
  <c r="L491" i="33"/>
  <c r="N493" i="33"/>
  <c r="M496" i="33"/>
  <c r="N488" i="33"/>
  <c r="M491" i="33"/>
  <c r="L494" i="33"/>
  <c r="N496" i="33"/>
  <c r="M486" i="33"/>
  <c r="L489" i="33"/>
  <c r="N491" i="33"/>
  <c r="M494" i="33"/>
  <c r="L497" i="33"/>
  <c r="I332" i="33"/>
  <c r="L332" i="33" s="1"/>
  <c r="L334" i="33"/>
  <c r="N336" i="33"/>
  <c r="M339" i="33"/>
  <c r="L342" i="33"/>
  <c r="N344" i="33"/>
  <c r="N334" i="33"/>
  <c r="N337" i="33"/>
  <c r="N340" i="33"/>
  <c r="N343" i="33"/>
  <c r="L335" i="33"/>
  <c r="L338" i="33"/>
  <c r="L341" i="33"/>
  <c r="L344" i="33"/>
  <c r="M332" i="33"/>
  <c r="M335" i="33"/>
  <c r="M338" i="33"/>
  <c r="M341" i="33"/>
  <c r="M344" i="33"/>
  <c r="N333" i="33"/>
  <c r="L337" i="33"/>
  <c r="L340" i="33"/>
  <c r="L343" i="33"/>
  <c r="M337" i="33"/>
  <c r="M343" i="33"/>
  <c r="N332" i="33"/>
  <c r="N338" i="33"/>
  <c r="L333" i="33"/>
  <c r="L339" i="33"/>
  <c r="M333" i="33"/>
  <c r="N339" i="33"/>
  <c r="M334" i="33"/>
  <c r="M340" i="33"/>
  <c r="N335" i="33"/>
  <c r="N341" i="33"/>
  <c r="L336" i="33"/>
  <c r="M342" i="33"/>
  <c r="M336" i="33"/>
  <c r="N342" i="33"/>
  <c r="I364" i="33"/>
  <c r="L364" i="33" s="1"/>
  <c r="L365" i="33"/>
  <c r="H8" i="36" s="1"/>
  <c r="N367" i="33"/>
  <c r="P10" i="36" s="1"/>
  <c r="M370" i="33"/>
  <c r="AB9" i="36" s="1"/>
  <c r="L373" i="33"/>
  <c r="AN8" i="36" s="1"/>
  <c r="N375" i="33"/>
  <c r="AV10" i="36" s="1"/>
  <c r="L366" i="33"/>
  <c r="L8" i="36" s="1"/>
  <c r="L369" i="33"/>
  <c r="X8" i="36" s="1"/>
  <c r="L372" i="33"/>
  <c r="AJ8" i="36" s="1"/>
  <c r="L375" i="33"/>
  <c r="AV8" i="36" s="1"/>
  <c r="M366" i="33"/>
  <c r="L9" i="36" s="1"/>
  <c r="M369" i="33"/>
  <c r="X9" i="36" s="1"/>
  <c r="M372" i="33"/>
  <c r="AJ9" i="36" s="1"/>
  <c r="M375" i="33"/>
  <c r="AV9" i="36" s="1"/>
  <c r="N366" i="33"/>
  <c r="L10" i="36" s="1"/>
  <c r="N369" i="33"/>
  <c r="X10" i="36" s="1"/>
  <c r="N372" i="33"/>
  <c r="AJ10" i="36" s="1"/>
  <c r="L376" i="33"/>
  <c r="AZ8" i="36" s="1"/>
  <c r="M365" i="33"/>
  <c r="H9" i="36" s="1"/>
  <c r="M368" i="33"/>
  <c r="T9" i="36" s="1"/>
  <c r="M371" i="33"/>
  <c r="AF9" i="36" s="1"/>
  <c r="M374" i="33"/>
  <c r="AR9" i="36" s="1"/>
  <c r="N368" i="33"/>
  <c r="T10" i="36" s="1"/>
  <c r="N374" i="33"/>
  <c r="AR10" i="36" s="1"/>
  <c r="L370" i="33"/>
  <c r="AB8" i="36" s="1"/>
  <c r="M376" i="33"/>
  <c r="AZ9" i="36" s="1"/>
  <c r="N370" i="33"/>
  <c r="AB10" i="36" s="1"/>
  <c r="N376" i="33"/>
  <c r="AZ10" i="36" s="1"/>
  <c r="L371" i="33"/>
  <c r="AF8" i="36" s="1"/>
  <c r="N365" i="33"/>
  <c r="H10" i="36" s="1"/>
  <c r="N371" i="33"/>
  <c r="AF10" i="36" s="1"/>
  <c r="L367" i="33"/>
  <c r="P8" i="36" s="1"/>
  <c r="M373" i="33"/>
  <c r="AN9" i="36" s="1"/>
  <c r="M367" i="33"/>
  <c r="P9" i="36" s="1"/>
  <c r="N373" i="33"/>
  <c r="AN10" i="36" s="1"/>
  <c r="L368" i="33"/>
  <c r="T8" i="36" s="1"/>
  <c r="L374" i="33"/>
  <c r="AR8" i="36" s="1"/>
  <c r="I434" i="33"/>
  <c r="L434" i="33" s="1"/>
  <c r="M435" i="33"/>
  <c r="I9" i="36" s="1"/>
  <c r="L438" i="33"/>
  <c r="N440" i="33"/>
  <c r="AC10" i="36" s="1"/>
  <c r="M443" i="33"/>
  <c r="AO9" i="36" s="1"/>
  <c r="N435" i="33"/>
  <c r="I10" i="36" s="1"/>
  <c r="M438" i="33"/>
  <c r="U9" i="36" s="1"/>
  <c r="L441" i="33"/>
  <c r="AG8" i="36" s="1"/>
  <c r="N443" i="33"/>
  <c r="AO10" i="36" s="1"/>
  <c r="L436" i="33"/>
  <c r="M8" i="36" s="1"/>
  <c r="U10" i="36"/>
  <c r="M441" i="33"/>
  <c r="AG9" i="36" s="1"/>
  <c r="L444" i="33"/>
  <c r="AS8" i="36" s="1"/>
  <c r="M436" i="33"/>
  <c r="M9" i="36" s="1"/>
  <c r="L439" i="33"/>
  <c r="Y8" i="36" s="1"/>
  <c r="N441" i="33"/>
  <c r="AG10" i="36" s="1"/>
  <c r="M444" i="33"/>
  <c r="AS9" i="36" s="1"/>
  <c r="L446" i="33"/>
  <c r="BA8" i="36" s="1"/>
  <c r="N436" i="33"/>
  <c r="M10" i="36" s="1"/>
  <c r="M439" i="33"/>
  <c r="Y9" i="36" s="1"/>
  <c r="L442" i="33"/>
  <c r="AK8" i="36" s="1"/>
  <c r="N444" i="33"/>
  <c r="AS10" i="36" s="1"/>
  <c r="M446" i="33"/>
  <c r="BA9" i="36" s="1"/>
  <c r="L437" i="33"/>
  <c r="Q8" i="36" s="1"/>
  <c r="N439" i="33"/>
  <c r="Y10" i="36" s="1"/>
  <c r="M442" i="33"/>
  <c r="AK9" i="36" s="1"/>
  <c r="L445" i="33"/>
  <c r="AW8" i="36" s="1"/>
  <c r="N446" i="33"/>
  <c r="BA10" i="36" s="1"/>
  <c r="M437" i="33"/>
  <c r="Q9" i="36" s="1"/>
  <c r="L440" i="33"/>
  <c r="AC8" i="36" s="1"/>
  <c r="N442" i="33"/>
  <c r="AK10" i="36" s="1"/>
  <c r="M445" i="33"/>
  <c r="AW9" i="36" s="1"/>
  <c r="L435" i="33"/>
  <c r="I8" i="36" s="1"/>
  <c r="N437" i="33"/>
  <c r="Q10" i="36" s="1"/>
  <c r="M440" i="33"/>
  <c r="AC9" i="36" s="1"/>
  <c r="L443" i="33"/>
  <c r="AO8" i="36" s="1"/>
  <c r="N445" i="33"/>
  <c r="AW10" i="36" s="1"/>
  <c r="I319" i="33"/>
  <c r="L319" i="33" s="1"/>
  <c r="N320" i="33"/>
  <c r="M323" i="33"/>
  <c r="L326" i="33"/>
  <c r="N328" i="33"/>
  <c r="M331" i="33"/>
  <c r="M319" i="33"/>
  <c r="M322" i="33"/>
  <c r="M325" i="33"/>
  <c r="M328" i="33"/>
  <c r="N331" i="33"/>
  <c r="N319" i="33"/>
  <c r="N322" i="33"/>
  <c r="N325" i="33"/>
  <c r="L329" i="33"/>
  <c r="L320" i="33"/>
  <c r="L323" i="33"/>
  <c r="M326" i="33"/>
  <c r="M329" i="33"/>
  <c r="N321" i="33"/>
  <c r="N324" i="33"/>
  <c r="N327" i="33"/>
  <c r="N330" i="33"/>
  <c r="L325" i="33"/>
  <c r="L331" i="33"/>
  <c r="M320" i="33"/>
  <c r="N326" i="33"/>
  <c r="L321" i="33"/>
  <c r="L327" i="33"/>
  <c r="M321" i="33"/>
  <c r="M327" i="33"/>
  <c r="L322" i="33"/>
  <c r="L328" i="33"/>
  <c r="N323" i="33"/>
  <c r="N329" i="33"/>
  <c r="L324" i="33"/>
  <c r="L330" i="33"/>
  <c r="M324" i="33"/>
  <c r="M330" i="33"/>
  <c r="I306" i="33"/>
  <c r="L306" i="33" s="1"/>
  <c r="M307" i="33"/>
  <c r="L310" i="33"/>
  <c r="N312" i="33"/>
  <c r="M315" i="33"/>
  <c r="L318" i="33"/>
  <c r="L307" i="33"/>
  <c r="M310" i="33"/>
  <c r="M313" i="33"/>
  <c r="M316" i="33"/>
  <c r="N307" i="33"/>
  <c r="N310" i="33"/>
  <c r="N313" i="33"/>
  <c r="N316" i="33"/>
  <c r="L308" i="33"/>
  <c r="L311" i="33"/>
  <c r="L314" i="33"/>
  <c r="L317" i="33"/>
  <c r="M306" i="33"/>
  <c r="M309" i="33"/>
  <c r="M312" i="33"/>
  <c r="N315" i="33"/>
  <c r="N318" i="33"/>
  <c r="N306" i="33"/>
  <c r="L313" i="33"/>
  <c r="M308" i="33"/>
  <c r="M314" i="33"/>
  <c r="N308" i="33"/>
  <c r="N314" i="33"/>
  <c r="L309" i="33"/>
  <c r="L315" i="33"/>
  <c r="N309" i="33"/>
  <c r="L316" i="33"/>
  <c r="M311" i="33"/>
  <c r="M317" i="33"/>
  <c r="N311" i="33"/>
  <c r="N317" i="33"/>
  <c r="L312" i="33"/>
  <c r="M318" i="33"/>
  <c r="I249" i="33"/>
  <c r="L249" i="33" s="1"/>
  <c r="N250" i="33"/>
  <c r="M253" i="33"/>
  <c r="L256" i="33"/>
  <c r="N258" i="33"/>
  <c r="M261" i="33"/>
  <c r="M249" i="33"/>
  <c r="M252" i="33"/>
  <c r="M255" i="33"/>
  <c r="M258" i="33"/>
  <c r="N261" i="33"/>
  <c r="N249" i="33"/>
  <c r="N252" i="33"/>
  <c r="N255" i="33"/>
  <c r="L259" i="33"/>
  <c r="L250" i="33"/>
  <c r="L253" i="33"/>
  <c r="M256" i="33"/>
  <c r="M259" i="33"/>
  <c r="N251" i="33"/>
  <c r="N254" i="33"/>
  <c r="N257" i="33"/>
  <c r="N260" i="33"/>
  <c r="L252" i="33"/>
  <c r="L258" i="33"/>
  <c r="N253" i="33"/>
  <c r="N259" i="33"/>
  <c r="L254" i="33"/>
  <c r="L260" i="33"/>
  <c r="M254" i="33"/>
  <c r="M260" i="33"/>
  <c r="L255" i="33"/>
  <c r="L261" i="33"/>
  <c r="M250" i="33"/>
  <c r="N256" i="33"/>
  <c r="L251" i="33"/>
  <c r="L257" i="33"/>
  <c r="M251" i="33"/>
  <c r="M257" i="33"/>
  <c r="I236" i="33"/>
  <c r="L236" i="33" s="1"/>
  <c r="M237" i="33"/>
  <c r="L240" i="33"/>
  <c r="N242" i="33"/>
  <c r="M245" i="33"/>
  <c r="L248" i="33"/>
  <c r="L237" i="33"/>
  <c r="M240" i="33"/>
  <c r="M243" i="33"/>
  <c r="M246" i="33"/>
  <c r="N237" i="33"/>
  <c r="N240" i="33"/>
  <c r="N243" i="33"/>
  <c r="N246" i="33"/>
  <c r="L238" i="33"/>
  <c r="L241" i="33"/>
  <c r="L244" i="33"/>
  <c r="L247" i="33"/>
  <c r="M236" i="33"/>
  <c r="M239" i="33"/>
  <c r="M242" i="33"/>
  <c r="N245" i="33"/>
  <c r="N248" i="33"/>
  <c r="N239" i="33"/>
  <c r="L246" i="33"/>
  <c r="M241" i="33"/>
  <c r="M247" i="33"/>
  <c r="N241" i="33"/>
  <c r="N247" i="33"/>
  <c r="L242" i="33"/>
  <c r="M248" i="33"/>
  <c r="N236" i="33"/>
  <c r="L243" i="33"/>
  <c r="M238" i="33"/>
  <c r="M244" i="33"/>
  <c r="N238" i="33"/>
  <c r="N244" i="33"/>
  <c r="L239" i="33"/>
  <c r="L245" i="33"/>
  <c r="I377" i="33"/>
  <c r="L377" i="33" s="1"/>
  <c r="M378" i="33"/>
  <c r="L381" i="33"/>
  <c r="N383" i="33"/>
  <c r="M386" i="33"/>
  <c r="L389" i="33"/>
  <c r="L378" i="33"/>
  <c r="M381" i="33"/>
  <c r="M384" i="33"/>
  <c r="M387" i="33"/>
  <c r="N378" i="33"/>
  <c r="N381" i="33"/>
  <c r="N384" i="33"/>
  <c r="N387" i="33"/>
  <c r="L379" i="33"/>
  <c r="L382" i="33"/>
  <c r="L385" i="33"/>
  <c r="L388" i="33"/>
  <c r="M377" i="33"/>
  <c r="M380" i="33"/>
  <c r="M383" i="33"/>
  <c r="N386" i="33"/>
  <c r="N389" i="33"/>
  <c r="N380" i="33"/>
  <c r="L387" i="33"/>
  <c r="M382" i="33"/>
  <c r="M388" i="33"/>
  <c r="N382" i="33"/>
  <c r="N388" i="33"/>
  <c r="L383" i="33"/>
  <c r="M389" i="33"/>
  <c r="N377" i="33"/>
  <c r="L384" i="33"/>
  <c r="M379" i="33"/>
  <c r="M385" i="33"/>
  <c r="N379" i="33"/>
  <c r="N385" i="33"/>
  <c r="L380" i="33"/>
  <c r="L386" i="33"/>
  <c r="I390" i="33"/>
  <c r="L390" i="33" s="1"/>
  <c r="N391" i="33"/>
  <c r="M394" i="33"/>
  <c r="L397" i="33"/>
  <c r="N399" i="33"/>
  <c r="M402" i="33"/>
  <c r="M390" i="33"/>
  <c r="M393" i="33"/>
  <c r="M396" i="33"/>
  <c r="M399" i="33"/>
  <c r="N402" i="33"/>
  <c r="N390" i="33"/>
  <c r="N393" i="33"/>
  <c r="N396" i="33"/>
  <c r="L400" i="33"/>
  <c r="L391" i="33"/>
  <c r="L394" i="33"/>
  <c r="M397" i="33"/>
  <c r="M400" i="33"/>
  <c r="N392" i="33"/>
  <c r="N395" i="33"/>
  <c r="N398" i="33"/>
  <c r="N401" i="33"/>
  <c r="L393" i="33"/>
  <c r="L399" i="33"/>
  <c r="N394" i="33"/>
  <c r="N400" i="33"/>
  <c r="L395" i="33"/>
  <c r="L401" i="33"/>
  <c r="M395" i="33"/>
  <c r="M401" i="33"/>
  <c r="L396" i="33"/>
  <c r="L402" i="33"/>
  <c r="M391" i="33"/>
  <c r="N397" i="33"/>
  <c r="L392" i="33"/>
  <c r="L398" i="33"/>
  <c r="M392" i="33"/>
  <c r="M398" i="33"/>
  <c r="I416" i="33"/>
  <c r="L416" i="33" s="1"/>
  <c r="N416" i="33"/>
  <c r="M419" i="33"/>
  <c r="L422" i="33"/>
  <c r="N424" i="33"/>
  <c r="M427" i="33"/>
  <c r="L417" i="33"/>
  <c r="N419" i="33"/>
  <c r="M422" i="33"/>
  <c r="L425" i="33"/>
  <c r="N427" i="33"/>
  <c r="M417" i="33"/>
  <c r="L420" i="33"/>
  <c r="N422" i="33"/>
  <c r="M425" i="33"/>
  <c r="L428" i="33"/>
  <c r="N418" i="33"/>
  <c r="M421" i="33"/>
  <c r="L424" i="33"/>
  <c r="N426" i="33"/>
  <c r="M416" i="33"/>
  <c r="N421" i="33"/>
  <c r="L427" i="33"/>
  <c r="N417" i="33"/>
  <c r="L423" i="33"/>
  <c r="M428" i="33"/>
  <c r="L418" i="33"/>
  <c r="M423" i="33"/>
  <c r="N428" i="33"/>
  <c r="M418" i="33"/>
  <c r="N423" i="33"/>
  <c r="L419" i="33"/>
  <c r="M424" i="33"/>
  <c r="M420" i="33"/>
  <c r="N425" i="33"/>
  <c r="N420" i="33"/>
  <c r="L426" i="33"/>
  <c r="L421" i="33"/>
  <c r="M426" i="33"/>
  <c r="I447" i="33"/>
  <c r="L447" i="33" s="1"/>
  <c r="N449" i="33"/>
  <c r="M452" i="33"/>
  <c r="L455" i="33"/>
  <c r="N457" i="33"/>
  <c r="M447" i="33"/>
  <c r="L450" i="33"/>
  <c r="N452" i="33"/>
  <c r="M455" i="33"/>
  <c r="L458" i="33"/>
  <c r="N447" i="33"/>
  <c r="M450" i="33"/>
  <c r="L453" i="33"/>
  <c r="N455" i="33"/>
  <c r="M458" i="33"/>
  <c r="L448" i="33"/>
  <c r="N450" i="33"/>
  <c r="M453" i="33"/>
  <c r="L456" i="33"/>
  <c r="N458" i="33"/>
  <c r="M448" i="33"/>
  <c r="L451" i="33"/>
  <c r="N453" i="33"/>
  <c r="M456" i="33"/>
  <c r="L459" i="33"/>
  <c r="N448" i="33"/>
  <c r="M451" i="33"/>
  <c r="L454" i="33"/>
  <c r="N456" i="33"/>
  <c r="M459" i="33"/>
  <c r="L449" i="33"/>
  <c r="N451" i="33"/>
  <c r="M454" i="33"/>
  <c r="L457" i="33"/>
  <c r="N459" i="33"/>
  <c r="M449" i="33"/>
  <c r="L452" i="33"/>
  <c r="N454" i="33"/>
  <c r="M457" i="33"/>
  <c r="M434" i="33"/>
  <c r="N434" i="33"/>
  <c r="N364" i="33"/>
  <c r="M364" i="33"/>
  <c r="L223" i="33"/>
  <c r="M293" i="33"/>
  <c r="N293" i="33"/>
  <c r="L293" i="33"/>
  <c r="N223" i="33"/>
  <c r="B10" i="36" s="1"/>
  <c r="M223" i="33"/>
  <c r="B9" i="36" s="1"/>
  <c r="T24" i="5"/>
  <c r="AD23" i="5"/>
  <c r="AC23" i="5"/>
  <c r="AD22" i="5"/>
  <c r="AC22" i="5"/>
  <c r="AA22" i="5"/>
  <c r="Z22" i="5"/>
  <c r="X22" i="5"/>
  <c r="W22" i="5"/>
  <c r="U22" i="5"/>
  <c r="S22" i="5"/>
  <c r="R22" i="5"/>
  <c r="P22" i="5"/>
  <c r="F93" i="4" s="1"/>
  <c r="N22" i="5"/>
  <c r="D93" i="4" s="1"/>
  <c r="M22" i="5"/>
  <c r="C93" i="4" s="1"/>
  <c r="L22" i="5"/>
  <c r="J22" i="5"/>
  <c r="I22" i="5"/>
  <c r="AE16" i="5"/>
  <c r="Y16" i="5"/>
  <c r="Y21" i="5"/>
  <c r="V5" i="5"/>
  <c r="AE5" i="5"/>
  <c r="Y5" i="5"/>
  <c r="AD16" i="36" l="1" a="1"/>
  <c r="AD16" i="36" s="1"/>
  <c r="AL16" i="36" a="1"/>
  <c r="AL16" i="36" s="1"/>
  <c r="R16" i="36" a="1"/>
  <c r="R16" i="36" s="1"/>
  <c r="F16" i="36" a="1"/>
  <c r="F16" i="36" s="1"/>
  <c r="AT16" i="36" a="1"/>
  <c r="AT16" i="36" s="1"/>
  <c r="B16" i="36" a="1"/>
  <c r="B16" i="36" s="1"/>
  <c r="V16" i="36" a="1"/>
  <c r="V16" i="36" s="1"/>
  <c r="AP16" i="36" a="1"/>
  <c r="AP16" i="36" s="1"/>
  <c r="AH16" i="36" a="1"/>
  <c r="AH16" i="36" s="1"/>
  <c r="Z16" i="36" a="1"/>
  <c r="Z16" i="36" s="1"/>
  <c r="J16" i="36" a="1"/>
  <c r="J16" i="36" s="1"/>
  <c r="C10" i="36"/>
  <c r="B8" i="36"/>
  <c r="E9" i="36"/>
  <c r="D10" i="36"/>
  <c r="C9" i="36"/>
  <c r="C8" i="36"/>
  <c r="E8" i="36"/>
  <c r="D8" i="36"/>
  <c r="E10" i="36"/>
  <c r="D9" i="36"/>
  <c r="Y22" i="5"/>
  <c r="T22" i="5"/>
  <c r="AE22" i="5"/>
  <c r="O22" i="5"/>
  <c r="E93" i="4" s="1"/>
  <c r="AE23" i="5"/>
  <c r="N16" i="36" l="1" a="1"/>
  <c r="N16" i="36" s="1"/>
  <c r="I18" i="14"/>
  <c r="I19" i="14" s="1"/>
  <c r="I17" i="14"/>
  <c r="H18" i="14"/>
  <c r="H8" i="14"/>
  <c r="I8" i="14"/>
  <c r="I9" i="14" s="1"/>
  <c r="G8" i="14"/>
  <c r="I14" i="14"/>
  <c r="I15" i="14" s="1"/>
  <c r="H14" i="14"/>
  <c r="G14" i="14"/>
  <c r="H13" i="14"/>
  <c r="I13" i="14"/>
  <c r="I5" i="14"/>
  <c r="H5" i="14"/>
  <c r="H15" i="14" l="1"/>
  <c r="H9" i="14"/>
  <c r="I11" i="14"/>
  <c r="H11" i="14"/>
  <c r="I7" i="14"/>
  <c r="H7" i="14"/>
  <c r="H38" i="29"/>
  <c r="H36" i="29"/>
  <c r="H28" i="29"/>
  <c r="E24" i="8" l="1"/>
  <c r="G24" i="8" s="1"/>
  <c r="H55" i="29"/>
  <c r="E15" i="8"/>
  <c r="H12" i="29"/>
  <c r="H11" i="29"/>
  <c r="H160" i="3"/>
  <c r="H155" i="3"/>
  <c r="H156" i="3" s="1"/>
  <c r="H157" i="3" s="1"/>
  <c r="H151" i="3"/>
  <c r="H152" i="3" s="1"/>
  <c r="H153" i="3" s="1"/>
  <c r="H147" i="3"/>
  <c r="H148" i="3" s="1"/>
  <c r="H149" i="3" s="1"/>
  <c r="G23" i="8"/>
  <c r="G22" i="8"/>
  <c r="G20" i="8"/>
  <c r="A6" i="27"/>
  <c r="G4" i="8" s="1"/>
  <c r="H4" i="29" s="1"/>
  <c r="H44" i="29" s="1"/>
  <c r="E10" i="8"/>
  <c r="G10" i="8" s="1"/>
  <c r="H54" i="29" l="1"/>
  <c r="G197" i="3" s="1"/>
  <c r="H49" i="29"/>
  <c r="A7" i="27"/>
  <c r="G25" i="8"/>
  <c r="H56" i="29"/>
  <c r="G15" i="8"/>
  <c r="H13" i="29"/>
  <c r="H47" i="29" s="1"/>
  <c r="F197" i="3" l="1"/>
  <c r="H197" i="3"/>
  <c r="G21" i="8"/>
  <c r="A8" i="27"/>
  <c r="H52" i="29"/>
  <c r="H194" i="3" l="1"/>
  <c r="F194" i="3"/>
  <c r="G194" i="3"/>
  <c r="L11" i="5"/>
  <c r="K7" i="5" l="1"/>
  <c r="V6" i="5"/>
  <c r="V7" i="5"/>
  <c r="V9" i="5"/>
  <c r="V10" i="5"/>
  <c r="V11" i="5"/>
  <c r="V12" i="5"/>
  <c r="V14" i="5"/>
  <c r="V16" i="5"/>
  <c r="V17" i="5"/>
  <c r="V18" i="5"/>
  <c r="V19" i="5"/>
  <c r="V20" i="5"/>
  <c r="V21" i="5"/>
  <c r="V22" i="5"/>
  <c r="V23" i="5"/>
  <c r="V24" i="5"/>
  <c r="V25" i="5"/>
  <c r="V26" i="5"/>
  <c r="V27" i="5"/>
  <c r="V28" i="5"/>
  <c r="T6" i="5"/>
  <c r="T7" i="5"/>
  <c r="T9" i="5"/>
  <c r="T10" i="5"/>
  <c r="T12" i="5"/>
  <c r="T14" i="5"/>
  <c r="T16" i="5"/>
  <c r="T18" i="5"/>
  <c r="T19" i="5"/>
  <c r="T20" i="5"/>
  <c r="T21" i="5"/>
  <c r="T25" i="5"/>
  <c r="T26" i="5"/>
  <c r="T27" i="5"/>
  <c r="T28" i="5"/>
  <c r="T5" i="5"/>
  <c r="K6" i="5"/>
  <c r="K9" i="5"/>
  <c r="K10" i="5"/>
  <c r="K12" i="5"/>
  <c r="K14" i="5"/>
  <c r="K15" i="5"/>
  <c r="S15" i="5" s="1"/>
  <c r="T15" i="5" s="1"/>
  <c r="K16" i="5"/>
  <c r="K17" i="5"/>
  <c r="K18" i="5"/>
  <c r="K19" i="5"/>
  <c r="K20" i="5"/>
  <c r="K21" i="5"/>
  <c r="K22" i="5"/>
  <c r="K23" i="5"/>
  <c r="K25" i="5"/>
  <c r="K26" i="5"/>
  <c r="K27" i="5"/>
  <c r="K28" i="5"/>
  <c r="K5" i="5"/>
  <c r="H145" i="3"/>
  <c r="H142" i="3"/>
  <c r="H135" i="3"/>
  <c r="H136" i="3" s="1"/>
  <c r="H129" i="3"/>
  <c r="H130" i="3" s="1"/>
  <c r="H123" i="3"/>
  <c r="H124" i="3" s="1"/>
  <c r="H121" i="3"/>
  <c r="H122" i="3" s="1"/>
  <c r="H110" i="3"/>
  <c r="H111" i="3" s="1"/>
  <c r="H106" i="3"/>
  <c r="H107" i="3" s="1"/>
  <c r="H102" i="3"/>
  <c r="H103" i="3" s="1"/>
  <c r="H8" i="3"/>
  <c r="H41" i="3"/>
  <c r="H42" i="3" s="1"/>
  <c r="H44" i="3" s="1"/>
  <c r="H34" i="3"/>
  <c r="H27" i="3"/>
  <c r="H22" i="3"/>
  <c r="H20" i="3"/>
  <c r="H13" i="3"/>
  <c r="H15" i="3"/>
  <c r="H6" i="3"/>
  <c r="H16" i="3" l="1"/>
  <c r="H45" i="3"/>
  <c r="E195" i="3"/>
  <c r="D195" i="3"/>
  <c r="C195" i="3"/>
  <c r="F195" i="3"/>
  <c r="G195" i="3"/>
  <c r="H195" i="3"/>
  <c r="D196" i="3"/>
  <c r="C196" i="3"/>
  <c r="E196" i="3"/>
  <c r="H196" i="3"/>
  <c r="F196" i="3"/>
  <c r="G196" i="3"/>
  <c r="V15" i="5"/>
  <c r="H35" i="3"/>
  <c r="H37" i="3" s="1"/>
  <c r="H28" i="3"/>
  <c r="H30" i="3"/>
  <c r="H23" i="3"/>
  <c r="H9" i="3"/>
  <c r="H38" i="3" l="1"/>
  <c r="H31" i="3"/>
  <c r="D193" i="3" s="1"/>
  <c r="E193" i="3" l="1"/>
  <c r="G193" i="3"/>
  <c r="H193" i="3"/>
  <c r="C193" i="3"/>
  <c r="F193" i="3"/>
  <c r="C277" i="37"/>
  <c r="C269" i="37" s="1"/>
  <c r="C239" i="37" l="1"/>
  <c r="C243" i="37"/>
  <c r="C245" i="37"/>
  <c r="C244" i="37"/>
  <c r="C241" i="37"/>
  <c r="C240" i="37"/>
  <c r="C242" i="37"/>
  <c r="C301" i="37"/>
  <c r="C304" i="37"/>
  <c r="C289" i="37"/>
  <c r="C303" i="37"/>
  <c r="C288" i="37"/>
  <c r="C302" i="37"/>
  <c r="C287" i="37"/>
  <c r="C300" i="37"/>
  <c r="C286" i="37"/>
  <c r="C291" i="37"/>
  <c r="C305" i="37"/>
  <c r="C299" i="37"/>
  <c r="C290" i="37"/>
  <c r="C285" i="37"/>
  <c r="C275" i="37"/>
  <c r="C273" i="37"/>
  <c r="C271" i="37"/>
  <c r="C274" i="37"/>
  <c r="C270" i="37"/>
  <c r="C292" i="37" l="1"/>
  <c r="C276" i="37"/>
  <c r="B198" i="37"/>
  <c r="B224" i="37" l="1"/>
  <c r="B212" i="37"/>
  <c r="B223" i="37"/>
  <c r="B211" i="37"/>
  <c r="B210" i="37"/>
  <c r="B209" i="37"/>
  <c r="B208" i="37"/>
  <c r="B207" i="37"/>
  <c r="B226" i="37"/>
  <c r="B206" i="37"/>
  <c r="B225" i="37"/>
  <c r="B196" i="37"/>
  <c r="B195" i="37"/>
  <c r="B194" i="37"/>
  <c r="B221" i="37"/>
  <c r="B191" i="37"/>
  <c r="B222" i="37"/>
  <c r="B190" i="37"/>
  <c r="B220" i="37"/>
  <c r="B192" i="37"/>
  <c r="D120" i="37"/>
  <c r="D113" i="37" s="1"/>
  <c r="D114" i="37" l="1"/>
  <c r="D131" i="37"/>
  <c r="D147" i="37"/>
  <c r="D145" i="37"/>
  <c r="D143" i="37"/>
  <c r="D148" i="37"/>
  <c r="D129" i="37"/>
  <c r="D128" i="37"/>
  <c r="D118" i="37"/>
  <c r="D116" i="37"/>
  <c r="D134" i="37"/>
  <c r="D117" i="37"/>
  <c r="D133" i="37"/>
  <c r="D132" i="37"/>
  <c r="D130" i="37"/>
  <c r="D142" i="37"/>
  <c r="D146" i="37"/>
  <c r="D144" i="37"/>
  <c r="D112" i="37"/>
  <c r="D119" i="3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B8EEC8-BD31-EC47-BB39-208CDE1A07EC}" keepAlive="1" name="Query - ANNUALWaSSI_US_12d3d8270ae31ce183eed1e20dd64296" description="Connection to the 'ANNUALWaSSI_US_12d3d8270ae31ce183eed1e20dd64296' query in the workbook." type="5" refreshedVersion="0" background="1" saveData="1">
    <dbPr connection="Provider=Microsoft.Mashup.OleDb.1;Data Source=$Workbook$;Location=ANNUALWaSSI_US_12d3d8270ae31ce183eed1e20dd64296;Extended Properties=&quot;&quot;" command="SELECT * FROM [ANNUALWaSSI_US_12d3d8270ae31ce183eed1e20dd64296]"/>
  </connection>
  <connection id="2" xr16:uid="{73DB15BE-8B62-9E4A-B7E2-E849A074A04F}" keepAlive="1" name="Query - ANNUALWaSSI_US_16d9573b6fc514986980f5e023005ec8" description="Connection to the 'ANNUALWaSSI_US_16d9573b6fc514986980f5e023005ec8' query in the workbook." type="5" refreshedVersion="0" background="1" saveData="1">
    <dbPr connection="Provider=Microsoft.Mashup.OleDb.1;Data Source=$Workbook$;Location=ANNUALWaSSI_US_16d9573b6fc514986980f5e023005ec8;Extended Properties=&quot;&quot;" command="SELECT * FROM [ANNUALWaSSI_US_16d9573b6fc514986980f5e023005ec8]"/>
  </connection>
  <connection id="3" xr16:uid="{803FB1BC-F764-FF4E-9024-970BB27349D5}" keepAlive="1" name="Query - ANNUALWaSSI_US_29922ffc0e179164cdfaa8dccf20e8c6" description="Connection to the 'ANNUALWaSSI_US_29922ffc0e179164cdfaa8dccf20e8c6' query in the workbook." type="5" refreshedVersion="0" background="1" saveData="1">
    <dbPr connection="Provider=Microsoft.Mashup.OleDb.1;Data Source=$Workbook$;Location=ANNUALWaSSI_US_29922ffc0e179164cdfaa8dccf20e8c6;Extended Properties=&quot;&quot;" command="SELECT * FROM [ANNUALWaSSI_US_29922ffc0e179164cdfaa8dccf20e8c6]"/>
  </connection>
  <connection id="4" xr16:uid="{3F43C1CE-B181-2A4B-9FE9-E404A8697241}" keepAlive="1" name="Query - ANNUALWaSSI_US_2a04ad4cb42597c83ad9b3406db243f8" description="Connection to the 'ANNUALWaSSI_US_2a04ad4cb42597c83ad9b3406db243f8' query in the workbook." type="5" refreshedVersion="0" background="1" saveData="1">
    <dbPr connection="Provider=Microsoft.Mashup.OleDb.1;Data Source=$Workbook$;Location=ANNUALWaSSI_US_2a04ad4cb42597c83ad9b3406db243f8;Extended Properties=&quot;&quot;" command="SELECT * FROM [ANNUALWaSSI_US_2a04ad4cb42597c83ad9b3406db243f8]"/>
  </connection>
  <connection id="5" xr16:uid="{8AC5BC47-0C69-F64D-9C8F-5F786BD25A62}" keepAlive="1" name="Query - ANNUALWaSSI_US_2d621e6bc9a19db0349be6faed15593b" description="Connection to the 'ANNUALWaSSI_US_2d621e6bc9a19db0349be6faed15593b' query in the workbook." type="5" refreshedVersion="0" background="1" saveData="1">
    <dbPr connection="Provider=Microsoft.Mashup.OleDb.1;Data Source=$Workbook$;Location=ANNUALWaSSI_US_2d621e6bc9a19db0349be6faed15593b;Extended Properties=&quot;&quot;" command="SELECT * FROM [ANNUALWaSSI_US_2d621e6bc9a19db0349be6faed15593b]"/>
  </connection>
  <connection id="6" xr16:uid="{FD755CBC-A535-C641-866F-64B3CDA14D8E}" keepAlive="1" name="Query - ANNUALWaSSI_US_4507e2465a59aeac64de78bf0868cec9" description="Connection to the 'ANNUALWaSSI_US_4507e2465a59aeac64de78bf0868cec9' query in the workbook." type="5" refreshedVersion="0" background="1" saveData="1">
    <dbPr connection="Provider=Microsoft.Mashup.OleDb.1;Data Source=$Workbook$;Location=ANNUALWaSSI_US_4507e2465a59aeac64de78bf0868cec9;Extended Properties=&quot;&quot;" command="SELECT * FROM [ANNUALWaSSI_US_4507e2465a59aeac64de78bf0868cec9]"/>
  </connection>
  <connection id="7" xr16:uid="{861AAD81-2D15-ED4E-8A42-BC59C65C142E}" keepAlive="1" name="Query - ANNUALWaSSI_US_575a99f97bf5cee38ff467aa1a36a578" description="Connection to the 'ANNUALWaSSI_US_575a99f97bf5cee38ff467aa1a36a578' query in the workbook." type="5" refreshedVersion="0" background="1" saveData="1">
    <dbPr connection="Provider=Microsoft.Mashup.OleDb.1;Data Source=$Workbook$;Location=ANNUALWaSSI_US_575a99f97bf5cee38ff467aa1a36a578;Extended Properties=&quot;&quot;" command="SELECT * FROM [ANNUALWaSSI_US_575a99f97bf5cee38ff467aa1a36a578]"/>
  </connection>
  <connection id="8" xr16:uid="{DA3DE047-28C7-AC4A-B063-2DB01855C015}" keepAlive="1" name="Query - ANNUALWaSSI_US_6629d2be38417ca2b02a1ac244a914e4" description="Connection to the 'ANNUALWaSSI_US_6629d2be38417ca2b02a1ac244a914e4' query in the workbook." type="5" refreshedVersion="0" background="1" saveData="1">
    <dbPr connection="Provider=Microsoft.Mashup.OleDb.1;Data Source=$Workbook$;Location=ANNUALWaSSI_US_6629d2be38417ca2b02a1ac244a914e4;Extended Properties=&quot;&quot;" command="SELECT * FROM [ANNUALWaSSI_US_6629d2be38417ca2b02a1ac244a914e4]"/>
  </connection>
  <connection id="9" xr16:uid="{2DF2242B-38B9-E84F-B84B-7107AFB2407D}" keepAlive="1" name="Query - ANNUALWaSSI_US_94dc232ec34734b2a468595c66fd5e13" description="Connection to the 'ANNUALWaSSI_US_94dc232ec34734b2a468595c66fd5e13' query in the workbook." type="5" refreshedVersion="0" background="1" saveData="1">
    <dbPr connection="Provider=Microsoft.Mashup.OleDb.1;Data Source=$Workbook$;Location=ANNUALWaSSI_US_94dc232ec34734b2a468595c66fd5e13;Extended Properties=&quot;&quot;" command="SELECT * FROM [ANNUALWaSSI_US_94dc232ec34734b2a468595c66fd5e13]"/>
  </connection>
  <connection id="10" xr16:uid="{D19258BD-A7ED-6545-931F-7E32CF6FCC70}" keepAlive="1" name="Query - ANNUALWaSSI_US_9c332e434abb15f9d942945ffaf52b2b" description="Connection to the 'ANNUALWaSSI_US_9c332e434abb15f9d942945ffaf52b2b' query in the workbook." type="5" refreshedVersion="0" background="1" saveData="1">
    <dbPr connection="Provider=Microsoft.Mashup.OleDb.1;Data Source=$Workbook$;Location=ANNUALWaSSI_US_9c332e434abb15f9d942945ffaf52b2b;Extended Properties=&quot;&quot;" command="SELECT * FROM [ANNUALWaSSI_US_9c332e434abb15f9d942945ffaf52b2b]"/>
  </connection>
  <connection id="11" xr16:uid="{1D4E137D-FFFC-AB4A-993D-4F5EB1D18E2F}" keepAlive="1" name="Query - ANNUALWaSSI_US_b45fdd9d56905c503b9d232907fb6190" description="Connection to the 'ANNUALWaSSI_US_b45fdd9d56905c503b9d232907fb6190' query in the workbook." type="5" refreshedVersion="0" background="1" saveData="1">
    <dbPr connection="Provider=Microsoft.Mashup.OleDb.1;Data Source=$Workbook$;Location=ANNUALWaSSI_US_b45fdd9d56905c503b9d232907fb6190;Extended Properties=&quot;&quot;" command="SELECT * FROM [ANNUALWaSSI_US_b45fdd9d56905c503b9d232907fb6190]"/>
  </connection>
  <connection id="12" xr16:uid="{43BD2E76-D4FE-3646-A503-E0314319543E}" keepAlive="1" name="Query - ANNUALWaSSI_US_b69f10ccd3136d68f2a8bf1f1481adef" description="Connection to the 'ANNUALWaSSI_US_b69f10ccd3136d68f2a8bf1f1481adef' query in the workbook." type="5" refreshedVersion="0" background="1" saveData="1">
    <dbPr connection="Provider=Microsoft.Mashup.OleDb.1;Data Source=$Workbook$;Location=ANNUALWaSSI_US_b69f10ccd3136d68f2a8bf1f1481adef;Extended Properties=&quot;&quot;" command="SELECT * FROM [ANNUALWaSSI_US_b69f10ccd3136d68f2a8bf1f1481adef]"/>
  </connection>
  <connection id="13" xr16:uid="{44C39CBE-6F81-F54C-9838-097CA3E043A4}" keepAlive="1" name="Query - ANNUALWaSSI_US_e501cd1302e1c017292a0ff4cb478e45" description="Connection to the 'ANNUALWaSSI_US_e501cd1302e1c017292a0ff4cb478e45' query in the workbook." type="5" refreshedVersion="0" background="1" saveData="1">
    <dbPr connection="Provider=Microsoft.Mashup.OleDb.1;Data Source=$Workbook$;Location=ANNUALWaSSI_US_e501cd1302e1c017292a0ff4cb478e45;Extended Properties=&quot;&quot;" command="SELECT * FROM [ANNUALWaSSI_US_e501cd1302e1c017292a0ff4cb478e45]"/>
  </connection>
  <connection id="14" xr16:uid="{6FB512A4-F072-8048-AFEE-0016442A9A4F}" keepAlive="1" name="Query - ANNUALWaSSI_US_e70f7911a58030ec0ccd8574040dc857" description="Connection to the 'ANNUALWaSSI_US_e70f7911a58030ec0ccd8574040dc857' query in the workbook." type="5" refreshedVersion="0" background="1" saveData="1">
    <dbPr connection="Provider=Microsoft.Mashup.OleDb.1;Data Source=$Workbook$;Location=ANNUALWaSSI_US_e70f7911a58030ec0ccd8574040dc857;Extended Properties=&quot;&quot;" command="SELECT * FROM [ANNUALWaSSI_US_e70f7911a58030ec0ccd8574040dc857]"/>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<sst xmlns="http://schemas.openxmlformats.org/spreadsheetml/2006/main" count="5040" uniqueCount="592">
  <si>
    <t>Title</t>
  </si>
  <si>
    <t>Authors</t>
  </si>
  <si>
    <t>Date</t>
  </si>
  <si>
    <t>Geography</t>
  </si>
  <si>
    <t>Extraction Method</t>
  </si>
  <si>
    <t>Functional Unit</t>
  </si>
  <si>
    <t>Units</t>
  </si>
  <si>
    <t>Notes</t>
  </si>
  <si>
    <t>South America</t>
  </si>
  <si>
    <t>Energy, greenhouse gas, and water life cycle analysis of lithium carbonate and lithium hydroxide monohydrate from brine and ore resources and their use in lithium ion battery cathodes and lithium ion batteries</t>
  </si>
  <si>
    <t>Chile</t>
  </si>
  <si>
    <t>Evaporation</t>
  </si>
  <si>
    <t>Brine</t>
  </si>
  <si>
    <t>ton</t>
  </si>
  <si>
    <t>m3</t>
  </si>
  <si>
    <t>Australia</t>
  </si>
  <si>
    <t>Life cycle environmental impacts of current and future battery-grade lithium supply from brine and spodumene</t>
  </si>
  <si>
    <t>Chordia et al.</t>
  </si>
  <si>
    <t>Argentina</t>
  </si>
  <si>
    <t>Regionalized life cycle assessment of present and future lithium production for Li-ion batteries</t>
  </si>
  <si>
    <t>Schenker et al.</t>
  </si>
  <si>
    <t>Salar de Olaroz</t>
  </si>
  <si>
    <t>Salar de Cauchari-Olaroz</t>
  </si>
  <si>
    <t>Salar del Hombre Muerto</t>
  </si>
  <si>
    <t>Salar de Atacama</t>
  </si>
  <si>
    <t>China</t>
  </si>
  <si>
    <t>Chaerhan salt lake</t>
  </si>
  <si>
    <t>Lithium from clay: Assessing the environmental impacts of extraction</t>
  </si>
  <si>
    <t>Roy et al.</t>
  </si>
  <si>
    <t>USA</t>
  </si>
  <si>
    <t>Roasting</t>
  </si>
  <si>
    <t>Clay</t>
  </si>
  <si>
    <t>kg</t>
  </si>
  <si>
    <t>Thacker Pass</t>
  </si>
  <si>
    <t>Khakmardan et al.</t>
  </si>
  <si>
    <t>Mexico</t>
  </si>
  <si>
    <t>Table S2A. Lithium content in brine resources from literature</t>
  </si>
  <si>
    <t>Country</t>
  </si>
  <si>
    <t>Resource</t>
  </si>
  <si>
    <t>Lithium Content</t>
  </si>
  <si>
    <t>Unit</t>
  </si>
  <si>
    <t>Schomberg et al</t>
  </si>
  <si>
    <t>Concentrated brine</t>
  </si>
  <si>
    <t>%</t>
  </si>
  <si>
    <t>Ecoinvent value</t>
  </si>
  <si>
    <t>Salar de Uyuni</t>
  </si>
  <si>
    <t>Bolivia</t>
  </si>
  <si>
    <t>Salar de Hombre Muerto</t>
  </si>
  <si>
    <t>Kelly et al.</t>
  </si>
  <si>
    <t>Raw brine</t>
  </si>
  <si>
    <t>Salar de Cauchari</t>
  </si>
  <si>
    <t>Salar de Marcunga</t>
  </si>
  <si>
    <t>Data from 2004</t>
  </si>
  <si>
    <t>Table S2B. Lithium content in hard-rock resources from literature</t>
  </si>
  <si>
    <t>Western Australia</t>
  </si>
  <si>
    <t>Spodumene ore</t>
  </si>
  <si>
    <t>Li2O content</t>
  </si>
  <si>
    <t>Spodumene concentrate</t>
  </si>
  <si>
    <t>Whabouchi</t>
  </si>
  <si>
    <t>Canada</t>
  </si>
  <si>
    <t>Central Ostrobothnia</t>
  </si>
  <si>
    <t>Finland</t>
  </si>
  <si>
    <t>Table S3A. Life Cycle Inventory (LCI) water consumption data from literature for brine resources to lithium carbonate equivalent (LCE)</t>
  </si>
  <si>
    <t>Input</t>
  </si>
  <si>
    <t>Input value</t>
  </si>
  <si>
    <t>Input unit</t>
  </si>
  <si>
    <t>Functional unit</t>
  </si>
  <si>
    <t>Extended life cycle assessment reveals the spatially-explicit water scarcity footprint of a lithium-ion battery storage</t>
  </si>
  <si>
    <t>kg LCE</t>
  </si>
  <si>
    <t>Evaporated water</t>
  </si>
  <si>
    <t>kg concentrated brine</t>
  </si>
  <si>
    <t>Calculated</t>
  </si>
  <si>
    <t>Freshwater consumption processing</t>
  </si>
  <si>
    <t>Total direct water consumption</t>
  </si>
  <si>
    <t>t</t>
  </si>
  <si>
    <t>t concentrated brine</t>
  </si>
  <si>
    <t>t LCE</t>
  </si>
  <si>
    <t>Mass allocation value</t>
  </si>
  <si>
    <t>Assume water density 1000 kg/m3</t>
  </si>
  <si>
    <t>Assume that brine is not freshwater and therefore no consumptive loss from evaporation</t>
  </si>
  <si>
    <t>Table S3B. Life Cycle Inventory (LCI) water consumption data from literature for brine resources of lithium carbonate equivalent (LCE) to lithium hydroxide equivalent (LHE)</t>
  </si>
  <si>
    <t>Lithium carbonate</t>
  </si>
  <si>
    <t>t LHE</t>
  </si>
  <si>
    <t>kg LHE</t>
  </si>
  <si>
    <t>Table S3C. Life Cycle Inventory (LCI) water consumption data from literature for hard-rock resources to lithium carbonate equivalent (LCE) and lithium hydroxide equivalent (LHE)</t>
  </si>
  <si>
    <t>t spodumene concentrate</t>
  </si>
  <si>
    <t>Not available</t>
  </si>
  <si>
    <t>Minimum water consumption since water consumption for spodumene concentrate conversion to LHE is not available</t>
  </si>
  <si>
    <t>Roasting, From Crocker and Lein (1987)</t>
  </si>
  <si>
    <t>3270 ppm Li</t>
  </si>
  <si>
    <t>Nevada, Rhyolite Ridge</t>
  </si>
  <si>
    <t>Acid Leaching, From Lithium Americas (2022)</t>
  </si>
  <si>
    <t>Nevada, McDermitt Caldera</t>
  </si>
  <si>
    <t>Angel Island</t>
  </si>
  <si>
    <t>Basin</t>
  </si>
  <si>
    <t>Big Sandy</t>
  </si>
  <si>
    <t>Bonnie Claire Open Pit</t>
  </si>
  <si>
    <t>Bonnie Claire Borehole</t>
  </si>
  <si>
    <t>Clayton Northeast (Pure Energy Minerals)</t>
  </si>
  <si>
    <t>Clayton Ridge</t>
  </si>
  <si>
    <t>Clayton Valley (ACME)</t>
  </si>
  <si>
    <t>Gemini</t>
  </si>
  <si>
    <t>Horizon</t>
  </si>
  <si>
    <t>Kings Mountain</t>
  </si>
  <si>
    <t>Lone Mountain</t>
  </si>
  <si>
    <t>McDermitt JLL</t>
  </si>
  <si>
    <t>McGee</t>
  </si>
  <si>
    <t>Nevada North</t>
  </si>
  <si>
    <t>Paradox</t>
  </si>
  <si>
    <t>Piedmont Carolina</t>
  </si>
  <si>
    <t>Rhyolite Ridge</t>
  </si>
  <si>
    <t>Silver Peak</t>
  </si>
  <si>
    <t>South West Arkansas</t>
  </si>
  <si>
    <t>TLC</t>
  </si>
  <si>
    <t>Tonopah Flats</t>
  </si>
  <si>
    <t>West Tonopah</t>
  </si>
  <si>
    <t>Zeus</t>
  </si>
  <si>
    <t>Proposed Site Name</t>
  </si>
  <si>
    <t>Deposit Type</t>
  </si>
  <si>
    <t>Sediment-contained</t>
  </si>
  <si>
    <t>Hardrock</t>
  </si>
  <si>
    <t>Oil-field brine</t>
  </si>
  <si>
    <t>Source</t>
  </si>
  <si>
    <t>Measured</t>
  </si>
  <si>
    <t>Indicated</t>
  </si>
  <si>
    <t>Inferred</t>
  </si>
  <si>
    <t>Product Resources (Mt)</t>
  </si>
  <si>
    <t>Product</t>
  </si>
  <si>
    <t>Total</t>
  </si>
  <si>
    <t>Measured &amp; Indicated</t>
  </si>
  <si>
    <t>LCE</t>
  </si>
  <si>
    <t>LHE</t>
  </si>
  <si>
    <t>Mine Type</t>
  </si>
  <si>
    <t>Open pit</t>
  </si>
  <si>
    <t>Borehole mining</t>
  </si>
  <si>
    <t>State</t>
  </si>
  <si>
    <t>Latitude</t>
  </si>
  <si>
    <t>Longitude</t>
  </si>
  <si>
    <t>Stage</t>
  </si>
  <si>
    <t>Nevada</t>
  </si>
  <si>
    <t>Feasibility Complete</t>
  </si>
  <si>
    <t>Arizona</t>
  </si>
  <si>
    <t>Reserves Development</t>
  </si>
  <si>
    <t>Exploration</t>
  </si>
  <si>
    <t>Prefeas/Scoping</t>
  </si>
  <si>
    <t>Target Outline</t>
  </si>
  <si>
    <t>California</t>
  </si>
  <si>
    <t>Construction Started</t>
  </si>
  <si>
    <t>North Carolina</t>
  </si>
  <si>
    <t>Oregon</t>
  </si>
  <si>
    <t>Utah</t>
  </si>
  <si>
    <t>Construction Planned</t>
  </si>
  <si>
    <t>Operating</t>
  </si>
  <si>
    <t>Arkansas</t>
  </si>
  <si>
    <t>Source(s)</t>
  </si>
  <si>
    <t>Table S4A. Proposed Mine Geographic Location, Stage, Deposit and Mine Types, and Ore and Product Reserves and Resources</t>
  </si>
  <si>
    <t>Feasibility Report 2024</t>
  </si>
  <si>
    <t>Technical Report 2023</t>
  </si>
  <si>
    <t>Technical Report 2024</t>
  </si>
  <si>
    <t>Arizona Lithium website</t>
  </si>
  <si>
    <t>Technical Report 2022</t>
  </si>
  <si>
    <t xml:space="preserve">Preliminary Economic Assessment 2018 </t>
  </si>
  <si>
    <t>Ore deposit is brine volume in Mm3</t>
  </si>
  <si>
    <t>Authium website</t>
  </si>
  <si>
    <t>Albemarle Resource Estimate 2021</t>
  </si>
  <si>
    <t>Lithium content % is in % Li2O</t>
  </si>
  <si>
    <t>Lithium Nevada (Thacker Pass)</t>
  </si>
  <si>
    <t>Feasibility Report 2022</t>
  </si>
  <si>
    <t>Austroid website</t>
  </si>
  <si>
    <t>Prefeasbility Study 2024</t>
  </si>
  <si>
    <t>Anson Resources website</t>
  </si>
  <si>
    <t>Ore deposit is brine tonnage in Mt</t>
  </si>
  <si>
    <t>Technical Report 2021</t>
  </si>
  <si>
    <t>Prefeasbility Study 2023</t>
  </si>
  <si>
    <t>Standard Lithium website</t>
  </si>
  <si>
    <t>Preliminary Economic Assessment 2023</t>
  </si>
  <si>
    <t>Resource Estimate 2024</t>
  </si>
  <si>
    <t>Inferred is weighted average of west and east resources</t>
  </si>
  <si>
    <t>Preliminary Economic Assessment 2021</t>
  </si>
  <si>
    <t>HUC8 ID</t>
  </si>
  <si>
    <t>HUC 8 Name</t>
  </si>
  <si>
    <t>Ralston-Stone Cabin Valleys</t>
  </si>
  <si>
    <t>Burro</t>
  </si>
  <si>
    <t>Cactus-Sarcobatus Flats</t>
  </si>
  <si>
    <t>Southern Big Smoky Valley</t>
  </si>
  <si>
    <t>Upper Broad</t>
  </si>
  <si>
    <t>Upper Quinn</t>
  </si>
  <si>
    <t>Upper Colorado-Kane Springs</t>
  </si>
  <si>
    <t>South Fork Catawba</t>
  </si>
  <si>
    <t>Fish Lake-Soda Spring Valleys</t>
  </si>
  <si>
    <t>Bodcau Bayou</t>
  </si>
  <si>
    <t>Grand</t>
  </si>
  <si>
    <t>Los Angeles</t>
  </si>
  <si>
    <t>Salton Sea</t>
  </si>
  <si>
    <t>Table S5A. Proposed Mine Water Use</t>
  </si>
  <si>
    <t>Provided Water Use</t>
  </si>
  <si>
    <t>m3/hr</t>
  </si>
  <si>
    <t>m3/yr</t>
  </si>
  <si>
    <t>gpm</t>
  </si>
  <si>
    <t>m3/day</t>
  </si>
  <si>
    <t>Conversions</t>
  </si>
  <si>
    <t>Time</t>
  </si>
  <si>
    <t>yr</t>
  </si>
  <si>
    <t>day</t>
  </si>
  <si>
    <t>hr</t>
  </si>
  <si>
    <t>min</t>
  </si>
  <si>
    <t>sec</t>
  </si>
  <si>
    <t>Mass</t>
  </si>
  <si>
    <t>metric ton</t>
  </si>
  <si>
    <t>US ton (short ton)</t>
  </si>
  <si>
    <t>Volume</t>
  </si>
  <si>
    <t>L</t>
  </si>
  <si>
    <t>gal</t>
  </si>
  <si>
    <t>Provided Water Use (m3/yr)</t>
  </si>
  <si>
    <t>Table S2D. Lithium content in proposed mines (see also Table S4A)</t>
  </si>
  <si>
    <t>Li2O content (0.557% Li content)</t>
  </si>
  <si>
    <t>Table S2C. Lithium content in sedimentary resources from literature</t>
  </si>
  <si>
    <t>Sonora</t>
  </si>
  <si>
    <t>Falchani</t>
  </si>
  <si>
    <t>Peru</t>
  </si>
  <si>
    <t>Nevada, McDermitt Caldera, Thacker Pass</t>
  </si>
  <si>
    <t>Clay (smectite)</t>
  </si>
  <si>
    <t>Clay (illite)</t>
  </si>
  <si>
    <t>Average of 2000-4000 ppm</t>
  </si>
  <si>
    <t>Average of 4000-9000 ppm</t>
  </si>
  <si>
    <t>Clay (hectorite)</t>
  </si>
  <si>
    <t>Sediment-contained (searlesite)</t>
  </si>
  <si>
    <t>Sedimentary-contained (tuff)</t>
  </si>
  <si>
    <t>Mousavinezhad et al.</t>
  </si>
  <si>
    <t>Clay (hectorite, smectite)</t>
  </si>
  <si>
    <t>Average of 1000 - 3000 ppm</t>
  </si>
  <si>
    <t>Nevada, not specified</t>
  </si>
  <si>
    <t>Life cycle assessment of lithium carbonate production: Comparing sedimentary deposits</t>
  </si>
  <si>
    <t>Freshwater consumption mining</t>
  </si>
  <si>
    <t>Sustainable lithium production from sedimentary rock deposits: Carbon reduction and EV synergies</t>
  </si>
  <si>
    <t>Sedimentary ore</t>
  </si>
  <si>
    <t>From Ecoinvent (rest of world)</t>
  </si>
  <si>
    <t>Site Name</t>
  </si>
  <si>
    <t>County</t>
  </si>
  <si>
    <t>Esmeralda</t>
  </si>
  <si>
    <t>Direct lithium extraction</t>
  </si>
  <si>
    <t>Groundwater extracted</t>
  </si>
  <si>
    <t>Groundwater returned</t>
  </si>
  <si>
    <t>Net water use</t>
  </si>
  <si>
    <t>LCE production</t>
  </si>
  <si>
    <t>t/yr</t>
  </si>
  <si>
    <t>Table S6A. Life Cycle Inventory (LCI) water consumption data from technical reports of proposed mines that report water consumption and annual production</t>
  </si>
  <si>
    <t>Mining Method</t>
  </si>
  <si>
    <t>Pumping</t>
  </si>
  <si>
    <t>Extraction Process</t>
  </si>
  <si>
    <t>Preliminary Economic Assessment 2022</t>
  </si>
  <si>
    <t>Water consumption is for both Bonnie Claire projects</t>
  </si>
  <si>
    <t>Calcine leaching</t>
  </si>
  <si>
    <t>Bonnie Claire</t>
  </si>
  <si>
    <t>Nye</t>
  </si>
  <si>
    <t>Open pit/borehole</t>
  </si>
  <si>
    <t>Lithium Americas Website</t>
  </si>
  <si>
    <t>Process net water use</t>
  </si>
  <si>
    <t>Clay, brine</t>
  </si>
  <si>
    <t>Open pit, pumping</t>
  </si>
  <si>
    <t>Acid leaching, evaporation</t>
  </si>
  <si>
    <t>Humboldt</t>
  </si>
  <si>
    <t>Extraction net water use</t>
  </si>
  <si>
    <t>Ore feed</t>
  </si>
  <si>
    <t>Chemical flotation</t>
  </si>
  <si>
    <t>LHE production</t>
  </si>
  <si>
    <t>Mine dewatering</t>
  </si>
  <si>
    <t>Gaston</t>
  </si>
  <si>
    <t>*Not included in total calculation. Water goes to treatment plant and is released</t>
  </si>
  <si>
    <t>Acid leaching</t>
  </si>
  <si>
    <t>m3/t LCE</t>
  </si>
  <si>
    <t>Evapotranspiration</t>
  </si>
  <si>
    <t>*for 2022 production of 150,356 tons LCE</t>
  </si>
  <si>
    <t>Lafayette</t>
  </si>
  <si>
    <t>m3/t ROM</t>
  </si>
  <si>
    <t>Run of Mill feed (ROM)</t>
  </si>
  <si>
    <t>ft3/hr</t>
  </si>
  <si>
    <t>ft3</t>
  </si>
  <si>
    <t>*average of 17650 and 28250</t>
  </si>
  <si>
    <t>Category (units)</t>
  </si>
  <si>
    <t>Lithium mineral concentrate</t>
  </si>
  <si>
    <t>Production (tons)</t>
  </si>
  <si>
    <t>Water consumption (ML)</t>
  </si>
  <si>
    <t>Absolute percent change (%)</t>
  </si>
  <si>
    <t>Sustainability Report 2024</t>
  </si>
  <si>
    <t>Salar de Atacama (SQM)</t>
  </si>
  <si>
    <t>Site Name (Operator)</t>
  </si>
  <si>
    <t>Greenbushes (Talison)</t>
  </si>
  <si>
    <t>Water consumption (m3)</t>
  </si>
  <si>
    <t>Annual Report 2024</t>
  </si>
  <si>
    <t>Hardrock (spodumene)</t>
  </si>
  <si>
    <t>Cauchari-Olaroz (Lithium Argentina)</t>
  </si>
  <si>
    <t>Water consumption per product (m3/ton) (calculated)</t>
  </si>
  <si>
    <t>Water consumption per product (m3/ton) (provided)</t>
  </si>
  <si>
    <t>* Production began in 2023</t>
  </si>
  <si>
    <t>Product Reserves (Mt)</t>
  </si>
  <si>
    <t>Proven</t>
  </si>
  <si>
    <t>Probable</t>
  </si>
  <si>
    <t xml:space="preserve">Measured </t>
  </si>
  <si>
    <t xml:space="preserve">Indicated </t>
  </si>
  <si>
    <t xml:space="preserve">Measured &amp; Indicated </t>
  </si>
  <si>
    <t xml:space="preserve">Inferred </t>
  </si>
  <si>
    <t xml:space="preserve">Proven </t>
  </si>
  <si>
    <t xml:space="preserve">Probable </t>
  </si>
  <si>
    <t xml:space="preserve">Total </t>
  </si>
  <si>
    <t>Lithium Content/Grade (ppm, except when noted)</t>
  </si>
  <si>
    <t>Lithium Content/Grade (ppm, expect when noted)</t>
  </si>
  <si>
    <t>SC</t>
  </si>
  <si>
    <t>Ioneer website</t>
  </si>
  <si>
    <t>Ore/Brine Resources (Mt)</t>
  </si>
  <si>
    <t>Ore/Brine Reserves (Mt)</t>
  </si>
  <si>
    <t>Li</t>
  </si>
  <si>
    <t>Li2O</t>
  </si>
  <si>
    <t>Product reserves originally reported as contained lithium</t>
  </si>
  <si>
    <t>MRE Announcement 2024</t>
  </si>
  <si>
    <t>Iyer and Kelly 2023</t>
  </si>
  <si>
    <t>Resource 1 (Mt LCE)</t>
  </si>
  <si>
    <t>Annual Production (tons/yr)</t>
  </si>
  <si>
    <t>Resource 2 (Mt LCE)*</t>
  </si>
  <si>
    <t>Annual Production (tons LCE/yr)*</t>
  </si>
  <si>
    <t>*Calculated from regressions from Buarque Andrade et al. (2024)</t>
  </si>
  <si>
    <t>DLE</t>
  </si>
  <si>
    <t>* Percent change represents a ramp-up, not changes at full-capacity</t>
  </si>
  <si>
    <t>Environmental impact of direct lithium extraction from brines</t>
  </si>
  <si>
    <t>Vera et al.</t>
  </si>
  <si>
    <t>Freshwater requirement</t>
  </si>
  <si>
    <t>East Tajinar Salt Lake</t>
  </si>
  <si>
    <t>Not specified</t>
  </si>
  <si>
    <t>West Taijinar</t>
  </si>
  <si>
    <t>Geothermal Plant in Tibet</t>
  </si>
  <si>
    <t>Qaidam Basin</t>
  </si>
  <si>
    <t>Olaroz</t>
  </si>
  <si>
    <t>Hombre Muerto</t>
  </si>
  <si>
    <t>Chemical flotation, acid leaching</t>
  </si>
  <si>
    <t>The water footprint of lithium extraction technologies: Insights from environmental impact reports in Argentina's salt flats</t>
  </si>
  <si>
    <t>Díaz Paz et al.</t>
  </si>
  <si>
    <t>Fénix</t>
  </si>
  <si>
    <t>Schenker and Pfister</t>
  </si>
  <si>
    <t>Current and Future Impacts of Lithium Carbonate from Brines: A Global Regionalized Life Cycle Assessment Model</t>
  </si>
  <si>
    <t>Tres Quebradas</t>
  </si>
  <si>
    <t>Salar de Maricunga</t>
  </si>
  <si>
    <t>Sal de Vida</t>
  </si>
  <si>
    <t>Salar de Hombre Muerto North</t>
  </si>
  <si>
    <t>Pastos Grandes</t>
  </si>
  <si>
    <t>Geothermal brine</t>
  </si>
  <si>
    <t>Rio Grande</t>
  </si>
  <si>
    <t>Centenario</t>
  </si>
  <si>
    <t>Rincón</t>
  </si>
  <si>
    <t>Tolillar</t>
  </si>
  <si>
    <t>Arizaro</t>
  </si>
  <si>
    <t>Antofalla</t>
  </si>
  <si>
    <t>Salinas Grandes</t>
  </si>
  <si>
    <t>Kachi</t>
  </si>
  <si>
    <t>Pozuelos</t>
  </si>
  <si>
    <t>Chaerhan</t>
  </si>
  <si>
    <t>Qinghai Yiliping</t>
  </si>
  <si>
    <t>Upper Rhine Graben</t>
  </si>
  <si>
    <t>Germany</t>
  </si>
  <si>
    <t>Early stage exploration</t>
  </si>
  <si>
    <t>Geothermal brine, late stage exploration</t>
  </si>
  <si>
    <t>Late stage exploration</t>
  </si>
  <si>
    <t>Lagos et al.</t>
  </si>
  <si>
    <t>Carbon footprint and water inventory of the production of lithium in the Atacama Salt Flat, Chile</t>
  </si>
  <si>
    <t>Direct lithium extraction (Liquid-liquid)</t>
  </si>
  <si>
    <t>Direct lithium extraction (Ion exchange resins)</t>
  </si>
  <si>
    <t>Direct lithium extraction (Ion-pumping)</t>
  </si>
  <si>
    <t>Direct lithium extraction (Adsorption)</t>
  </si>
  <si>
    <t>Modeled, high grade brine</t>
  </si>
  <si>
    <t>Modeled, medium grade brine</t>
  </si>
  <si>
    <t>Modeled, low grade brine</t>
  </si>
  <si>
    <t>Mas-Fons et al.</t>
  </si>
  <si>
    <t>Carbon and water footprint of battery-grade lithium from brine and spodumene: A simulation-based LCA</t>
  </si>
  <si>
    <t>High grade</t>
  </si>
  <si>
    <t>Medium grade</t>
  </si>
  <si>
    <t>Low grade</t>
  </si>
  <si>
    <t>Greenbushes</t>
  </si>
  <si>
    <t>Lithium Content/Grade (%, except when noted)</t>
  </si>
  <si>
    <t>Lithium Nevada Thacker Pass</t>
  </si>
  <si>
    <t>Table S6B. Life Cycle Inventory (LCI) water consumption data per ton of product</t>
  </si>
  <si>
    <t>*includes evapotranspiration loss</t>
  </si>
  <si>
    <t>*Table used to generate triangular distributions for Monte Carlo</t>
  </si>
  <si>
    <t>Average</t>
  </si>
  <si>
    <t>Minimum</t>
  </si>
  <si>
    <t>Maximum</t>
  </si>
  <si>
    <t>Literature Only (kg/kg LCE)</t>
  </si>
  <si>
    <t>Outlier. Excluded from model</t>
  </si>
  <si>
    <t>Hard rock</t>
  </si>
  <si>
    <t>Oil-field Brine</t>
  </si>
  <si>
    <t>Clay/Sediment-contained</t>
  </si>
  <si>
    <t>Literature and Proposed Mines (kg/kg LCE)</t>
  </si>
  <si>
    <t>acre-ft/yr</t>
  </si>
  <si>
    <t>acre-ft</t>
  </si>
  <si>
    <t>*average between 200-250</t>
  </si>
  <si>
    <t>Corporate Presentation 2024</t>
  </si>
  <si>
    <t>*Only two data points</t>
  </si>
  <si>
    <t>None available</t>
  </si>
  <si>
    <t>p10</t>
  </si>
  <si>
    <t>p50</t>
  </si>
  <si>
    <t>p90</t>
  </si>
  <si>
    <t>Method</t>
  </si>
  <si>
    <t>dp</t>
  </si>
  <si>
    <t>i</t>
  </si>
  <si>
    <t>ir</t>
  </si>
  <si>
    <t>ls</t>
  </si>
  <si>
    <t>Water Consumption (m3/ton LCE)</t>
  </si>
  <si>
    <t>Production estimate (tons/yr)</t>
  </si>
  <si>
    <t>+/- 20%</t>
  </si>
  <si>
    <t>Climate Model</t>
  </si>
  <si>
    <t>Sector</t>
  </si>
  <si>
    <t>Climate Scenario</t>
  </si>
  <si>
    <t>Aquaculture</t>
  </si>
  <si>
    <t>RCP 4.5</t>
  </si>
  <si>
    <t>RCP 8.5</t>
  </si>
  <si>
    <t>Water consumption estimate (m3/yr)</t>
  </si>
  <si>
    <t>Literature Estimate</t>
  </si>
  <si>
    <t>Table S3D. Life Cycle Inventory (LCI) water consumption data from literature for clay resources to lithium carbonate equivalent (LCE)</t>
  </si>
  <si>
    <t>MOJ</t>
  </si>
  <si>
    <t>UQ</t>
  </si>
  <si>
    <t>BUR</t>
  </si>
  <si>
    <t>RSCV</t>
  </si>
  <si>
    <t>SBSV</t>
  </si>
  <si>
    <t>CSF</t>
  </si>
  <si>
    <t>FLSSV</t>
  </si>
  <si>
    <t>BS</t>
  </si>
  <si>
    <t>BB</t>
  </si>
  <si>
    <t>SFC</t>
  </si>
  <si>
    <t>UB</t>
  </si>
  <si>
    <t>UCKS</t>
  </si>
  <si>
    <t>Domestic</t>
  </si>
  <si>
    <t>Industrial and Mining</t>
  </si>
  <si>
    <t>Irrigated Agriculture</t>
  </si>
  <si>
    <t>Livestock</t>
  </si>
  <si>
    <t>Thermoelectric Power</t>
  </si>
  <si>
    <t>Table S7A. Production and Water Consumption Data for Select Operating Mines</t>
  </si>
  <si>
    <t>Table S4C Estimated Annual Production for Proposed Sites Without Given Annual Production</t>
  </si>
  <si>
    <t>Table S4B. Annual Production for Proposed Sites with Given Annual Production</t>
  </si>
  <si>
    <t>supply p10</t>
  </si>
  <si>
    <t>supply p90</t>
  </si>
  <si>
    <t>aq</t>
  </si>
  <si>
    <t>th</t>
  </si>
  <si>
    <t>10th</t>
  </si>
  <si>
    <t>50th</t>
  </si>
  <si>
    <t>90th</t>
  </si>
  <si>
    <t>* See paper for definitions</t>
  </si>
  <si>
    <t>Variable</t>
  </si>
  <si>
    <t>Regression Coefficient</t>
  </si>
  <si>
    <t>Standard error</t>
  </si>
  <si>
    <t>p-value</t>
  </si>
  <si>
    <t>Intercept</t>
  </si>
  <si>
    <t>ln (Resource 1)</t>
  </si>
  <si>
    <t>N</t>
  </si>
  <si>
    <t>Business (Hard A)</t>
  </si>
  <si>
    <t>Regression</t>
  </si>
  <si>
    <t>Resource 2</t>
  </si>
  <si>
    <t>Annual Capacity</t>
  </si>
  <si>
    <r>
      <t>Adjusted R</t>
    </r>
    <r>
      <rPr>
        <b/>
        <vertAlign val="superscript"/>
        <sz val="11"/>
        <color theme="1"/>
        <rFont val="Calibri (Body)"/>
      </rPr>
      <t>2</t>
    </r>
  </si>
  <si>
    <t>RCP</t>
  </si>
  <si>
    <t>CNRM</t>
  </si>
  <si>
    <t>HadGEM2</t>
  </si>
  <si>
    <t>IPSL</t>
  </si>
  <si>
    <t>MRI-CGCM3</t>
  </si>
  <si>
    <t>NorESM</t>
  </si>
  <si>
    <t>RCP 4.5 SSP1</t>
  </si>
  <si>
    <t>RCP 8.5 SSP2</t>
  </si>
  <si>
    <t>RCP 8.5 SSP3</t>
  </si>
  <si>
    <t>RCP 8.5 SSP5</t>
  </si>
  <si>
    <t>Table S8C. WaSSI total water supply (Mgal/day) by HUC 8 uncertainty results</t>
  </si>
  <si>
    <t>Table S8B. Water Consumption Estimates by Deposit Type Uncertainty Analysis Results</t>
  </si>
  <si>
    <t>Table S8G. Water demand (Mgal/day) uncertainty results for RCP8.5 SSP5</t>
  </si>
  <si>
    <t>Table S8F. Water demand (Mgal/day) uncertainty results for RCP8.5 SSP3</t>
  </si>
  <si>
    <t>Table S8E. Water demand (Mgal/day) uncertainty results for RCP8.5 SSP2</t>
  </si>
  <si>
    <t>Table S8D. Water demand (Mgal/day) uncertainty results for RCP4.5 SSP1</t>
  </si>
  <si>
    <t>Table S8H. Total water demand (Mgal/day) results for RCP 4.5 SSP1</t>
  </si>
  <si>
    <t>Table S8K. Total water demand (Mgal/day) results for RCP 8.5 SSP 5</t>
  </si>
  <si>
    <t>Table S8J. Total water demand (Mgal/day) results for RCP 8.5 SSP 3</t>
  </si>
  <si>
    <t>Table S8I. Total water demand (Mgal/day) results for RCP 8.5 SSP 2</t>
  </si>
  <si>
    <t>Table S8L. Total water demand lithium mining (m3/yr) by HUC</t>
  </si>
  <si>
    <t>Water Supply (Mgal/day)</t>
  </si>
  <si>
    <t>Water Demand (Mgal/day)</t>
  </si>
  <si>
    <t>Lithium Demand (m3/yr)</t>
  </si>
  <si>
    <t>Net (Mm3/yr)</t>
  </si>
  <si>
    <t>HUC 8</t>
  </si>
  <si>
    <t>SSP1</t>
  </si>
  <si>
    <t>SSP2</t>
  </si>
  <si>
    <t>SSP3</t>
  </si>
  <si>
    <t>SSP5</t>
  </si>
  <si>
    <t>Table S8M. Transpose of Table S8H</t>
  </si>
  <si>
    <t>Table S8N. Transpose of Table S8I</t>
  </si>
  <si>
    <t>Table S8O. Transpose of Table S8J</t>
  </si>
  <si>
    <t>Table S8P. Transpose of Table S8K</t>
  </si>
  <si>
    <t>SSP1-4.5</t>
  </si>
  <si>
    <t>SSP2-8.5</t>
  </si>
  <si>
    <t>mines</t>
  </si>
  <si>
    <t>RCP4.5</t>
  </si>
  <si>
    <t>RCP8.5</t>
  </si>
  <si>
    <t xml:space="preserve">CNRM </t>
  </si>
  <si>
    <t xml:space="preserve">HadGEM2 </t>
  </si>
  <si>
    <t xml:space="preserve">IPSL </t>
  </si>
  <si>
    <t xml:space="preserve">CGCM3 </t>
  </si>
  <si>
    <t xml:space="preserve">NorESM </t>
  </si>
  <si>
    <t>Table SXB. Area-weighted precipitation change (%) at mid-century across continguous US (baseline: 1971-2000, mid-century: 2040-2060)</t>
  </si>
  <si>
    <t>Hell's Kitchen</t>
  </si>
  <si>
    <t>CTR Brochure</t>
  </si>
  <si>
    <t>Project Update 2025</t>
  </si>
  <si>
    <t>Black Rock Geothermal</t>
  </si>
  <si>
    <t>Technical Memorandum 2021</t>
  </si>
  <si>
    <t>Draft Project Environmental Impact Review 2024</t>
  </si>
  <si>
    <t>For three plants in the area</t>
  </si>
  <si>
    <t>Stage 1 Power Generation: 50 MW</t>
  </si>
  <si>
    <t>California Energy Commission Website</t>
  </si>
  <si>
    <t>87 MW gross, 77 MW net</t>
  </si>
  <si>
    <t>Imperial</t>
  </si>
  <si>
    <t>Geothermal Brine</t>
  </si>
  <si>
    <t>Table S3F. Statistics for Water Consumption by Deposit Type and Extraction Process</t>
  </si>
  <si>
    <t>Table S3E. Life Cycle Inventory (LCI) water consumption data from literature for geothermal brines to lithium carbonate equivalent (LCE)</t>
  </si>
  <si>
    <t>Is lithium from geothermal brines the sustainable solution for Li-ion batteries?</t>
  </si>
  <si>
    <t>Freshwater consumption Mn &amp; Zn removal</t>
  </si>
  <si>
    <t>Freshwater consumption adsorption</t>
  </si>
  <si>
    <t>Freshwater consumption Ca &amp; Mg removal</t>
  </si>
  <si>
    <t>Freshwater consumption ion exchanger</t>
  </si>
  <si>
    <t>Freshwater consumption washing</t>
  </si>
  <si>
    <t>Freshwater consumption water purification</t>
  </si>
  <si>
    <t>Freshwater consumption dissolution</t>
  </si>
  <si>
    <t>Modeled</t>
  </si>
  <si>
    <t>L raw brine</t>
  </si>
  <si>
    <t>Concentrated lithium brine (4%)</t>
  </si>
  <si>
    <t>Concentrated lithium brine (17.4%)</t>
  </si>
  <si>
    <t>L concentrated brine (4%)</t>
  </si>
  <si>
    <t>LCI data is confusing and not correctly laid out</t>
  </si>
  <si>
    <t>This is our best interpretation based on data provided</t>
  </si>
  <si>
    <t>Assume brine density if 1.08 kg/L, (17.4% LiCl is roughly 0.4 mol/kg H2O)</t>
  </si>
  <si>
    <t>Huang et al.</t>
  </si>
  <si>
    <t>Life Cycle Assessment and Techno-Economic Assessment of Lithium Recovery from Geothermal Brine</t>
  </si>
  <si>
    <t>Busse et al.</t>
  </si>
  <si>
    <t>Impact of geothermal expansion and lithium extraction in the Salton Sea known geothermal resource area (SS-KGRA) on local water resources</t>
  </si>
  <si>
    <t>BHE Renewables, lithium production only</t>
  </si>
  <si>
    <t>Energy Source Minerals, lithium production only</t>
  </si>
  <si>
    <t>CTR, lithium production only</t>
  </si>
  <si>
    <t>Table S9A. CNRM Net Water Availability</t>
  </si>
  <si>
    <t>SS</t>
  </si>
  <si>
    <t>By HUC8 watershed, based on mine alphabetical order</t>
  </si>
  <si>
    <t>By HUC8 watershed, based on increasing availability</t>
  </si>
  <si>
    <t>*We excluded a mine in the Mojave watershed, but accidentally ran the analysis with it.</t>
  </si>
  <si>
    <t>Water demand and supply data are correct. The Mojave watershed is not included in results.</t>
  </si>
  <si>
    <t>Table S9B. HadGEM2 Net Water Availability</t>
  </si>
  <si>
    <t>Table S9C. IPSL Net Water Availability</t>
  </si>
  <si>
    <t>Table S9D. MRI-CGCM3 Net Water Availability</t>
  </si>
  <si>
    <t>Table S9E. NorESM Net Water Availability</t>
  </si>
  <si>
    <t>Table SXC. Temperature change (deg C) at mid-century for HUC8 watersheds in analysis (baseline: 1971-2000, mid-century: 2040-2060)</t>
  </si>
  <si>
    <t>Table SXD. Precipitation change (%) at mid-century for HUC8 watersheds in analysis (baseline: 1971-2000, mid-century: 2040-2060)</t>
  </si>
  <si>
    <t>HadGEM</t>
  </si>
  <si>
    <t>CGCM3</t>
  </si>
  <si>
    <t>Name</t>
  </si>
  <si>
    <t>Acronym</t>
  </si>
  <si>
    <t>HUC8</t>
  </si>
  <si>
    <t>States</t>
  </si>
  <si>
    <t>NV</t>
  </si>
  <si>
    <t>AZ</t>
  </si>
  <si>
    <t>NC</t>
  </si>
  <si>
    <t>CA, MX</t>
  </si>
  <si>
    <t>NV, OR</t>
  </si>
  <si>
    <t>UT</t>
  </si>
  <si>
    <t>AR, LA</t>
  </si>
  <si>
    <t>SSP2-8.5SCALED</t>
  </si>
  <si>
    <t>Scaling factor</t>
  </si>
  <si>
    <t>SSP3-8.5SCALED</t>
  </si>
  <si>
    <t>SSP5-8.5SCALED</t>
  </si>
  <si>
    <t>Table S10A. CNRM Demand Plot</t>
  </si>
  <si>
    <t>Table S10B. HadGEM2 Demand Plot</t>
  </si>
  <si>
    <t>Table S10C. IPSL Demand Plot</t>
  </si>
  <si>
    <t>Table S10D. CGCM3 Demand Plot</t>
  </si>
  <si>
    <t>Table S10E. NorESM Demand Plot</t>
  </si>
  <si>
    <t>RCP 8.5 Scaling factor</t>
  </si>
  <si>
    <t>RCP4.5 Scaling Factor</t>
  </si>
  <si>
    <t>RCP4.5SCALE</t>
  </si>
  <si>
    <t>Table S8A. Production and Water Consumption Percentiles by Proposed Mine</t>
  </si>
  <si>
    <t>Table S11A. Area-weighted temperature change (deg C) at mid-century across continguous US (baseline: 1971-2000, mid-century: 2040-2060)</t>
  </si>
  <si>
    <t>Table S12A. Linear Regression Results of Resource 2 from Buarque Andrade et al. (2024)</t>
  </si>
  <si>
    <t>Table S12B. Linear Regression Results of Annual Capacity from Buarque Andrade et al. (2024)</t>
  </si>
  <si>
    <r>
      <t>Table 129C. Adjusted R</t>
    </r>
    <r>
      <rPr>
        <b/>
        <vertAlign val="superscript"/>
        <sz val="11"/>
        <color theme="1"/>
        <rFont val="Calibri (Body)"/>
      </rPr>
      <t>2</t>
    </r>
    <r>
      <rPr>
        <b/>
        <sz val="11"/>
        <color theme="1"/>
        <rFont val="Calibri"/>
        <family val="2"/>
        <scheme val="minor"/>
      </rPr>
      <t xml:space="preserve"> and sample size for regressions in Tables S12A and S12B</t>
    </r>
  </si>
  <si>
    <t>Lithium (mass)</t>
  </si>
  <si>
    <t>Table S1A. Watershed Names, Acronyms, and HUC8 IDs</t>
  </si>
  <si>
    <t>Water footprint of battery-grade lithium production in the Salar de Atacama, Chile</t>
  </si>
  <si>
    <t>Marinova et al.</t>
  </si>
  <si>
    <t>Groundwater</t>
  </si>
  <si>
    <t>Desalinated water</t>
  </si>
  <si>
    <t>Not included in Figure 1 because modeled</t>
  </si>
  <si>
    <t>Geothermal brine, DLE only (excluded from Figure 1)</t>
  </si>
  <si>
    <t>Provided Water Use (Mm3/yr)</t>
  </si>
  <si>
    <t>This is the Supporting Information for "Future U.S. lithium production with water and socioeconomic-climate considerations"</t>
  </si>
  <si>
    <t>Prefeasibility</t>
  </si>
  <si>
    <t>Construction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</si>
</sst>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
    <numFmt numFmtId="167" formatCode="0.00000"/>
  </numFmts>
  <fonts count="15"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sz val="11"/>
      <color theme="1"/>
      <name val="Calibri"/>
      <family val="2"/>
      <scheme val="minor"/>
    </font>
    <font>
      <sz val="12"/>
      <color rgb="FF000000"/>
      <name val="Calibri"/>
      <family val="2"/>
      <scheme val="minor"/>
    </font>
    <font>
      <i/>
      <sz val="11"/>
      <color theme="1"/>
      <name val="Calibri"/>
      <family val="2"/>
      <scheme val="minor"/>
    </font>
    <font>
      <sz val="11"/>
      <name val="Calibri"/>
      <family val="2"/>
      <scheme val="minor"/>
    </font>
    <font>
      <sz val="8"/>
      <name val="Calibri"/>
      <family val="2"/>
      <scheme val="minor"/>
    </font>
    <font>
      <sz val="11"/>
      <color theme="1"/>
      <name val="Calibri"/>
      <family val="2"/>
    </font>
    <font>
      <b/>
      <vertAlign val="superscript"/>
      <sz val="11"/>
      <color theme="1"/>
      <name val="Calibri (Body)"/>
    </font>
    <font>
      <i/>
      <sz val="11"/>
      <color rgb="FFFF0000"/>
      <name val="Calibri"/>
      <family val="2"/>
      <scheme val="minor"/>
    </font>
    <font>
      <sz val="11"/>
      <color rgb="FF000000"/>
      <name val="Calibri"/>
      <family val="2"/>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8" tint="0.79998168889431442"/>
        <bgColor indexed="64"/>
      </patternFill>
    </fill>
  </fills>
  <borders count="4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rgb="FF000000"/>
      </left>
      <right/>
      <top style="medium">
        <color indexed="64"/>
      </top>
      <bottom style="medium">
        <color indexed="64"/>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rgb="FF000000"/>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3" fillId="0" borderId="0" applyNumberFormat="0" applyFill="0" applyBorder="0" applyAlignment="0" applyProtection="0"/>
    <xf numFmtId="0" fontId="6" fillId="0" borderId="0"/>
    <xf numFmtId="0" fontId="1" fillId="0" borderId="0"/>
    <xf numFmtId="9" fontId="6" fillId="0" borderId="0" applyFont="0" applyFill="0" applyBorder="0" applyAlignment="0" applyProtection="0"/>
  </cellStyleXfs>
  <cellXfs count="493">
    <xf numFmtId="0" fontId="0" fillId="0" borderId="0" xfId="0"/>
    <xf numFmtId="0" fontId="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0" fillId="0" borderId="14"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2" fontId="0" fillId="0" borderId="7" xfId="0" applyNumberFormat="1" applyBorder="1" applyAlignment="1">
      <alignment horizontal="center" vertical="center"/>
    </xf>
    <xf numFmtId="0" fontId="0" fillId="0" borderId="6"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2" fontId="0" fillId="0" borderId="0" xfId="0" applyNumberFormat="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2" fontId="0" fillId="0" borderId="31" xfId="0" applyNumberForma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8" xfId="0" applyBorder="1" applyAlignment="1">
      <alignment horizontal="center" vertical="center"/>
    </xf>
    <xf numFmtId="0" fontId="0" fillId="0" borderId="8" xfId="0" applyBorder="1" applyAlignment="1">
      <alignment horizontal="center" vertical="center"/>
    </xf>
    <xf numFmtId="0" fontId="2" fillId="0" borderId="0" xfId="0" applyFont="1" applyAlignment="1">
      <alignment vertical="center"/>
    </xf>
    <xf numFmtId="0" fontId="0" fillId="0" borderId="0" xfId="0" applyAlignment="1">
      <alignment horizontal="center" vertical="center" wrapText="1"/>
    </xf>
    <xf numFmtId="0" fontId="2" fillId="0" borderId="0" xfId="0" applyFont="1"/>
    <xf numFmtId="0" fontId="0" fillId="0" borderId="17" xfId="0" applyBorder="1" applyAlignment="1">
      <alignment horizontal="center" vertical="center"/>
    </xf>
    <xf numFmtId="0" fontId="0" fillId="0" borderId="16" xfId="0" applyBorder="1" applyAlignment="1">
      <alignment horizontal="center" vertical="center"/>
    </xf>
    <xf numFmtId="0" fontId="0" fillId="0" borderId="39" xfId="0" applyBorder="1" applyAlignment="1">
      <alignment horizontal="center" vertical="center"/>
    </xf>
    <xf numFmtId="0" fontId="4" fillId="0" borderId="0" xfId="0" applyFont="1"/>
    <xf numFmtId="0" fontId="5" fillId="0" borderId="0" xfId="0" applyFont="1"/>
    <xf numFmtId="0" fontId="3" fillId="0" borderId="0" xfId="1"/>
    <xf numFmtId="1" fontId="0" fillId="0" borderId="0" xfId="0" applyNumberFormat="1"/>
    <xf numFmtId="165" fontId="0" fillId="0" borderId="0" xfId="0" applyNumberFormat="1"/>
    <xf numFmtId="0" fontId="0" fillId="0" borderId="35" xfId="0" applyBorder="1" applyAlignment="1">
      <alignment horizontal="center" vertical="center"/>
    </xf>
    <xf numFmtId="0" fontId="0" fillId="0" borderId="36" xfId="0" applyBorder="1" applyAlignment="1">
      <alignment horizontal="center" vertical="center"/>
    </xf>
    <xf numFmtId="0" fontId="2" fillId="0" borderId="0" xfId="0" applyFont="1" applyAlignment="1">
      <alignment horizontal="center"/>
    </xf>
    <xf numFmtId="0" fontId="3" fillId="0" borderId="0" xfId="1" applyBorder="1" applyAlignment="1">
      <alignment horizontal="center" vertical="center"/>
    </xf>
    <xf numFmtId="0" fontId="3" fillId="0" borderId="17" xfId="1" applyBorder="1" applyAlignment="1">
      <alignment horizontal="center" vertical="center"/>
    </xf>
    <xf numFmtId="0" fontId="0" fillId="0" borderId="16" xfId="0" applyBorder="1" applyAlignment="1">
      <alignment horizontal="center" vertical="center" wrapText="1"/>
    </xf>
    <xf numFmtId="1" fontId="0" fillId="0" borderId="0" xfId="0" applyNumberFormat="1" applyAlignment="1">
      <alignment horizontal="center" vertical="center"/>
    </xf>
    <xf numFmtId="1" fontId="0" fillId="0" borderId="31" xfId="0" applyNumberFormat="1" applyBorder="1" applyAlignment="1">
      <alignment horizontal="center" vertical="center"/>
    </xf>
    <xf numFmtId="0" fontId="4" fillId="0" borderId="0" xfId="0" applyFont="1" applyAlignment="1">
      <alignment vertical="center"/>
    </xf>
    <xf numFmtId="10" fontId="0" fillId="0" borderId="0" xfId="0" applyNumberFormat="1"/>
    <xf numFmtId="2" fontId="0" fillId="0" borderId="0" xfId="0" applyNumberFormat="1"/>
    <xf numFmtId="0" fontId="3" fillId="0" borderId="0" xfId="1"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25" xfId="0" applyBorder="1" applyAlignment="1">
      <alignment horizontal="center" vertical="center" wrapText="1"/>
    </xf>
    <xf numFmtId="0" fontId="3" fillId="0" borderId="16" xfId="1" applyBorder="1" applyAlignment="1">
      <alignment horizontal="center" vertical="center" wrapText="1"/>
    </xf>
    <xf numFmtId="0" fontId="0" fillId="2" borderId="4" xfId="0" applyFill="1" applyBorder="1" applyAlignment="1">
      <alignment horizontal="center" vertical="center"/>
    </xf>
    <xf numFmtId="0" fontId="0" fillId="2" borderId="13" xfId="0" applyFill="1" applyBorder="1" applyAlignment="1">
      <alignment horizontal="center" vertical="center"/>
    </xf>
    <xf numFmtId="0" fontId="0" fillId="2" borderId="0" xfId="0" applyFill="1" applyAlignment="1">
      <alignment horizontal="center" vertical="center"/>
    </xf>
    <xf numFmtId="0" fontId="0" fillId="2" borderId="5" xfId="0" applyFill="1" applyBorder="1" applyAlignment="1">
      <alignment horizontal="center" vertical="center"/>
    </xf>
    <xf numFmtId="0" fontId="0" fillId="2" borderId="14"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6" xfId="0" applyFill="1" applyBorder="1" applyAlignment="1">
      <alignment horizontal="center" vertical="center"/>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16" xfId="0" applyFill="1" applyBorder="1" applyAlignment="1">
      <alignment horizontal="center" vertical="center"/>
    </xf>
    <xf numFmtId="0" fontId="0" fillId="2" borderId="39" xfId="0" applyFill="1" applyBorder="1" applyAlignment="1">
      <alignment horizontal="center" vertical="center"/>
    </xf>
    <xf numFmtId="0" fontId="0" fillId="2" borderId="33" xfId="0" applyFill="1" applyBorder="1" applyAlignment="1">
      <alignment horizontal="center" vertical="center"/>
    </xf>
    <xf numFmtId="0" fontId="0" fillId="2" borderId="32"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31" xfId="0" applyFill="1" applyBorder="1" applyAlignment="1">
      <alignment horizontal="center" vertical="center"/>
    </xf>
    <xf numFmtId="0" fontId="0" fillId="2" borderId="34" xfId="0" applyFill="1" applyBorder="1" applyAlignment="1">
      <alignment horizontal="center" vertical="center"/>
    </xf>
    <xf numFmtId="0" fontId="0" fillId="2" borderId="38" xfId="0" applyFill="1" applyBorder="1" applyAlignment="1">
      <alignment horizontal="center" vertical="center"/>
    </xf>
    <xf numFmtId="0" fontId="0" fillId="2" borderId="27" xfId="0" applyFill="1" applyBorder="1" applyAlignment="1">
      <alignment horizontal="center" vertical="center"/>
    </xf>
    <xf numFmtId="0" fontId="0" fillId="2" borderId="19"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0" xfId="0" applyFill="1" applyAlignment="1">
      <alignment horizontal="center" vertical="center"/>
    </xf>
    <xf numFmtId="0" fontId="0" fillId="3" borderId="5"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0" xfId="0" applyFill="1" applyAlignment="1">
      <alignment horizontal="center" vertical="center" wrapText="1"/>
    </xf>
    <xf numFmtId="0" fontId="0" fillId="3" borderId="5" xfId="0" applyFill="1" applyBorder="1" applyAlignment="1">
      <alignment horizontal="center" vertical="center" wrapText="1"/>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19" xfId="0" applyFill="1" applyBorder="1" applyAlignment="1">
      <alignment horizontal="center" vertical="center"/>
    </xf>
    <xf numFmtId="0" fontId="0" fillId="3" borderId="39" xfId="0" applyFill="1" applyBorder="1" applyAlignment="1">
      <alignment horizontal="center" vertical="center"/>
    </xf>
    <xf numFmtId="0" fontId="0" fillId="3" borderId="24" xfId="0" applyFill="1" applyBorder="1" applyAlignment="1">
      <alignment horizontal="center" vertical="center"/>
    </xf>
    <xf numFmtId="0" fontId="0" fillId="3" borderId="25" xfId="0" applyFill="1" applyBorder="1" applyAlignment="1">
      <alignment horizontal="center" vertical="center"/>
    </xf>
    <xf numFmtId="0" fontId="0" fillId="3" borderId="31" xfId="0" applyFill="1" applyBorder="1" applyAlignment="1">
      <alignment horizontal="center" vertical="center"/>
    </xf>
    <xf numFmtId="0" fontId="0" fillId="3" borderId="38"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12" xfId="0" applyFill="1" applyBorder="1" applyAlignment="1">
      <alignment horizontal="center" vertical="center"/>
    </xf>
    <xf numFmtId="0" fontId="0" fillId="4" borderId="4" xfId="0" applyFill="1" applyBorder="1" applyAlignment="1">
      <alignment horizontal="center" vertical="center"/>
    </xf>
    <xf numFmtId="2" fontId="0" fillId="4" borderId="0" xfId="0" applyNumberFormat="1" applyFill="1" applyAlignment="1">
      <alignment horizontal="center" vertical="center"/>
    </xf>
    <xf numFmtId="0" fontId="0" fillId="4" borderId="0" xfId="0" applyFill="1" applyAlignment="1">
      <alignment horizontal="center" vertical="center"/>
    </xf>
    <xf numFmtId="0" fontId="0" fillId="4" borderId="13" xfId="0" applyFill="1" applyBorder="1" applyAlignment="1">
      <alignment horizontal="center" vertical="center"/>
    </xf>
    <xf numFmtId="0" fontId="0" fillId="4" borderId="6" xfId="0" applyFill="1" applyBorder="1" applyAlignment="1">
      <alignment horizontal="center" vertical="center"/>
    </xf>
    <xf numFmtId="2" fontId="0" fillId="4" borderId="7" xfId="0" applyNumberFormat="1" applyFill="1" applyBorder="1" applyAlignment="1">
      <alignment horizontal="center" vertical="center"/>
    </xf>
    <xf numFmtId="0" fontId="0" fillId="4" borderId="7" xfId="0" applyFill="1" applyBorder="1" applyAlignment="1">
      <alignment horizontal="center" vertical="center"/>
    </xf>
    <xf numFmtId="0" fontId="0" fillId="4" borderId="14" xfId="0" applyFill="1" applyBorder="1" applyAlignment="1">
      <alignment horizontal="center" vertical="center"/>
    </xf>
    <xf numFmtId="0" fontId="0" fillId="4" borderId="13" xfId="0" applyFill="1" applyBorder="1" applyAlignment="1">
      <alignment horizontal="center" vertical="center" wrapText="1"/>
    </xf>
    <xf numFmtId="0" fontId="0" fillId="4" borderId="9" xfId="0" applyFill="1" applyBorder="1" applyAlignment="1">
      <alignment horizontal="center" vertical="center"/>
    </xf>
    <xf numFmtId="0" fontId="0" fillId="4" borderId="10" xfId="0" applyFill="1" applyBorder="1" applyAlignment="1">
      <alignment horizontal="center" vertical="center"/>
    </xf>
    <xf numFmtId="0" fontId="0" fillId="4" borderId="15" xfId="0" applyFill="1" applyBorder="1" applyAlignment="1">
      <alignment horizontal="center" vertical="center"/>
    </xf>
    <xf numFmtId="0" fontId="0" fillId="4" borderId="32" xfId="0" applyFill="1" applyBorder="1" applyAlignment="1">
      <alignment horizontal="center" vertical="center"/>
    </xf>
    <xf numFmtId="0" fontId="0" fillId="4" borderId="25" xfId="0" applyFill="1" applyBorder="1" applyAlignment="1">
      <alignment horizontal="center" vertical="center"/>
    </xf>
    <xf numFmtId="0" fontId="0" fillId="4" borderId="16" xfId="0" applyFill="1" applyBorder="1" applyAlignment="1">
      <alignment horizontal="center" vertical="center"/>
    </xf>
    <xf numFmtId="0" fontId="0" fillId="4" borderId="33" xfId="0" applyFill="1" applyBorder="1" applyAlignment="1">
      <alignment horizontal="center" vertical="center"/>
    </xf>
    <xf numFmtId="0" fontId="0" fillId="4" borderId="27" xfId="0" applyFill="1" applyBorder="1" applyAlignment="1">
      <alignment horizontal="center" vertical="center"/>
    </xf>
    <xf numFmtId="0" fontId="0" fillId="4" borderId="19" xfId="0" applyFill="1" applyBorder="1" applyAlignment="1">
      <alignment horizontal="center" vertical="center"/>
    </xf>
    <xf numFmtId="0" fontId="0" fillId="2" borderId="16" xfId="0" applyFill="1" applyBorder="1" applyAlignment="1">
      <alignment horizontal="center" vertical="center" wrapText="1"/>
    </xf>
    <xf numFmtId="0" fontId="0" fillId="2" borderId="17" xfId="0" applyFill="1" applyBorder="1" applyAlignment="1">
      <alignment horizontal="center" vertical="center"/>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38" xfId="0" applyFill="1" applyBorder="1" applyAlignment="1">
      <alignment horizontal="center" vertical="center" wrapText="1"/>
    </xf>
    <xf numFmtId="2" fontId="0" fillId="2" borderId="24" xfId="0" applyNumberFormat="1" applyFill="1" applyBorder="1" applyAlignment="1">
      <alignment horizontal="center" vertical="center" wrapText="1"/>
    </xf>
    <xf numFmtId="2" fontId="0" fillId="2" borderId="0" xfId="0" applyNumberFormat="1" applyFill="1" applyAlignment="1">
      <alignment horizontal="center" vertical="center" wrapText="1"/>
    </xf>
    <xf numFmtId="165" fontId="0" fillId="2" borderId="24" xfId="0" applyNumberFormat="1" applyFill="1" applyBorder="1" applyAlignment="1">
      <alignment horizontal="center" vertical="center" wrapText="1"/>
    </xf>
    <xf numFmtId="165" fontId="0" fillId="2" borderId="0" xfId="0" applyNumberFormat="1" applyFill="1" applyAlignment="1">
      <alignment horizontal="center" vertical="center" wrapText="1"/>
    </xf>
    <xf numFmtId="165" fontId="0" fillId="2" borderId="31" xfId="0" applyNumberFormat="1" applyFill="1" applyBorder="1" applyAlignment="1">
      <alignment horizontal="center" vertical="center" wrapText="1"/>
    </xf>
    <xf numFmtId="164" fontId="0" fillId="2" borderId="31" xfId="0" applyNumberFormat="1" applyFill="1" applyBorder="1" applyAlignment="1">
      <alignment horizontal="center" vertical="center" wrapText="1"/>
    </xf>
    <xf numFmtId="0" fontId="4" fillId="0" borderId="33" xfId="0" applyFont="1" applyBorder="1"/>
    <xf numFmtId="0" fontId="4" fillId="0" borderId="34" xfId="0" applyFont="1" applyBorder="1"/>
    <xf numFmtId="1" fontId="3" fillId="0" borderId="0" xfId="1" applyNumberFormat="1" applyBorder="1"/>
    <xf numFmtId="0" fontId="0" fillId="0" borderId="27" xfId="0" applyBorder="1"/>
    <xf numFmtId="0" fontId="3" fillId="0" borderId="0" xfId="1" applyBorder="1"/>
    <xf numFmtId="0" fontId="3" fillId="0" borderId="31" xfId="1" applyBorder="1"/>
    <xf numFmtId="0" fontId="0" fillId="0" borderId="38" xfId="0" applyBorder="1"/>
    <xf numFmtId="2" fontId="0" fillId="0" borderId="36" xfId="4" applyNumberFormat="1" applyFont="1" applyBorder="1"/>
    <xf numFmtId="2" fontId="0" fillId="0" borderId="0" xfId="4" applyNumberFormat="1" applyFont="1" applyBorder="1"/>
    <xf numFmtId="2" fontId="0" fillId="0" borderId="37" xfId="4" applyNumberFormat="1" applyFont="1" applyBorder="1"/>
    <xf numFmtId="2" fontId="0" fillId="0" borderId="31" xfId="4" applyNumberFormat="1" applyFont="1" applyBorder="1"/>
    <xf numFmtId="2" fontId="0" fillId="0" borderId="27" xfId="4" applyNumberFormat="1" applyFont="1" applyBorder="1"/>
    <xf numFmtId="2" fontId="0" fillId="0" borderId="38" xfId="4" applyNumberFormat="1" applyFont="1" applyBorder="1"/>
    <xf numFmtId="0" fontId="0" fillId="2" borderId="36" xfId="0" applyFill="1" applyBorder="1" applyAlignment="1">
      <alignment horizontal="center" vertical="center"/>
    </xf>
    <xf numFmtId="0" fontId="0" fillId="2" borderId="37"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33" xfId="0" applyFill="1" applyBorder="1" applyAlignment="1">
      <alignment horizontal="center" vertical="center" wrapText="1"/>
    </xf>
    <xf numFmtId="1" fontId="0" fillId="2" borderId="31" xfId="0" applyNumberFormat="1" applyFill="1" applyBorder="1" applyAlignment="1">
      <alignment horizontal="center" vertical="center"/>
    </xf>
    <xf numFmtId="0" fontId="0" fillId="2" borderId="35" xfId="0" applyFill="1" applyBorder="1" applyAlignment="1">
      <alignment horizontal="center" vertical="center"/>
    </xf>
    <xf numFmtId="1" fontId="0" fillId="2" borderId="24" xfId="0" applyNumberFormat="1" applyFill="1" applyBorder="1" applyAlignment="1">
      <alignment horizontal="center" vertical="center"/>
    </xf>
    <xf numFmtId="1" fontId="0" fillId="2" borderId="0" xfId="0" applyNumberFormat="1" applyFill="1" applyAlignment="1">
      <alignment horizontal="center" vertical="center"/>
    </xf>
    <xf numFmtId="0" fontId="0" fillId="0" borderId="24" xfId="0" applyBorder="1" applyAlignment="1">
      <alignment horizontal="center" vertical="center" wrapText="1"/>
    </xf>
    <xf numFmtId="0" fontId="0" fillId="0" borderId="37" xfId="0" applyBorder="1" applyAlignment="1">
      <alignment horizontal="center" vertical="center"/>
    </xf>
    <xf numFmtId="0" fontId="2" fillId="0" borderId="0" xfId="0" applyFont="1" applyAlignment="1">
      <alignment horizontal="center" vertical="center"/>
    </xf>
    <xf numFmtId="1" fontId="0" fillId="0" borderId="24" xfId="0" applyNumberFormat="1" applyBorder="1" applyAlignment="1">
      <alignment horizontal="center" vertical="center" wrapText="1"/>
    </xf>
    <xf numFmtId="0" fontId="0" fillId="2" borderId="19" xfId="0" applyFill="1" applyBorder="1" applyAlignment="1">
      <alignment horizontal="center" vertical="center" wrapText="1"/>
    </xf>
    <xf numFmtId="1" fontId="0" fillId="2" borderId="19" xfId="0" applyNumberFormat="1" applyFill="1" applyBorder="1" applyAlignment="1">
      <alignment horizontal="center" vertical="center" wrapText="1"/>
    </xf>
    <xf numFmtId="0" fontId="0" fillId="2" borderId="39" xfId="0" applyFill="1" applyBorder="1" applyAlignment="1">
      <alignment horizontal="center" vertical="center" wrapText="1"/>
    </xf>
    <xf numFmtId="1" fontId="0" fillId="2" borderId="0" xfId="0" applyNumberFormat="1" applyFill="1" applyAlignment="1">
      <alignment horizontal="center" vertical="center" wrapText="1"/>
    </xf>
    <xf numFmtId="0" fontId="2" fillId="5" borderId="16" xfId="0" applyFont="1" applyFill="1" applyBorder="1" applyAlignment="1">
      <alignment horizontal="center" vertical="center"/>
    </xf>
    <xf numFmtId="0" fontId="2" fillId="5" borderId="19" xfId="0" applyFont="1" applyFill="1" applyBorder="1" applyAlignment="1">
      <alignment horizontal="center" vertical="center"/>
    </xf>
    <xf numFmtId="0" fontId="2" fillId="5" borderId="39" xfId="0" applyFont="1" applyFill="1" applyBorder="1" applyAlignment="1">
      <alignment horizontal="center" vertical="center"/>
    </xf>
    <xf numFmtId="0" fontId="2" fillId="5" borderId="35" xfId="0" applyFont="1" applyFill="1" applyBorder="1" applyAlignment="1">
      <alignment horizontal="center" vertical="center"/>
    </xf>
    <xf numFmtId="0" fontId="2" fillId="5" borderId="32" xfId="0" applyFont="1" applyFill="1" applyBorder="1" applyAlignment="1">
      <alignment horizontal="center" vertical="center"/>
    </xf>
    <xf numFmtId="0" fontId="2" fillId="5" borderId="25" xfId="0" applyFont="1" applyFill="1" applyBorder="1" applyAlignment="1">
      <alignment horizontal="center" vertical="center"/>
    </xf>
    <xf numFmtId="0" fontId="2" fillId="5" borderId="24" xfId="0" applyFont="1" applyFill="1" applyBorder="1" applyAlignment="1">
      <alignment horizontal="center" vertical="center"/>
    </xf>
    <xf numFmtId="0" fontId="2" fillId="5" borderId="22"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5" borderId="9" xfId="0" applyFont="1" applyFill="1" applyBorder="1" applyAlignment="1">
      <alignment horizontal="center" vertical="center"/>
    </xf>
    <xf numFmtId="0" fontId="2" fillId="5" borderId="15" xfId="0" applyFont="1" applyFill="1" applyBorder="1" applyAlignment="1">
      <alignment horizontal="center" vertical="center"/>
    </xf>
    <xf numFmtId="0" fontId="2" fillId="5" borderId="10" xfId="0" applyFont="1" applyFill="1" applyBorder="1" applyAlignment="1">
      <alignment horizontal="center" vertical="center"/>
    </xf>
    <xf numFmtId="0" fontId="8" fillId="0" borderId="0" xfId="0" applyFont="1" applyAlignment="1">
      <alignment horizontal="center" vertical="center"/>
    </xf>
    <xf numFmtId="10" fontId="8" fillId="0" borderId="0" xfId="0" applyNumberFormat="1" applyFont="1" applyAlignment="1">
      <alignment horizontal="center" vertical="center"/>
    </xf>
    <xf numFmtId="0" fontId="0" fillId="0" borderId="0" xfId="0" applyAlignment="1">
      <alignment horizontal="center"/>
    </xf>
    <xf numFmtId="0" fontId="8" fillId="0" borderId="31" xfId="0" applyFont="1" applyBorder="1" applyAlignment="1">
      <alignment horizontal="center" vertical="center"/>
    </xf>
    <xf numFmtId="10" fontId="8" fillId="0" borderId="31" xfId="0" applyNumberFormat="1" applyFont="1" applyBorder="1" applyAlignment="1">
      <alignment horizontal="center" vertical="center"/>
    </xf>
    <xf numFmtId="0" fontId="2" fillId="5" borderId="19" xfId="0" applyFont="1" applyFill="1" applyBorder="1" applyAlignment="1">
      <alignment horizontal="center"/>
    </xf>
    <xf numFmtId="0" fontId="8" fillId="2" borderId="0" xfId="0" applyFont="1" applyFill="1" applyAlignment="1">
      <alignment horizontal="center" vertical="center"/>
    </xf>
    <xf numFmtId="10" fontId="8" fillId="2" borderId="0" xfId="0" applyNumberFormat="1" applyFont="1" applyFill="1" applyAlignment="1">
      <alignment horizontal="center" vertical="center"/>
    </xf>
    <xf numFmtId="0" fontId="8" fillId="2" borderId="31" xfId="0" applyFont="1" applyFill="1" applyBorder="1" applyAlignment="1">
      <alignment horizontal="center" vertical="center"/>
    </xf>
    <xf numFmtId="10" fontId="8" fillId="2" borderId="31" xfId="0" applyNumberFormat="1" applyFont="1" applyFill="1" applyBorder="1" applyAlignment="1">
      <alignment horizontal="center" vertical="center"/>
    </xf>
    <xf numFmtId="0" fontId="2" fillId="5" borderId="16" xfId="0" applyFont="1" applyFill="1" applyBorder="1" applyAlignment="1">
      <alignment horizontal="center"/>
    </xf>
    <xf numFmtId="0" fontId="2" fillId="5" borderId="16" xfId="0" applyFont="1" applyFill="1" applyBorder="1"/>
    <xf numFmtId="0" fontId="2" fillId="5" borderId="17" xfId="0" applyFont="1" applyFill="1" applyBorder="1"/>
    <xf numFmtId="0" fontId="2" fillId="5" borderId="19" xfId="0" applyFont="1" applyFill="1" applyBorder="1"/>
    <xf numFmtId="0" fontId="2" fillId="5" borderId="39" xfId="0" applyFont="1" applyFill="1" applyBorder="1"/>
    <xf numFmtId="0" fontId="2" fillId="5" borderId="20" xfId="0" applyFont="1" applyFill="1" applyBorder="1" applyAlignment="1">
      <alignment horizontal="center" vertical="center"/>
    </xf>
    <xf numFmtId="0" fontId="2" fillId="5" borderId="12" xfId="0" applyFont="1" applyFill="1" applyBorder="1" applyAlignment="1">
      <alignment horizontal="center" vertical="center"/>
    </xf>
    <xf numFmtId="0" fontId="2" fillId="5" borderId="11" xfId="0" applyFont="1" applyFill="1" applyBorder="1" applyAlignment="1">
      <alignment horizontal="center" vertical="center"/>
    </xf>
    <xf numFmtId="2" fontId="0" fillId="0" borderId="36" xfId="0" applyNumberFormat="1" applyBorder="1"/>
    <xf numFmtId="2" fontId="0" fillId="0" borderId="27" xfId="0" applyNumberFormat="1" applyBorder="1"/>
    <xf numFmtId="2" fontId="0" fillId="0" borderId="37" xfId="0" applyNumberFormat="1" applyBorder="1"/>
    <xf numFmtId="2" fontId="0" fillId="0" borderId="31" xfId="0" applyNumberFormat="1" applyBorder="1"/>
    <xf numFmtId="2" fontId="0" fillId="0" borderId="38" xfId="0" applyNumberFormat="1" applyBorder="1"/>
    <xf numFmtId="0" fontId="0" fillId="0" borderId="33" xfId="0" applyBorder="1"/>
    <xf numFmtId="0" fontId="0" fillId="0" borderId="34" xfId="0" applyBorder="1"/>
    <xf numFmtId="0" fontId="2" fillId="5" borderId="17" xfId="0" applyFont="1" applyFill="1" applyBorder="1" applyAlignment="1">
      <alignment horizontal="center"/>
    </xf>
    <xf numFmtId="0" fontId="0" fillId="0" borderId="36" xfId="0" applyBorder="1" applyAlignment="1">
      <alignment horizontal="left" vertical="center"/>
    </xf>
    <xf numFmtId="0" fontId="0" fillId="0" borderId="37" xfId="0" applyBorder="1" applyAlignment="1">
      <alignment horizontal="left" vertical="center"/>
    </xf>
    <xf numFmtId="0" fontId="0" fillId="0" borderId="31" xfId="0" applyBorder="1"/>
    <xf numFmtId="0" fontId="0" fillId="0" borderId="36" xfId="0" applyBorder="1"/>
    <xf numFmtId="0" fontId="0" fillId="0" borderId="37" xfId="0" applyBorder="1"/>
    <xf numFmtId="0" fontId="0" fillId="0" borderId="33" xfId="0" applyBorder="1" applyAlignment="1">
      <alignment horizontal="left" vertical="center"/>
    </xf>
    <xf numFmtId="0" fontId="0" fillId="0" borderId="34" xfId="0" applyBorder="1" applyAlignment="1">
      <alignment horizontal="left" vertical="center"/>
    </xf>
    <xf numFmtId="0" fontId="2" fillId="5" borderId="17" xfId="0" applyFont="1" applyFill="1" applyBorder="1" applyAlignment="1">
      <alignment horizontal="left" vertical="center"/>
    </xf>
    <xf numFmtId="0" fontId="2" fillId="5" borderId="16" xfId="0" applyFont="1" applyFill="1" applyBorder="1" applyAlignment="1">
      <alignment horizontal="left" vertical="center"/>
    </xf>
    <xf numFmtId="0" fontId="5" fillId="5" borderId="17" xfId="0" applyFont="1" applyFill="1" applyBorder="1"/>
    <xf numFmtId="0" fontId="0" fillId="0" borderId="36" xfId="0" quotePrefix="1" applyBorder="1"/>
    <xf numFmtId="1" fontId="11" fillId="0" borderId="0" xfId="0" applyNumberFormat="1" applyFont="1"/>
    <xf numFmtId="1" fontId="11" fillId="0" borderId="27" xfId="0" applyNumberFormat="1" applyFont="1" applyBorder="1"/>
    <xf numFmtId="0" fontId="0" fillId="0" borderId="37" xfId="0" quotePrefix="1" applyBorder="1"/>
    <xf numFmtId="1" fontId="11" fillId="0" borderId="31" xfId="0" applyNumberFormat="1" applyFont="1" applyBorder="1"/>
    <xf numFmtId="1" fontId="11" fillId="0" borderId="38" xfId="0" applyNumberFormat="1" applyFont="1" applyBorder="1"/>
    <xf numFmtId="0" fontId="4" fillId="0" borderId="36" xfId="0" applyFont="1" applyBorder="1"/>
    <xf numFmtId="1" fontId="0" fillId="0" borderId="27" xfId="0" applyNumberFormat="1" applyBorder="1"/>
    <xf numFmtId="0" fontId="4" fillId="0" borderId="37" xfId="0" applyFont="1" applyBorder="1"/>
    <xf numFmtId="1" fontId="0" fillId="0" borderId="31" xfId="0" applyNumberFormat="1" applyBorder="1"/>
    <xf numFmtId="1" fontId="0" fillId="0" borderId="38" xfId="0" applyNumberFormat="1" applyBorder="1"/>
    <xf numFmtId="0" fontId="5" fillId="5" borderId="16" xfId="0" applyFont="1" applyFill="1" applyBorder="1"/>
    <xf numFmtId="0" fontId="4" fillId="0" borderId="31" xfId="0" applyFont="1" applyBorder="1"/>
    <xf numFmtId="0" fontId="4" fillId="0" borderId="27" xfId="0" applyFont="1" applyBorder="1"/>
    <xf numFmtId="0" fontId="4" fillId="0" borderId="38" xfId="0" applyFont="1" applyBorder="1"/>
    <xf numFmtId="0" fontId="2" fillId="5" borderId="35" xfId="0" applyFont="1" applyFill="1" applyBorder="1"/>
    <xf numFmtId="0" fontId="2" fillId="5" borderId="24" xfId="0" applyFont="1" applyFill="1" applyBorder="1"/>
    <xf numFmtId="0" fontId="2" fillId="5" borderId="25" xfId="0" applyFont="1" applyFill="1" applyBorder="1"/>
    <xf numFmtId="1" fontId="0" fillId="0" borderId="36" xfId="0" applyNumberFormat="1" applyBorder="1"/>
    <xf numFmtId="1" fontId="0" fillId="0" borderId="37" xfId="0" applyNumberFormat="1" applyBorder="1"/>
    <xf numFmtId="0" fontId="7" fillId="0" borderId="27" xfId="0" applyFont="1" applyBorder="1"/>
    <xf numFmtId="165" fontId="0" fillId="0" borderId="27" xfId="0" applyNumberFormat="1" applyBorder="1"/>
    <xf numFmtId="165" fontId="0" fillId="0" borderId="38" xfId="0" applyNumberFormat="1" applyBorder="1"/>
    <xf numFmtId="164" fontId="0" fillId="0" borderId="0" xfId="0" applyNumberFormat="1"/>
    <xf numFmtId="1" fontId="9" fillId="0" borderId="0" xfId="1" applyNumberFormat="1" applyFont="1" applyBorder="1"/>
    <xf numFmtId="164" fontId="0" fillId="0" borderId="31" xfId="0" applyNumberFormat="1" applyBorder="1"/>
    <xf numFmtId="1" fontId="9" fillId="0" borderId="31" xfId="1" applyNumberFormat="1" applyFont="1" applyBorder="1"/>
    <xf numFmtId="11" fontId="0" fillId="0" borderId="27" xfId="0" applyNumberFormat="1" applyBorder="1"/>
    <xf numFmtId="11" fontId="0" fillId="0" borderId="38" xfId="0" applyNumberFormat="1" applyBorder="1"/>
    <xf numFmtId="2" fontId="0" fillId="0" borderId="27" xfId="0" applyNumberFormat="1" applyBorder="1" applyAlignment="1">
      <alignment horizontal="center" vertical="center"/>
    </xf>
    <xf numFmtId="1" fontId="0" fillId="0" borderId="38" xfId="0" applyNumberFormat="1" applyBorder="1" applyAlignment="1">
      <alignment horizontal="center" vertical="center"/>
    </xf>
    <xf numFmtId="165" fontId="0" fillId="0" borderId="31" xfId="0" applyNumberFormat="1" applyBorder="1"/>
    <xf numFmtId="2" fontId="0" fillId="0" borderId="33" xfId="0" applyNumberFormat="1" applyBorder="1"/>
    <xf numFmtId="2" fontId="0" fillId="0" borderId="34" xfId="0" applyNumberFormat="1" applyBorder="1"/>
    <xf numFmtId="0" fontId="0" fillId="0" borderId="32" xfId="0" applyBorder="1" applyAlignment="1">
      <alignment vertical="center"/>
    </xf>
    <xf numFmtId="0" fontId="0" fillId="0" borderId="24" xfId="0" applyBorder="1"/>
    <xf numFmtId="165" fontId="0" fillId="0" borderId="24" xfId="0" applyNumberFormat="1" applyBorder="1"/>
    <xf numFmtId="165" fontId="0" fillId="0" borderId="25" xfId="0" applyNumberFormat="1" applyBorder="1"/>
    <xf numFmtId="0" fontId="0" fillId="0" borderId="33" xfId="0" applyBorder="1" applyAlignment="1">
      <alignment vertical="center"/>
    </xf>
    <xf numFmtId="0" fontId="0" fillId="0" borderId="34" xfId="0" applyBorder="1" applyAlignment="1">
      <alignment vertical="center"/>
    </xf>
    <xf numFmtId="2" fontId="0" fillId="0" borderId="35" xfId="0" applyNumberFormat="1" applyBorder="1"/>
    <xf numFmtId="166" fontId="0" fillId="0" borderId="0" xfId="0" applyNumberFormat="1"/>
    <xf numFmtId="0" fontId="0" fillId="2" borderId="1" xfId="0" applyFill="1" applyBorder="1" applyAlignment="1">
      <alignment horizontal="center" vertical="center"/>
    </xf>
    <xf numFmtId="0" fontId="0" fillId="0" borderId="34" xfId="0" applyBorder="1" applyAlignment="1">
      <alignment horizontal="center" vertical="center" wrapText="1"/>
    </xf>
    <xf numFmtId="0" fontId="0" fillId="0" borderId="27" xfId="0" applyBorder="1" applyAlignment="1">
      <alignment horizontal="center" vertical="center" wrapText="1"/>
    </xf>
    <xf numFmtId="0" fontId="0" fillId="0" borderId="38" xfId="0" applyBorder="1" applyAlignment="1">
      <alignment horizontal="center" vertical="center" wrapText="1"/>
    </xf>
    <xf numFmtId="1" fontId="0" fillId="0" borderId="24" xfId="0" applyNumberFormat="1" applyBorder="1" applyAlignment="1">
      <alignment horizontal="center" vertical="center"/>
    </xf>
    <xf numFmtId="0" fontId="0" fillId="0" borderId="31" xfId="0" applyBorder="1" applyAlignment="1">
      <alignment horizontal="center" vertical="center" wrapText="1"/>
    </xf>
    <xf numFmtId="2" fontId="0" fillId="2" borderId="24" xfId="0" applyNumberFormat="1" applyFill="1" applyBorder="1" applyAlignment="1">
      <alignment horizontal="center" vertical="center"/>
    </xf>
    <xf numFmtId="0" fontId="0" fillId="0" borderId="19" xfId="0" applyBorder="1" applyAlignment="1">
      <alignment horizontal="center" vertical="center" wrapText="1"/>
    </xf>
    <xf numFmtId="1" fontId="0" fillId="0" borderId="19" xfId="0" applyNumberFormat="1" applyBorder="1" applyAlignment="1">
      <alignment horizontal="center" vertical="center" wrapText="1"/>
    </xf>
    <xf numFmtId="0" fontId="0" fillId="0" borderId="39" xfId="0" applyBorder="1" applyAlignment="1">
      <alignment horizontal="center" vertical="center" wrapText="1"/>
    </xf>
    <xf numFmtId="1" fontId="0" fillId="0" borderId="0" xfId="0" applyNumberFormat="1" applyAlignment="1">
      <alignment horizontal="center" vertical="center" wrapText="1"/>
    </xf>
    <xf numFmtId="1" fontId="0" fillId="0" borderId="31" xfId="0" applyNumberFormat="1" applyBorder="1" applyAlignment="1">
      <alignment horizontal="center" vertical="center" wrapText="1"/>
    </xf>
    <xf numFmtId="2" fontId="0" fillId="2" borderId="0" xfId="0" applyNumberFormat="1" applyFill="1" applyAlignment="1">
      <alignment horizontal="center" vertical="center"/>
    </xf>
    <xf numFmtId="2" fontId="0" fillId="2" borderId="31" xfId="0" applyNumberFormat="1" applyFill="1" applyBorder="1" applyAlignment="1">
      <alignment horizontal="center" vertical="center"/>
    </xf>
    <xf numFmtId="165" fontId="0" fillId="2" borderId="0" xfId="0" applyNumberFormat="1" applyFill="1" applyAlignment="1">
      <alignment horizontal="center" vertical="center"/>
    </xf>
    <xf numFmtId="165" fontId="0" fillId="2" borderId="7" xfId="0" applyNumberFormat="1" applyFill="1" applyBorder="1" applyAlignment="1">
      <alignment horizontal="center" vertical="center"/>
    </xf>
    <xf numFmtId="165" fontId="0" fillId="2" borderId="24" xfId="0" applyNumberFormat="1" applyFill="1" applyBorder="1" applyAlignment="1">
      <alignment horizontal="center" vertical="center"/>
    </xf>
    <xf numFmtId="165" fontId="0" fillId="0" borderId="24" xfId="0" applyNumberFormat="1" applyBorder="1" applyAlignment="1">
      <alignment horizontal="center" vertical="center"/>
    </xf>
    <xf numFmtId="165" fontId="0" fillId="0" borderId="0" xfId="0" applyNumberFormat="1" applyAlignment="1">
      <alignment horizontal="center" vertical="center"/>
    </xf>
    <xf numFmtId="165" fontId="0" fillId="0" borderId="31" xfId="0" applyNumberFormat="1" applyBorder="1" applyAlignment="1">
      <alignment horizontal="center" vertical="center"/>
    </xf>
    <xf numFmtId="165" fontId="0" fillId="2" borderId="31" xfId="0" applyNumberFormat="1" applyFill="1" applyBorder="1" applyAlignment="1">
      <alignment horizontal="center" vertical="center"/>
    </xf>
    <xf numFmtId="0" fontId="0" fillId="0" borderId="32" xfId="0" applyBorder="1"/>
    <xf numFmtId="2" fontId="0" fillId="0" borderId="32" xfId="0" applyNumberFormat="1" applyBorder="1"/>
    <xf numFmtId="0" fontId="2" fillId="5" borderId="32" xfId="0" applyFont="1" applyFill="1" applyBorder="1"/>
    <xf numFmtId="0" fontId="0" fillId="0" borderId="35" xfId="0" applyBorder="1" applyAlignment="1">
      <alignment vertical="center"/>
    </xf>
    <xf numFmtId="0" fontId="0" fillId="0" borderId="36" xfId="0" applyBorder="1" applyAlignment="1">
      <alignment vertical="center"/>
    </xf>
    <xf numFmtId="0" fontId="0" fillId="0" borderId="37" xfId="0" applyBorder="1" applyAlignment="1">
      <alignment vertical="center"/>
    </xf>
    <xf numFmtId="165" fontId="0" fillId="0" borderId="35" xfId="0" applyNumberFormat="1" applyBorder="1"/>
    <xf numFmtId="165" fontId="0" fillId="0" borderId="36" xfId="0" applyNumberFormat="1" applyBorder="1"/>
    <xf numFmtId="165" fontId="0" fillId="0" borderId="37" xfId="0" applyNumberFormat="1" applyBorder="1"/>
    <xf numFmtId="0" fontId="7" fillId="0" borderId="36" xfId="0" applyFont="1" applyBorder="1"/>
    <xf numFmtId="0" fontId="13" fillId="0" borderId="0" xfId="0" applyFont="1"/>
    <xf numFmtId="0" fontId="5" fillId="5" borderId="39" xfId="0" applyFont="1" applyFill="1" applyBorder="1" applyAlignment="1">
      <alignment horizontal="center"/>
    </xf>
    <xf numFmtId="2" fontId="4" fillId="0" borderId="0" xfId="0" applyNumberFormat="1" applyFont="1"/>
    <xf numFmtId="0" fontId="0" fillId="0" borderId="0" xfId="4" applyNumberFormat="1" applyFont="1" applyBorder="1"/>
    <xf numFmtId="1" fontId="4" fillId="0" borderId="0" xfId="0" applyNumberFormat="1" applyFont="1"/>
    <xf numFmtId="0" fontId="4" fillId="0" borderId="0" xfId="4" applyNumberFormat="1" applyFont="1" applyBorder="1"/>
    <xf numFmtId="167" fontId="4" fillId="0" borderId="0" xfId="0" applyNumberFormat="1" applyFont="1"/>
    <xf numFmtId="0" fontId="4" fillId="0" borderId="0" xfId="4" applyNumberFormat="1" applyFont="1" applyFill="1" applyBorder="1"/>
    <xf numFmtId="0" fontId="0" fillId="0" borderId="0" xfId="4" applyNumberFormat="1" applyFont="1" applyFill="1" applyBorder="1"/>
    <xf numFmtId="1" fontId="4" fillId="0" borderId="0" xfId="4" applyNumberFormat="1" applyFont="1" applyBorder="1"/>
    <xf numFmtId="2" fontId="4" fillId="0" borderId="31" xfId="0" applyNumberFormat="1" applyFont="1" applyBorder="1"/>
    <xf numFmtId="0" fontId="4" fillId="0" borderId="31" xfId="4" applyNumberFormat="1" applyFont="1" applyBorder="1"/>
    <xf numFmtId="1" fontId="4" fillId="0" borderId="31" xfId="0" applyNumberFormat="1" applyFont="1" applyBorder="1"/>
    <xf numFmtId="2" fontId="4" fillId="0" borderId="27" xfId="0" applyNumberFormat="1" applyFont="1" applyBorder="1"/>
    <xf numFmtId="2" fontId="4" fillId="0" borderId="38" xfId="0" applyNumberFormat="1" applyFont="1" applyBorder="1"/>
    <xf numFmtId="0" fontId="0" fillId="0" borderId="36" xfId="4" applyNumberFormat="1" applyFont="1" applyBorder="1"/>
    <xf numFmtId="0" fontId="4" fillId="0" borderId="36" xfId="4" applyNumberFormat="1" applyFont="1" applyBorder="1"/>
    <xf numFmtId="0" fontId="4" fillId="0" borderId="36" xfId="4" applyNumberFormat="1" applyFont="1" applyFill="1" applyBorder="1"/>
    <xf numFmtId="1" fontId="4" fillId="0" borderId="36" xfId="4" applyNumberFormat="1" applyFont="1" applyBorder="1"/>
    <xf numFmtId="1" fontId="4" fillId="0" borderId="27" xfId="0" applyNumberFormat="1" applyFont="1" applyBorder="1"/>
    <xf numFmtId="0" fontId="4" fillId="0" borderId="37" xfId="4" applyNumberFormat="1" applyFont="1" applyBorder="1"/>
    <xf numFmtId="2" fontId="4" fillId="0" borderId="36" xfId="0" applyNumberFormat="1" applyFont="1" applyBorder="1"/>
    <xf numFmtId="2" fontId="4" fillId="0" borderId="37" xfId="0" applyNumberFormat="1" applyFont="1" applyBorder="1"/>
    <xf numFmtId="167" fontId="4" fillId="0" borderId="27" xfId="0" applyNumberFormat="1" applyFont="1" applyBorder="1"/>
    <xf numFmtId="167" fontId="0" fillId="0" borderId="27" xfId="0" applyNumberFormat="1" applyBorder="1"/>
    <xf numFmtId="1" fontId="4" fillId="0" borderId="36" xfId="0" applyNumberFormat="1" applyFont="1" applyBorder="1"/>
    <xf numFmtId="1" fontId="4" fillId="0" borderId="37" xfId="0" applyNumberFormat="1" applyFont="1" applyBorder="1"/>
    <xf numFmtId="1" fontId="4" fillId="0" borderId="38" xfId="0" applyNumberFormat="1" applyFont="1" applyBorder="1"/>
    <xf numFmtId="1" fontId="3" fillId="0" borderId="36" xfId="1" applyNumberFormat="1" applyBorder="1"/>
    <xf numFmtId="0" fontId="3" fillId="0" borderId="36" xfId="1" applyBorder="1"/>
    <xf numFmtId="0" fontId="3" fillId="0" borderId="27" xfId="1" applyBorder="1"/>
    <xf numFmtId="0" fontId="3" fillId="0" borderId="36" xfId="1" applyFill="1" applyBorder="1"/>
    <xf numFmtId="0" fontId="3" fillId="0" borderId="37" xfId="1" applyBorder="1"/>
    <xf numFmtId="0" fontId="3" fillId="0" borderId="38" xfId="1" applyBorder="1"/>
    <xf numFmtId="0" fontId="5" fillId="5" borderId="19" xfId="0" applyFont="1" applyFill="1" applyBorder="1"/>
    <xf numFmtId="0" fontId="5" fillId="5" borderId="39" xfId="0" applyFont="1" applyFill="1" applyBorder="1"/>
    <xf numFmtId="1" fontId="3" fillId="0" borderId="33" xfId="1" applyNumberFormat="1" applyBorder="1"/>
    <xf numFmtId="0" fontId="3" fillId="0" borderId="33" xfId="1" applyBorder="1"/>
    <xf numFmtId="0" fontId="3" fillId="0" borderId="33" xfId="1" applyBorder="1" applyAlignment="1">
      <alignment horizontal="left" vertical="center"/>
    </xf>
    <xf numFmtId="0" fontId="3" fillId="0" borderId="33" xfId="1" applyFill="1" applyBorder="1"/>
    <xf numFmtId="0" fontId="3" fillId="0" borderId="34" xfId="1" applyBorder="1"/>
    <xf numFmtId="0" fontId="0" fillId="0" borderId="35" xfId="0" applyBorder="1"/>
    <xf numFmtId="0" fontId="0" fillId="0" borderId="25" xfId="0" applyBorder="1"/>
    <xf numFmtId="0" fontId="0" fillId="5" borderId="17" xfId="0" applyFill="1" applyBorder="1"/>
    <xf numFmtId="0" fontId="0" fillId="5" borderId="19" xfId="0" applyFill="1" applyBorder="1"/>
    <xf numFmtId="0" fontId="0" fillId="5" borderId="39" xfId="0" applyFill="1" applyBorder="1"/>
    <xf numFmtId="0" fontId="2" fillId="5" borderId="37" xfId="0" applyFont="1" applyFill="1" applyBorder="1"/>
    <xf numFmtId="0" fontId="2" fillId="5" borderId="31" xfId="0" applyFont="1" applyFill="1" applyBorder="1"/>
    <xf numFmtId="0" fontId="2" fillId="5" borderId="38" xfId="0" applyFont="1" applyFill="1" applyBorder="1"/>
    <xf numFmtId="0" fontId="2" fillId="5" borderId="36" xfId="0" applyFont="1" applyFill="1" applyBorder="1"/>
    <xf numFmtId="0" fontId="2" fillId="5" borderId="0" xfId="0" applyFont="1" applyFill="1"/>
    <xf numFmtId="0" fontId="2" fillId="5" borderId="27" xfId="0" applyFont="1" applyFill="1" applyBorder="1"/>
    <xf numFmtId="0" fontId="14" fillId="0" borderId="0" xfId="0" applyFont="1" applyAlignment="1">
      <alignment vertical="center"/>
    </xf>
    <xf numFmtId="0" fontId="14" fillId="0" borderId="0" xfId="0" applyFont="1" applyAlignment="1">
      <alignment horizontal="left" vertical="center" indent="6"/>
    </xf>
    <xf numFmtId="0" fontId="3" fillId="0" borderId="35" xfId="1" applyBorder="1" applyAlignment="1">
      <alignment horizontal="center" vertical="center" wrapText="1"/>
    </xf>
    <xf numFmtId="0" fontId="3" fillId="0" borderId="36" xfId="1" applyBorder="1" applyAlignment="1">
      <alignment horizontal="center" vertical="center" wrapText="1"/>
    </xf>
    <xf numFmtId="0" fontId="3" fillId="0" borderId="37" xfId="1" applyBorder="1" applyAlignment="1">
      <alignment horizontal="center" vertical="center" wrapText="1"/>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2" borderId="32" xfId="0" applyFill="1" applyBorder="1" applyAlignment="1">
      <alignment horizontal="center" vertical="center"/>
    </xf>
    <xf numFmtId="0" fontId="0" fillId="2" borderId="33" xfId="0" applyFill="1" applyBorder="1" applyAlignment="1">
      <alignment horizontal="center" vertical="center"/>
    </xf>
    <xf numFmtId="0" fontId="0" fillId="2" borderId="34" xfId="0" applyFill="1" applyBorder="1" applyAlignment="1">
      <alignment horizontal="center" vertical="center"/>
    </xf>
    <xf numFmtId="0" fontId="3" fillId="0" borderId="32" xfId="1" applyBorder="1" applyAlignment="1">
      <alignment horizontal="center" vertical="center" wrapText="1"/>
    </xf>
    <xf numFmtId="0" fontId="3" fillId="0" borderId="33" xfId="1" applyBorder="1" applyAlignment="1">
      <alignment horizontal="center" vertical="center" wrapText="1"/>
    </xf>
    <xf numFmtId="0" fontId="0" fillId="2" borderId="12" xfId="0" applyFill="1" applyBorder="1" applyAlignment="1">
      <alignment horizontal="center" vertical="center"/>
    </xf>
    <xf numFmtId="0" fontId="0" fillId="2" borderId="14" xfId="0" applyFill="1"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32" xfId="0" applyBorder="1" applyAlignment="1">
      <alignment horizontal="center" vertical="center" wrapText="1"/>
    </xf>
    <xf numFmtId="0" fontId="0" fillId="0" borderId="34" xfId="0" applyBorder="1" applyAlignment="1">
      <alignment horizontal="center" vertical="center" wrapText="1"/>
    </xf>
    <xf numFmtId="0" fontId="0" fillId="2" borderId="1" xfId="0" applyFill="1" applyBorder="1" applyAlignment="1">
      <alignment horizontal="center" vertical="center"/>
    </xf>
    <xf numFmtId="0" fontId="0" fillId="2" borderId="6" xfId="0" applyFill="1" applyBorder="1" applyAlignment="1">
      <alignment horizontal="center" vertical="center"/>
    </xf>
    <xf numFmtId="0" fontId="5" fillId="5" borderId="17" xfId="0" applyFont="1" applyFill="1" applyBorder="1" applyAlignment="1">
      <alignment horizontal="center"/>
    </xf>
    <xf numFmtId="0" fontId="5" fillId="5" borderId="19" xfId="0" applyFont="1" applyFill="1" applyBorder="1" applyAlignment="1">
      <alignment horizontal="center"/>
    </xf>
    <xf numFmtId="0" fontId="5" fillId="5" borderId="39" xfId="0" applyFont="1" applyFill="1" applyBorder="1" applyAlignment="1">
      <alignment horizontal="center"/>
    </xf>
    <xf numFmtId="0" fontId="3" fillId="0" borderId="1" xfId="1" applyBorder="1" applyAlignment="1">
      <alignment horizontal="center" vertical="center"/>
    </xf>
    <xf numFmtId="0" fontId="3" fillId="0" borderId="4" xfId="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3" xfId="0" applyBorder="1" applyAlignment="1">
      <alignment horizontal="center" vertical="center"/>
    </xf>
    <xf numFmtId="0" fontId="0" fillId="0" borderId="35" xfId="0" applyBorder="1" applyAlignment="1">
      <alignment horizontal="center" vertical="center"/>
    </xf>
    <xf numFmtId="0" fontId="0" fillId="0" borderId="37" xfId="0" applyBorder="1" applyAlignment="1">
      <alignment horizontal="center" vertical="center"/>
    </xf>
    <xf numFmtId="0" fontId="3" fillId="0" borderId="32" xfId="1" applyBorder="1" applyAlignment="1">
      <alignment horizontal="center" vertical="center"/>
    </xf>
    <xf numFmtId="0" fontId="3" fillId="0" borderId="33" xfId="1" applyBorder="1" applyAlignment="1">
      <alignment horizontal="center" vertical="center"/>
    </xf>
    <xf numFmtId="0" fontId="3" fillId="0" borderId="34" xfId="1" applyBorder="1" applyAlignment="1">
      <alignment horizontal="center" vertical="center"/>
    </xf>
    <xf numFmtId="0" fontId="0" fillId="0" borderId="33" xfId="0" applyBorder="1" applyAlignment="1">
      <alignment horizontal="center" vertical="center" wrapText="1"/>
    </xf>
    <xf numFmtId="0" fontId="3" fillId="0" borderId="1" xfId="1" applyBorder="1" applyAlignment="1">
      <alignment horizontal="center" vertical="center" wrapText="1"/>
    </xf>
    <xf numFmtId="0" fontId="3" fillId="0" borderId="4" xfId="1" applyBorder="1" applyAlignment="1">
      <alignment horizontal="center" vertical="center" wrapText="1"/>
    </xf>
    <xf numFmtId="0" fontId="3" fillId="0" borderId="6" xfId="1"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xf>
    <xf numFmtId="0" fontId="0" fillId="2" borderId="4" xfId="0" applyFill="1" applyBorder="1" applyAlignment="1">
      <alignment horizontal="center" vertical="center"/>
    </xf>
    <xf numFmtId="0" fontId="0" fillId="2" borderId="13" xfId="0" applyFill="1" applyBorder="1" applyAlignment="1">
      <alignment horizontal="center" vertical="center"/>
    </xf>
    <xf numFmtId="0" fontId="3" fillId="0" borderId="12" xfId="1" applyBorder="1" applyAlignment="1">
      <alignment horizontal="center" vertical="center"/>
    </xf>
    <xf numFmtId="0" fontId="3" fillId="0" borderId="13" xfId="1" applyBorder="1" applyAlignment="1">
      <alignment horizontal="center" vertical="center"/>
    </xf>
    <xf numFmtId="0" fontId="3" fillId="0" borderId="14" xfId="1" applyBorder="1" applyAlignment="1">
      <alignment horizontal="center" vertical="center"/>
    </xf>
    <xf numFmtId="0" fontId="0" fillId="2" borderId="12" xfId="0" applyFill="1" applyBorder="1" applyAlignment="1">
      <alignment horizontal="center" vertical="center" wrapText="1"/>
    </xf>
    <xf numFmtId="0" fontId="0" fillId="2" borderId="14" xfId="0" applyFill="1" applyBorder="1" applyAlignment="1">
      <alignment horizontal="center" vertical="center" wrapText="1"/>
    </xf>
    <xf numFmtId="0" fontId="3" fillId="0" borderId="12" xfId="1" applyBorder="1" applyAlignment="1">
      <alignment horizontal="center" vertical="center" wrapText="1"/>
    </xf>
    <xf numFmtId="0" fontId="3" fillId="0" borderId="13" xfId="1" applyBorder="1" applyAlignment="1">
      <alignment horizontal="center" vertical="center" wrapText="1"/>
    </xf>
    <xf numFmtId="0" fontId="3" fillId="0" borderId="14" xfId="1" applyBorder="1" applyAlignment="1">
      <alignment horizontal="center" vertical="center" wrapText="1"/>
    </xf>
    <xf numFmtId="0" fontId="3" fillId="0" borderId="29" xfId="1" applyBorder="1" applyAlignment="1">
      <alignment horizontal="center" vertical="center" wrapText="1"/>
    </xf>
    <xf numFmtId="0" fontId="0" fillId="0" borderId="24" xfId="0" applyBorder="1" applyAlignment="1">
      <alignment horizontal="center" vertical="center"/>
    </xf>
    <xf numFmtId="0" fontId="0" fillId="0" borderId="31" xfId="0" applyBorder="1" applyAlignment="1">
      <alignment horizontal="center" vertical="center"/>
    </xf>
    <xf numFmtId="0" fontId="3" fillId="0" borderId="34" xfId="1" applyBorder="1" applyAlignment="1">
      <alignment horizontal="center" vertical="center" wrapText="1"/>
    </xf>
    <xf numFmtId="0" fontId="3" fillId="0" borderId="27" xfId="1" applyBorder="1" applyAlignment="1">
      <alignment horizontal="center" vertical="center" wrapText="1"/>
    </xf>
    <xf numFmtId="0" fontId="3" fillId="0" borderId="38" xfId="1" applyBorder="1" applyAlignment="1">
      <alignment horizontal="center" vertical="center" wrapText="1"/>
    </xf>
    <xf numFmtId="0" fontId="0" fillId="0" borderId="36" xfId="0" applyBorder="1" applyAlignment="1">
      <alignment horizontal="center" vertical="center"/>
    </xf>
    <xf numFmtId="0" fontId="0" fillId="0" borderId="22" xfId="0" applyBorder="1" applyAlignment="1">
      <alignment horizontal="center" vertical="center"/>
    </xf>
    <xf numFmtId="0" fontId="0" fillId="0" borderId="29" xfId="0" applyBorder="1" applyAlignment="1">
      <alignment horizontal="center" vertical="center"/>
    </xf>
    <xf numFmtId="0" fontId="0" fillId="0" borderId="22" xfId="0" applyBorder="1" applyAlignment="1">
      <alignment horizontal="center" vertical="center" wrapText="1"/>
    </xf>
    <xf numFmtId="0" fontId="0" fillId="0" borderId="29" xfId="0" applyBorder="1" applyAlignment="1">
      <alignment horizontal="center" vertical="center" wrapText="1"/>
    </xf>
    <xf numFmtId="0" fontId="0" fillId="0" borderId="0" xfId="0" applyAlignment="1">
      <alignment horizontal="center" vertical="center"/>
    </xf>
    <xf numFmtId="0" fontId="3" fillId="0" borderId="23" xfId="1" applyBorder="1" applyAlignment="1">
      <alignment horizontal="center" vertical="center" wrapText="1"/>
    </xf>
    <xf numFmtId="0" fontId="3" fillId="0" borderId="26" xfId="1" applyBorder="1" applyAlignment="1">
      <alignment horizontal="center" vertical="center" wrapText="1"/>
    </xf>
    <xf numFmtId="0" fontId="3" fillId="0" borderId="28" xfId="1" applyBorder="1" applyAlignment="1">
      <alignment horizontal="center" vertical="center" wrapText="1"/>
    </xf>
    <xf numFmtId="0" fontId="0" fillId="0" borderId="21" xfId="0" applyBorder="1" applyAlignment="1">
      <alignment horizontal="center" vertical="center"/>
    </xf>
    <xf numFmtId="0" fontId="0" fillId="0" borderId="30" xfId="0" applyBorder="1" applyAlignment="1">
      <alignment horizontal="center" vertical="center"/>
    </xf>
    <xf numFmtId="0" fontId="0" fillId="0" borderId="6" xfId="0" applyBorder="1" applyAlignment="1">
      <alignment horizontal="center" vertical="center" wrapText="1"/>
    </xf>
    <xf numFmtId="0" fontId="0" fillId="0" borderId="25" xfId="0" applyBorder="1" applyAlignment="1">
      <alignment horizontal="center" vertical="center" wrapText="1"/>
    </xf>
    <xf numFmtId="0" fontId="0" fillId="0" borderId="27" xfId="0" applyBorder="1" applyAlignment="1">
      <alignment horizontal="center" vertical="center" wrapText="1"/>
    </xf>
    <xf numFmtId="0" fontId="0" fillId="0" borderId="38" xfId="0" applyBorder="1" applyAlignment="1">
      <alignment horizontal="center" vertical="center" wrapText="1"/>
    </xf>
    <xf numFmtId="0" fontId="0" fillId="2" borderId="32" xfId="0" applyFill="1" applyBorder="1" applyAlignment="1">
      <alignment horizontal="center" vertical="center" wrapText="1"/>
    </xf>
    <xf numFmtId="0" fontId="0" fillId="2" borderId="33" xfId="0" applyFill="1" applyBorder="1" applyAlignment="1">
      <alignment horizontal="center" vertical="center" wrapText="1"/>
    </xf>
    <xf numFmtId="0" fontId="0" fillId="2" borderId="34" xfId="0" applyFill="1" applyBorder="1" applyAlignment="1">
      <alignment horizontal="center" vertical="center" wrapText="1"/>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2" borderId="37" xfId="0" applyFill="1" applyBorder="1" applyAlignment="1">
      <alignment horizontal="center" vertical="center"/>
    </xf>
    <xf numFmtId="0" fontId="0" fillId="2" borderId="0" xfId="0" applyFill="1" applyAlignment="1">
      <alignment horizontal="center" vertical="center"/>
    </xf>
    <xf numFmtId="0" fontId="0" fillId="2" borderId="31" xfId="0" applyFill="1" applyBorder="1" applyAlignment="1">
      <alignment horizontal="center" vertical="center"/>
    </xf>
    <xf numFmtId="0" fontId="0" fillId="2" borderId="4" xfId="0" applyFill="1" applyBorder="1" applyAlignment="1">
      <alignment horizontal="center" vertical="center" wrapText="1"/>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38" xfId="0" applyBorder="1" applyAlignment="1">
      <alignment horizontal="center" vertical="center"/>
    </xf>
    <xf numFmtId="0" fontId="2" fillId="5" borderId="17" xfId="0" applyFont="1" applyFill="1" applyBorder="1" applyAlignment="1">
      <alignment horizontal="center"/>
    </xf>
    <xf numFmtId="0" fontId="2" fillId="5" borderId="39" xfId="0" applyFont="1" applyFill="1" applyBorder="1" applyAlignment="1">
      <alignment horizontal="center"/>
    </xf>
    <xf numFmtId="0" fontId="3" fillId="0" borderId="0" xfId="1" applyBorder="1" applyAlignment="1">
      <alignment horizontal="left" vertical="center" wrapText="1"/>
    </xf>
    <xf numFmtId="0" fontId="0" fillId="0" borderId="36" xfId="0" applyBorder="1" applyAlignment="1">
      <alignment horizontal="right" vertical="center"/>
    </xf>
    <xf numFmtId="0" fontId="4" fillId="0" borderId="0" xfId="0" applyFont="1" applyAlignment="1">
      <alignment horizontal="left" vertical="center"/>
    </xf>
    <xf numFmtId="0" fontId="0" fillId="0" borderId="0" xfId="0" applyAlignment="1">
      <alignment horizontal="right" vertical="center"/>
    </xf>
    <xf numFmtId="0" fontId="0" fillId="2" borderId="24" xfId="0" applyFill="1" applyBorder="1" applyAlignment="1">
      <alignment horizontal="center" vertical="center" wrapText="1"/>
    </xf>
    <xf numFmtId="0" fontId="0" fillId="2" borderId="0" xfId="0" applyFill="1" applyAlignment="1">
      <alignment horizontal="center" vertical="center" wrapText="1"/>
    </xf>
    <xf numFmtId="0" fontId="0" fillId="2" borderId="31" xfId="0" applyFill="1" applyBorder="1" applyAlignment="1">
      <alignment horizontal="center" vertical="center" wrapText="1"/>
    </xf>
    <xf numFmtId="0" fontId="0" fillId="2" borderId="24" xfId="0" applyFill="1" applyBorder="1" applyAlignment="1">
      <alignment horizontal="center" vertical="center"/>
    </xf>
    <xf numFmtId="0" fontId="4" fillId="0" borderId="32" xfId="0" applyFont="1" applyBorder="1" applyAlignment="1">
      <alignment horizontal="center" vertical="center" wrapText="1"/>
    </xf>
    <xf numFmtId="0" fontId="4" fillId="0" borderId="34" xfId="0" applyFont="1" applyBorder="1" applyAlignment="1">
      <alignment horizontal="center" vertical="center" wrapText="1"/>
    </xf>
    <xf numFmtId="0" fontId="0" fillId="2" borderId="36" xfId="0" applyFill="1" applyBorder="1" applyAlignment="1">
      <alignment horizontal="center" vertical="center" wrapText="1"/>
    </xf>
    <xf numFmtId="0" fontId="0" fillId="2" borderId="37" xfId="0"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4" fillId="2" borderId="37"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0" borderId="33"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0" fillId="0" borderId="24" xfId="0" applyBorder="1" applyAlignment="1">
      <alignment horizontal="center" vertical="center" wrapText="1"/>
    </xf>
    <xf numFmtId="0" fontId="0" fillId="0" borderId="31" xfId="0" applyBorder="1" applyAlignment="1">
      <alignment horizontal="center" vertical="center" wrapText="1"/>
    </xf>
    <xf numFmtId="0" fontId="0" fillId="0" borderId="35" xfId="0" applyBorder="1" applyAlignment="1">
      <alignment horizontal="center" vertical="center" wrapText="1"/>
    </xf>
    <xf numFmtId="0" fontId="0" fillId="0" borderId="37" xfId="0" applyBorder="1" applyAlignment="1">
      <alignment horizontal="center" vertical="center" wrapText="1"/>
    </xf>
    <xf numFmtId="0" fontId="4" fillId="2" borderId="33" xfId="0" applyFont="1" applyFill="1" applyBorder="1" applyAlignment="1">
      <alignment horizontal="center" vertical="center"/>
    </xf>
    <xf numFmtId="0" fontId="4" fillId="2" borderId="0" xfId="0" applyFont="1" applyFill="1" applyAlignment="1">
      <alignment horizontal="center" vertical="center"/>
    </xf>
    <xf numFmtId="0" fontId="4" fillId="0" borderId="32" xfId="0" applyFont="1" applyBorder="1" applyAlignment="1">
      <alignment horizontal="center" vertical="center"/>
    </xf>
    <xf numFmtId="0" fontId="4" fillId="0" borderId="34" xfId="0" applyFont="1" applyBorder="1" applyAlignment="1">
      <alignment horizontal="center" vertical="center"/>
    </xf>
    <xf numFmtId="0" fontId="3" fillId="2" borderId="32" xfId="1" applyFill="1" applyBorder="1" applyAlignment="1">
      <alignment horizontal="center" vertical="center" wrapText="1"/>
    </xf>
    <xf numFmtId="0" fontId="3" fillId="2" borderId="33" xfId="1" applyFill="1" applyBorder="1" applyAlignment="1">
      <alignment horizontal="center" vertical="center" wrapText="1"/>
    </xf>
    <xf numFmtId="0" fontId="3" fillId="2" borderId="34" xfId="1" applyFill="1" applyBorder="1" applyAlignment="1">
      <alignment horizontal="center" vertical="center" wrapText="1"/>
    </xf>
    <xf numFmtId="0" fontId="2" fillId="5" borderId="19" xfId="0" applyFont="1" applyFill="1" applyBorder="1" applyAlignment="1">
      <alignment horizontal="center"/>
    </xf>
    <xf numFmtId="0" fontId="2" fillId="5" borderId="24" xfId="0" applyFont="1" applyFill="1" applyBorder="1" applyAlignment="1">
      <alignment horizontal="center"/>
    </xf>
    <xf numFmtId="0" fontId="2" fillId="5" borderId="25" xfId="0" applyFont="1" applyFill="1" applyBorder="1" applyAlignment="1">
      <alignment horizontal="center"/>
    </xf>
    <xf numFmtId="0" fontId="0" fillId="0" borderId="0" xfId="0" applyAlignment="1">
      <alignment horizontal="center"/>
    </xf>
    <xf numFmtId="0" fontId="2" fillId="5" borderId="19" xfId="0" applyFont="1" applyFill="1" applyBorder="1" applyAlignment="1">
      <alignment horizontal="center" vertical="center"/>
    </xf>
    <xf numFmtId="0" fontId="2" fillId="5" borderId="39" xfId="0" applyFont="1" applyFill="1" applyBorder="1" applyAlignment="1">
      <alignment horizontal="center" vertical="center"/>
    </xf>
    <xf numFmtId="0" fontId="2" fillId="5" borderId="35" xfId="0" applyFont="1" applyFill="1" applyBorder="1" applyAlignment="1">
      <alignment horizontal="center"/>
    </xf>
    <xf numFmtId="0" fontId="2" fillId="5" borderId="17" xfId="0" applyFont="1" applyFill="1" applyBorder="1" applyAlignment="1">
      <alignment horizontal="center" vertical="center"/>
    </xf>
    <xf numFmtId="0" fontId="2" fillId="5" borderId="31" xfId="0" applyFont="1" applyFill="1" applyBorder="1" applyAlignment="1">
      <alignment horizontal="center"/>
    </xf>
    <xf numFmtId="0" fontId="2" fillId="5" borderId="38" xfId="0" applyFont="1" applyFill="1" applyBorder="1" applyAlignment="1">
      <alignment horizontal="center"/>
    </xf>
    <xf numFmtId="0" fontId="4" fillId="0" borderId="0" xfId="0" applyFont="1" applyAlignment="1">
      <alignment horizontal="center"/>
    </xf>
    <xf numFmtId="0" fontId="0" fillId="0" borderId="0" xfId="0" applyBorder="1" applyAlignment="1">
      <alignment horizontal="center" vertical="center"/>
    </xf>
    <xf numFmtId="2" fontId="0" fillId="0" borderId="0" xfId="0" applyNumberFormat="1" applyBorder="1" applyAlignment="1">
      <alignment horizontal="center" vertical="center"/>
    </xf>
    <xf numFmtId="1" fontId="0" fillId="0" borderId="0" xfId="0" applyNumberFormat="1" applyBorder="1" applyAlignment="1">
      <alignment horizontal="center" vertical="center"/>
    </xf>
    <xf numFmtId="0" fontId="0" fillId="0" borderId="0" xfId="0" applyBorder="1" applyAlignment="1">
      <alignment horizontal="center" vertical="center"/>
    </xf>
    <xf numFmtId="1" fontId="0" fillId="0" borderId="27" xfId="0" applyNumberFormat="1" applyBorder="1" applyAlignment="1">
      <alignment horizontal="center" vertical="center"/>
    </xf>
    <xf numFmtId="2" fontId="0" fillId="0" borderId="36" xfId="0" applyNumberFormat="1" applyBorder="1" applyAlignment="1">
      <alignment horizontal="center" vertical="center"/>
    </xf>
    <xf numFmtId="1" fontId="0" fillId="0" borderId="36" xfId="0" applyNumberFormat="1" applyBorder="1" applyAlignment="1">
      <alignment horizontal="center" vertical="center"/>
    </xf>
    <xf numFmtId="1" fontId="0" fillId="0" borderId="37" xfId="0" applyNumberFormat="1" applyBorder="1" applyAlignment="1">
      <alignment horizontal="center" vertical="center"/>
    </xf>
    <xf numFmtId="0" fontId="2" fillId="5" borderId="35" xfId="0" applyFont="1" applyFill="1" applyBorder="1" applyAlignment="1">
      <alignment horizontal="center" vertical="center"/>
    </xf>
    <xf numFmtId="0" fontId="2" fillId="5" borderId="24" xfId="0" applyFont="1" applyFill="1" applyBorder="1" applyAlignment="1">
      <alignment horizontal="center" vertical="center"/>
    </xf>
    <xf numFmtId="0" fontId="2" fillId="5" borderId="25" xfId="0" applyFont="1" applyFill="1" applyBorder="1" applyAlignment="1">
      <alignment horizontal="center" vertical="center"/>
    </xf>
  </cellXfs>
  <cellStyles count="5">
    <cellStyle name="Hyperlink" xfId="1" builtinId="8"/>
    <cellStyle name="Normal" xfId="0" builtinId="0"/>
    <cellStyle name="Normal 2" xfId="2" xr:uid="{57088896-6C14-C14F-9070-9B6430A9950D}"/>
    <cellStyle name="Normal 3" xfId="3" xr:uid="{2963D0E3-D00A-DB46-B584-1E86CECE6A93}"/>
    <cellStyle name="Percent" xfId="4"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'9. Net Water Avail Vis'!$A$55</c:f>
              <c:strCache>
                <c:ptCount val="1"/>
                <c:pt idx="0">
                  <c:v>p50</c:v>
                </c:pt>
              </c:strCache>
            </c:strRef>
          </c:tx>
          <c:spPr>
            <a:solidFill>
              <a:schemeClr val="accent2"/>
            </a:solidFill>
            <a:ln>
              <a:noFill/>
            </a:ln>
            <a:effectLst/>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5565-CA41-B909-0983816C2587}"/>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A-5565-CA41-B909-0983816C2587}"/>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B-5565-CA41-B909-0983816C2587}"/>
              </c:ext>
            </c:extLst>
          </c:dPt>
          <c:dPt>
            <c:idx val="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E-5565-CA41-B909-0983816C2587}"/>
              </c:ext>
            </c:extLst>
          </c:dPt>
          <c:dPt>
            <c:idx val="4"/>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4-5565-CA41-B909-0983816C2587}"/>
              </c:ext>
            </c:extLst>
          </c:dPt>
          <c:dPt>
            <c:idx val="8"/>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5-5565-CA41-B909-0983816C2587}"/>
              </c:ext>
            </c:extLst>
          </c:dPt>
          <c:dPt>
            <c:idx val="1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6-5565-CA41-B909-0983816C2587}"/>
              </c:ext>
            </c:extLst>
          </c:dPt>
          <c:dPt>
            <c:idx val="16"/>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7-5565-CA41-B909-0983816C2587}"/>
              </c:ext>
            </c:extLst>
          </c:dPt>
          <c:dPt>
            <c:idx val="2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8-5565-CA41-B909-0983816C2587}"/>
              </c:ext>
            </c:extLst>
          </c:dPt>
          <c:dPt>
            <c:idx val="2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9-5565-CA41-B909-0983816C2587}"/>
              </c:ext>
            </c:extLst>
          </c:dPt>
          <c:dPt>
            <c:idx val="2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C-5565-CA41-B909-0983816C2587}"/>
              </c:ext>
            </c:extLst>
          </c:dPt>
          <c:dPt>
            <c:idx val="23"/>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D-5565-CA41-B909-0983816C2587}"/>
              </c:ext>
            </c:extLst>
          </c:dPt>
          <c:cat>
            <c:multiLvlStrRef>
              <c:f>'9. Net Water Avail Vis'!$J$14:$AG$15</c:f>
              <c:multiLvlStrCache>
                <c:ptCount val="24"/>
                <c:lvl>
                  <c:pt idx="0">
                    <c:v>SSP1</c:v>
                  </c:pt>
                  <c:pt idx="1">
                    <c:v>SSP2</c:v>
                  </c:pt>
                  <c:pt idx="2">
                    <c:v>SSP3</c:v>
                  </c:pt>
                  <c:pt idx="3">
                    <c:v>SSP5</c:v>
                  </c:pt>
                  <c:pt idx="4">
                    <c:v>SSP1</c:v>
                  </c:pt>
                  <c:pt idx="5">
                    <c:v>SSP2</c:v>
                  </c:pt>
                  <c:pt idx="6">
                    <c:v>SSP3</c:v>
                  </c:pt>
                  <c:pt idx="7">
                    <c:v>SSP5</c:v>
                  </c:pt>
                  <c:pt idx="8">
                    <c:v>SSP1</c:v>
                  </c:pt>
                  <c:pt idx="9">
                    <c:v>SSP2</c:v>
                  </c:pt>
                  <c:pt idx="10">
                    <c:v>SSP3</c:v>
                  </c:pt>
                  <c:pt idx="11">
                    <c:v>SSP5</c:v>
                  </c:pt>
                  <c:pt idx="12">
                    <c:v>SSP1</c:v>
                  </c:pt>
                  <c:pt idx="13">
                    <c:v>SSP2</c:v>
                  </c:pt>
                  <c:pt idx="14">
                    <c:v>SSP3</c:v>
                  </c:pt>
                  <c:pt idx="15">
                    <c:v>SSP5</c:v>
                  </c:pt>
                  <c:pt idx="16">
                    <c:v>SSP1</c:v>
                  </c:pt>
                  <c:pt idx="17">
                    <c:v>SSP2</c:v>
                  </c:pt>
                  <c:pt idx="18">
                    <c:v>SSP3</c:v>
                  </c:pt>
                  <c:pt idx="19">
                    <c:v>SSP5</c:v>
                  </c:pt>
                  <c:pt idx="20">
                    <c:v>SSP1</c:v>
                  </c:pt>
                  <c:pt idx="21">
                    <c:v>SSP2</c:v>
                  </c:pt>
                  <c:pt idx="22">
                    <c:v>SSP3</c:v>
                  </c:pt>
                  <c:pt idx="23">
                    <c:v>SSP5</c:v>
                  </c:pt>
                </c:lvl>
                <c:lvl>
                  <c:pt idx="0">
                    <c:v>BUR</c:v>
                  </c:pt>
                  <c:pt idx="4">
                    <c:v>RSCV</c:v>
                  </c:pt>
                  <c:pt idx="8">
                    <c:v>SBSV</c:v>
                  </c:pt>
                  <c:pt idx="12">
                    <c:v>CSF</c:v>
                  </c:pt>
                  <c:pt idx="16">
                    <c:v>FLSSV</c:v>
                  </c:pt>
                  <c:pt idx="20">
                    <c:v>BS</c:v>
                  </c:pt>
                </c:lvl>
              </c:multiLvlStrCache>
            </c:multiLvlStrRef>
          </c:cat>
          <c:val>
            <c:numRef>
              <c:f>'9. Net Water Avail Vis'!$J$55:$AG$55</c:f>
              <c:numCache>
                <c:formatCode>General</c:formatCode>
                <c:ptCount val="24"/>
                <c:pt idx="0">
                  <c:v>-773.87716634693743</c:v>
                </c:pt>
                <c:pt idx="1">
                  <c:v>-87.719703308224652</c:v>
                </c:pt>
                <c:pt idx="2">
                  <c:v>-72.744237531007201</c:v>
                </c:pt>
                <c:pt idx="3">
                  <c:v>-106.18606366771294</c:v>
                </c:pt>
                <c:pt idx="4">
                  <c:v>-321.89829083499848</c:v>
                </c:pt>
                <c:pt idx="5">
                  <c:v>-5.8366643577618156</c:v>
                </c:pt>
                <c:pt idx="6">
                  <c:v>-4.3682131951347714</c:v>
                </c:pt>
                <c:pt idx="7">
                  <c:v>-7.7919413146287617</c:v>
                </c:pt>
                <c:pt idx="8">
                  <c:v>-234.16832232321809</c:v>
                </c:pt>
                <c:pt idx="9">
                  <c:v>11.545154578143318</c:v>
                </c:pt>
                <c:pt idx="10">
                  <c:v>12.526628268670343</c:v>
                </c:pt>
                <c:pt idx="11">
                  <c:v>10.352464036712675</c:v>
                </c:pt>
                <c:pt idx="12">
                  <c:v>-296.74916274003925</c:v>
                </c:pt>
                <c:pt idx="13">
                  <c:v>25.8508876032157</c:v>
                </c:pt>
                <c:pt idx="14">
                  <c:v>27.480552505670435</c:v>
                </c:pt>
                <c:pt idx="15">
                  <c:v>24.037124091218665</c:v>
                </c:pt>
                <c:pt idx="16">
                  <c:v>-193.82725498569431</c:v>
                </c:pt>
                <c:pt idx="17">
                  <c:v>30.149779222216484</c:v>
                </c:pt>
                <c:pt idx="18">
                  <c:v>32.962539504996933</c:v>
                </c:pt>
                <c:pt idx="19">
                  <c:v>26.607583540579824</c:v>
                </c:pt>
                <c:pt idx="20">
                  <c:v>-682.83949256699066</c:v>
                </c:pt>
                <c:pt idx="21">
                  <c:v>-10.882516371500101</c:v>
                </c:pt>
                <c:pt idx="22">
                  <c:v>4.744374551073677</c:v>
                </c:pt>
                <c:pt idx="23">
                  <c:v>-28.709827021502157</c:v>
                </c:pt>
              </c:numCache>
            </c:numRef>
          </c:val>
          <c:extLst>
            <c:ext xmlns:c16="http://schemas.microsoft.com/office/drawing/2014/chart" uri="{C3380CC4-5D6E-409C-BE32-E72D297353CC}">
              <c16:uniqueId val="{00000000-5565-CA41-B909-0983816C2587}"/>
            </c:ext>
          </c:extLst>
        </c:ser>
        <c:dLbls>
          <c:showLegendKey val="0"/>
          <c:showVal val="0"/>
          <c:showCatName val="0"/>
          <c:showSerName val="0"/>
          <c:showPercent val="0"/>
          <c:showBubbleSize val="0"/>
        </c:dLbls>
        <c:gapWidth val="219"/>
        <c:overlap val="-27"/>
        <c:axId val="1827269279"/>
        <c:axId val="447915999"/>
      </c:barChart>
      <c:lineChart>
        <c:grouping val="standard"/>
        <c:varyColors val="0"/>
        <c:ser>
          <c:idx val="0"/>
          <c:order val="0"/>
          <c:tx>
            <c:strRef>
              <c:f>'9. Net Water Avail Vis'!$A$54</c:f>
              <c:strCache>
                <c:ptCount val="1"/>
                <c:pt idx="0">
                  <c:v>p10</c:v>
                </c:pt>
              </c:strCache>
            </c:strRef>
          </c:tx>
          <c:spPr>
            <a:ln w="25400" cap="rnd">
              <a:noFill/>
              <a:round/>
            </a:ln>
            <a:effectLst/>
          </c:spPr>
          <c:marker>
            <c:symbol val="circle"/>
            <c:size val="5"/>
            <c:spPr>
              <a:solidFill>
                <a:schemeClr val="accent1"/>
              </a:solidFill>
              <a:ln w="9525">
                <a:solidFill>
                  <a:schemeClr val="accent1"/>
                </a:solidFill>
              </a:ln>
              <a:effectLst/>
            </c:spPr>
          </c:marker>
          <c:cat>
            <c:multiLvlStrRef>
              <c:f>'9. Net Water Avail Vis'!$J$14:$AG$15</c:f>
              <c:multiLvlStrCache>
                <c:ptCount val="24"/>
                <c:lvl>
                  <c:pt idx="0">
                    <c:v>SSP1</c:v>
                  </c:pt>
                  <c:pt idx="1">
                    <c:v>SSP2</c:v>
                  </c:pt>
                  <c:pt idx="2">
                    <c:v>SSP3</c:v>
                  </c:pt>
                  <c:pt idx="3">
                    <c:v>SSP5</c:v>
                  </c:pt>
                  <c:pt idx="4">
                    <c:v>SSP1</c:v>
                  </c:pt>
                  <c:pt idx="5">
                    <c:v>SSP2</c:v>
                  </c:pt>
                  <c:pt idx="6">
                    <c:v>SSP3</c:v>
                  </c:pt>
                  <c:pt idx="7">
                    <c:v>SSP5</c:v>
                  </c:pt>
                  <c:pt idx="8">
                    <c:v>SSP1</c:v>
                  </c:pt>
                  <c:pt idx="9">
                    <c:v>SSP2</c:v>
                  </c:pt>
                  <c:pt idx="10">
                    <c:v>SSP3</c:v>
                  </c:pt>
                  <c:pt idx="11">
                    <c:v>SSP5</c:v>
                  </c:pt>
                  <c:pt idx="12">
                    <c:v>SSP1</c:v>
                  </c:pt>
                  <c:pt idx="13">
                    <c:v>SSP2</c:v>
                  </c:pt>
                  <c:pt idx="14">
                    <c:v>SSP3</c:v>
                  </c:pt>
                  <c:pt idx="15">
                    <c:v>SSP5</c:v>
                  </c:pt>
                  <c:pt idx="16">
                    <c:v>SSP1</c:v>
                  </c:pt>
                  <c:pt idx="17">
                    <c:v>SSP2</c:v>
                  </c:pt>
                  <c:pt idx="18">
                    <c:v>SSP3</c:v>
                  </c:pt>
                  <c:pt idx="19">
                    <c:v>SSP5</c:v>
                  </c:pt>
                  <c:pt idx="20">
                    <c:v>SSP1</c:v>
                  </c:pt>
                  <c:pt idx="21">
                    <c:v>SSP2</c:v>
                  </c:pt>
                  <c:pt idx="22">
                    <c:v>SSP3</c:v>
                  </c:pt>
                  <c:pt idx="23">
                    <c:v>SSP5</c:v>
                  </c:pt>
                </c:lvl>
                <c:lvl>
                  <c:pt idx="0">
                    <c:v>BUR</c:v>
                  </c:pt>
                  <c:pt idx="4">
                    <c:v>RSCV</c:v>
                  </c:pt>
                  <c:pt idx="8">
                    <c:v>SBSV</c:v>
                  </c:pt>
                  <c:pt idx="12">
                    <c:v>CSF</c:v>
                  </c:pt>
                  <c:pt idx="16">
                    <c:v>FLSSV</c:v>
                  </c:pt>
                  <c:pt idx="20">
                    <c:v>BS</c:v>
                  </c:pt>
                </c:lvl>
              </c:multiLvlStrCache>
            </c:multiLvlStrRef>
          </c:cat>
          <c:val>
            <c:numRef>
              <c:f>'9. Net Water Avail Vis'!$J$54:$AG$54</c:f>
              <c:numCache>
                <c:formatCode>General</c:formatCode>
                <c:ptCount val="24"/>
                <c:pt idx="0" formatCode="0">
                  <c:v>-298.5032133414436</c:v>
                </c:pt>
                <c:pt idx="1">
                  <c:v>-84.169978983109132</c:v>
                </c:pt>
                <c:pt idx="2">
                  <c:v>-72.128540863043611</c:v>
                </c:pt>
                <c:pt idx="3">
                  <c:v>-99.350946618793472</c:v>
                </c:pt>
                <c:pt idx="4" formatCode="0">
                  <c:v>-153.46171985636806</c:v>
                </c:pt>
                <c:pt idx="5">
                  <c:v>-5.0238041116980234</c:v>
                </c:pt>
                <c:pt idx="6">
                  <c:v>-3.7999945692169703</c:v>
                </c:pt>
                <c:pt idx="7">
                  <c:v>-6.7084378328787615</c:v>
                </c:pt>
                <c:pt idx="8" formatCode="0">
                  <c:v>-114.23099937028776</c:v>
                </c:pt>
                <c:pt idx="9">
                  <c:v>-2.5605050016104656</c:v>
                </c:pt>
                <c:pt idx="10">
                  <c:v>-1.6867344202283974</c:v>
                </c:pt>
                <c:pt idx="11">
                  <c:v>-3.6427334938919955</c:v>
                </c:pt>
                <c:pt idx="12" formatCode="0">
                  <c:v>-139.84281638131284</c:v>
                </c:pt>
                <c:pt idx="13">
                  <c:v>7.8255950836504278</c:v>
                </c:pt>
                <c:pt idx="14">
                  <c:v>9.3729583790763584</c:v>
                </c:pt>
                <c:pt idx="15">
                  <c:v>6.5263517529376065</c:v>
                </c:pt>
                <c:pt idx="16" formatCode="0">
                  <c:v>-89.507057150584558</c:v>
                </c:pt>
                <c:pt idx="17">
                  <c:v>16.487392729500108</c:v>
                </c:pt>
                <c:pt idx="18">
                  <c:v>18.783039662144368</c:v>
                </c:pt>
                <c:pt idx="19">
                  <c:v>13.914655703499692</c:v>
                </c:pt>
                <c:pt idx="20" formatCode="0">
                  <c:v>-261.05350029855089</c:v>
                </c:pt>
                <c:pt idx="21">
                  <c:v>-47.323082617814983</c:v>
                </c:pt>
                <c:pt idx="22">
                  <c:v>-34.859245656488163</c:v>
                </c:pt>
                <c:pt idx="23">
                  <c:v>-61.521340843897093</c:v>
                </c:pt>
              </c:numCache>
            </c:numRef>
          </c:val>
          <c:smooth val="0"/>
          <c:extLst>
            <c:ext xmlns:c16="http://schemas.microsoft.com/office/drawing/2014/chart" uri="{C3380CC4-5D6E-409C-BE32-E72D297353CC}">
              <c16:uniqueId val="{00000001-5565-CA41-B909-0983816C2587}"/>
            </c:ext>
          </c:extLst>
        </c:ser>
        <c:ser>
          <c:idx val="2"/>
          <c:order val="2"/>
          <c:tx>
            <c:strRef>
              <c:f>'9. Net Water Avail Vis'!$A$56</c:f>
              <c:strCache>
                <c:ptCount val="1"/>
                <c:pt idx="0">
                  <c:v>p90</c:v>
                </c:pt>
              </c:strCache>
            </c:strRef>
          </c:tx>
          <c:spPr>
            <a:ln w="25400" cap="rnd">
              <a:noFill/>
              <a:round/>
            </a:ln>
            <a:effectLst/>
          </c:spPr>
          <c:marker>
            <c:symbol val="circle"/>
            <c:size val="5"/>
            <c:spPr>
              <a:solidFill>
                <a:schemeClr val="accent3"/>
              </a:solidFill>
              <a:ln w="9525">
                <a:solidFill>
                  <a:schemeClr val="accent3"/>
                </a:solidFill>
              </a:ln>
              <a:effectLst/>
            </c:spPr>
          </c:marker>
          <c:cat>
            <c:multiLvlStrRef>
              <c:f>'9. Net Water Avail Vis'!$J$14:$AG$15</c:f>
              <c:multiLvlStrCache>
                <c:ptCount val="24"/>
                <c:lvl>
                  <c:pt idx="0">
                    <c:v>SSP1</c:v>
                  </c:pt>
                  <c:pt idx="1">
                    <c:v>SSP2</c:v>
                  </c:pt>
                  <c:pt idx="2">
                    <c:v>SSP3</c:v>
                  </c:pt>
                  <c:pt idx="3">
                    <c:v>SSP5</c:v>
                  </c:pt>
                  <c:pt idx="4">
                    <c:v>SSP1</c:v>
                  </c:pt>
                  <c:pt idx="5">
                    <c:v>SSP2</c:v>
                  </c:pt>
                  <c:pt idx="6">
                    <c:v>SSP3</c:v>
                  </c:pt>
                  <c:pt idx="7">
                    <c:v>SSP5</c:v>
                  </c:pt>
                  <c:pt idx="8">
                    <c:v>SSP1</c:v>
                  </c:pt>
                  <c:pt idx="9">
                    <c:v>SSP2</c:v>
                  </c:pt>
                  <c:pt idx="10">
                    <c:v>SSP3</c:v>
                  </c:pt>
                  <c:pt idx="11">
                    <c:v>SSP5</c:v>
                  </c:pt>
                  <c:pt idx="12">
                    <c:v>SSP1</c:v>
                  </c:pt>
                  <c:pt idx="13">
                    <c:v>SSP2</c:v>
                  </c:pt>
                  <c:pt idx="14">
                    <c:v>SSP3</c:v>
                  </c:pt>
                  <c:pt idx="15">
                    <c:v>SSP5</c:v>
                  </c:pt>
                  <c:pt idx="16">
                    <c:v>SSP1</c:v>
                  </c:pt>
                  <c:pt idx="17">
                    <c:v>SSP2</c:v>
                  </c:pt>
                  <c:pt idx="18">
                    <c:v>SSP3</c:v>
                  </c:pt>
                  <c:pt idx="19">
                    <c:v>SSP5</c:v>
                  </c:pt>
                  <c:pt idx="20">
                    <c:v>SSP1</c:v>
                  </c:pt>
                  <c:pt idx="21">
                    <c:v>SSP2</c:v>
                  </c:pt>
                  <c:pt idx="22">
                    <c:v>SSP3</c:v>
                  </c:pt>
                  <c:pt idx="23">
                    <c:v>SSP5</c:v>
                  </c:pt>
                </c:lvl>
                <c:lvl>
                  <c:pt idx="0">
                    <c:v>BUR</c:v>
                  </c:pt>
                  <c:pt idx="4">
                    <c:v>RSCV</c:v>
                  </c:pt>
                  <c:pt idx="8">
                    <c:v>SBSV</c:v>
                  </c:pt>
                  <c:pt idx="12">
                    <c:v>CSF</c:v>
                  </c:pt>
                  <c:pt idx="16">
                    <c:v>FLSSV</c:v>
                  </c:pt>
                  <c:pt idx="20">
                    <c:v>BS</c:v>
                  </c:pt>
                </c:lvl>
              </c:multiLvlStrCache>
            </c:multiLvlStrRef>
          </c:cat>
          <c:val>
            <c:numRef>
              <c:f>'9. Net Water Avail Vis'!$J$56:$AG$56</c:f>
              <c:numCache>
                <c:formatCode>General</c:formatCode>
                <c:ptCount val="24"/>
                <c:pt idx="0">
                  <c:v>-1538.245666816116</c:v>
                </c:pt>
                <c:pt idx="1">
                  <c:v>-96.559452064661315</c:v>
                </c:pt>
                <c:pt idx="2">
                  <c:v>-78.240468751578149</c:v>
                </c:pt>
                <c:pt idx="3">
                  <c:v>-118.65761014942456</c:v>
                </c:pt>
                <c:pt idx="4">
                  <c:v>-614.18324982264141</c:v>
                </c:pt>
                <c:pt idx="5">
                  <c:v>-19.187782555003515</c:v>
                </c:pt>
                <c:pt idx="6">
                  <c:v>-17.178777605506582</c:v>
                </c:pt>
                <c:pt idx="7">
                  <c:v>-21.365174106325711</c:v>
                </c:pt>
                <c:pt idx="8">
                  <c:v>-444.69540699820993</c:v>
                </c:pt>
                <c:pt idx="9">
                  <c:v>17.149826939855764</c:v>
                </c:pt>
                <c:pt idx="10">
                  <c:v>18.481119943816758</c:v>
                </c:pt>
                <c:pt idx="11">
                  <c:v>15.518357037569565</c:v>
                </c:pt>
                <c:pt idx="12">
                  <c:v>-541.20957701885914</c:v>
                </c:pt>
                <c:pt idx="13">
                  <c:v>55.217641906532748</c:v>
                </c:pt>
                <c:pt idx="14">
                  <c:v>57.019478516346574</c:v>
                </c:pt>
                <c:pt idx="15">
                  <c:v>53.093759918541608</c:v>
                </c:pt>
                <c:pt idx="16">
                  <c:v>-364.5290961526631</c:v>
                </c:pt>
                <c:pt idx="17">
                  <c:v>52.149499779574569</c:v>
                </c:pt>
                <c:pt idx="18">
                  <c:v>55.580324617733091</c:v>
                </c:pt>
                <c:pt idx="19">
                  <c:v>47.804440892375531</c:v>
                </c:pt>
                <c:pt idx="20">
                  <c:v>-1382.3900653468606</c:v>
                </c:pt>
                <c:pt idx="21">
                  <c:v>43.036607964604315</c:v>
                </c:pt>
                <c:pt idx="22">
                  <c:v>61.333632198037982</c:v>
                </c:pt>
                <c:pt idx="23">
                  <c:v>20.372287350092805</c:v>
                </c:pt>
              </c:numCache>
            </c:numRef>
          </c:val>
          <c:smooth val="0"/>
          <c:extLst>
            <c:ext xmlns:c16="http://schemas.microsoft.com/office/drawing/2014/chart" uri="{C3380CC4-5D6E-409C-BE32-E72D297353CC}">
              <c16:uniqueId val="{00000002-5565-CA41-B909-0983816C2587}"/>
            </c:ext>
          </c:extLst>
        </c:ser>
        <c:dLbls>
          <c:showLegendKey val="0"/>
          <c:showVal val="0"/>
          <c:showCatName val="0"/>
          <c:showSerName val="0"/>
          <c:showPercent val="0"/>
          <c:showBubbleSize val="0"/>
        </c:dLbls>
        <c:marker val="1"/>
        <c:smooth val="0"/>
        <c:axId val="1827269279"/>
        <c:axId val="447915999"/>
      </c:lineChart>
      <c:catAx>
        <c:axId val="182726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yriad Pro" panose="020B0503030403090204" pitchFamily="34" charset="0"/>
                <a:ea typeface="+mn-ea"/>
                <a:cs typeface="+mn-cs"/>
              </a:defRPr>
            </a:pPr>
            <a:endParaRPr lang="en-US"/>
          </a:p>
        </c:txPr>
        <c:crossAx val="447915999"/>
        <c:crosses val="autoZero"/>
        <c:auto val="1"/>
        <c:lblAlgn val="ctr"/>
        <c:lblOffset val="100"/>
        <c:noMultiLvlLbl val="0"/>
      </c:catAx>
      <c:valAx>
        <c:axId val="447915999"/>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yriad Pro" panose="020B0503030403090204" pitchFamily="34" charset="0"/>
                <a:ea typeface="+mn-ea"/>
                <a:cs typeface="+mn-cs"/>
              </a:defRPr>
            </a:pPr>
            <a:endParaRPr lang="en-US"/>
          </a:p>
        </c:txPr>
        <c:crossAx val="182726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64</xdr:col>
      <xdr:colOff>128156</xdr:colOff>
      <xdr:row>54</xdr:row>
      <xdr:rowOff>96694</xdr:rowOff>
    </xdr:from>
    <xdr:to>
      <xdr:col>69</xdr:col>
      <xdr:colOff>745297</xdr:colOff>
      <xdr:row>70</xdr:row>
      <xdr:rowOff>35540</xdr:rowOff>
    </xdr:to>
    <xdr:graphicFrame macro="">
      <xdr:nvGraphicFramePr>
        <xdr:cNvPr id="7" name="Chart 6">
          <a:extLst>
            <a:ext uri="{FF2B5EF4-FFF2-40B4-BE49-F238E27FC236}">
              <a16:creationId xmlns:a16="http://schemas.microsoft.com/office/drawing/2014/main" id="{DD170F41-BA52-2249-A814-6BE372999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51C308-9E85-5447-A817-84A7FCC56F45}">
  <we:reference id="1e10eb66-9ba2-46e3-84ee-57e2a49831f0" version="3.0.0.1" store="EXCatalog" storeType="EXCatalog"/>
  <we:alternateReferences>
    <we:reference id="WA104100404" version="3.0.0.1" store="en-US" storeType="OMEX"/>
  </we:alternateReferences>
  <we:properties>
    <we:property name="UniqueID" value="&quot;2025731754246535094&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3" Type="http://schemas.openxmlformats.org/officeDocument/2006/relationships/hyperlink" Target="https://wp-pureenergyminerals-2023.s3.ca-central-1.amazonaws.com/media/2018/04/PureEnergy_ClaytonValleyPEA_Rev1_23March2018.pdf" TargetMode="External"/><Relationship Id="rId18" Type="http://schemas.openxmlformats.org/officeDocument/2006/relationships/hyperlink" Target="https://www.austroidcorp.com/posts-projects/nevada-lithium-project" TargetMode="External"/><Relationship Id="rId26" Type="http://schemas.openxmlformats.org/officeDocument/2006/relationships/hyperlink" Target="https://americanlithiumcorp.com/wp-content/uploads/2023/05/PEA-Report-TLC.pdf" TargetMode="External"/><Relationship Id="rId3" Type="http://schemas.openxmlformats.org/officeDocument/2006/relationships/hyperlink" Target="https://www.sciencedirect.com/science/article/pii/S0921344922004670?via%3Dihub" TargetMode="External"/><Relationship Id="rId21" Type="http://schemas.openxmlformats.org/officeDocument/2006/relationships/hyperlink" Target="https://www.ansonresources.com/paradox_lithium_project/" TargetMode="External"/><Relationship Id="rId34" Type="http://schemas.openxmlformats.org/officeDocument/2006/relationships/hyperlink" Target="https://www.sciencedirect.com/science/article/pii/S0959652624015567" TargetMode="External"/><Relationship Id="rId7" Type="http://schemas.openxmlformats.org/officeDocument/2006/relationships/hyperlink" Target="https://www.sciencedirect.com/science/article/pii/S2352550924003208" TargetMode="External"/><Relationship Id="rId12" Type="http://schemas.openxmlformats.org/officeDocument/2006/relationships/hyperlink" Target="https://nevadalithium.com/wp-content/uploads/2024/12/Bonnie-Claire_MRE-Technical-Report.pdf" TargetMode="External"/><Relationship Id="rId17" Type="http://schemas.openxmlformats.org/officeDocument/2006/relationships/hyperlink" Target="https://s203.q4cdn.com/835901927/files/doc_financials/2023/ar/NewLAC-ThackerPassFeasibilityStudyNI43-101-October2023.pdf" TargetMode="External"/><Relationship Id="rId25" Type="http://schemas.openxmlformats.org/officeDocument/2006/relationships/hyperlink" Target="https://d1io3yog0oux5.cloudfront.net/_eb6382573a303ca3bd820e96a6747e7d/standardlithium/files/pages/standardlithium/db/369/description/South_West_Arkansas_Project_-_Pre-Feasibility_Study_2023.09.18.pdf" TargetMode="External"/><Relationship Id="rId33" Type="http://schemas.openxmlformats.org/officeDocument/2006/relationships/hyperlink" Target="https://www.sciencedirect.com/science/article/pii/S0959652624015567" TargetMode="External"/><Relationship Id="rId2" Type="http://schemas.openxmlformats.org/officeDocument/2006/relationships/hyperlink" Target="https://www.sciencedirect.com/science/article/pii/S0921344921003712?via%3Dihub" TargetMode="External"/><Relationship Id="rId16" Type="http://schemas.openxmlformats.org/officeDocument/2006/relationships/hyperlink" Target="https://www.sec.gov/Archives/edgar/data/915913/000091591322000079/alb-20211231.htm" TargetMode="External"/><Relationship Id="rId20" Type="http://schemas.openxmlformats.org/officeDocument/2006/relationships/hyperlink" Target="https://www.adelaydeexp.com/wp-content/uploads/2022/06/MLC-Deposit-NI-43-101-Final-TR_6-17-2022.pdf" TargetMode="External"/><Relationship Id="rId29" Type="http://schemas.openxmlformats.org/officeDocument/2006/relationships/hyperlink" Target="https://noramlithiumcorp.com/site/assets/files/4051/may-15-2024-updated-mineral-resource-estimate-zeus-lithium-project.pdf" TargetMode="External"/><Relationship Id="rId1" Type="http://schemas.openxmlformats.org/officeDocument/2006/relationships/hyperlink" Target="https://www.nature.com/articles/s43247-020-00080-9" TargetMode="External"/><Relationship Id="rId6" Type="http://schemas.openxmlformats.org/officeDocument/2006/relationships/hyperlink" Target="https://www.sciencedirect.com/science/article/pii/S0921344922004670?via%3Dihub" TargetMode="External"/><Relationship Id="rId11" Type="http://schemas.openxmlformats.org/officeDocument/2006/relationships/hyperlink" Target="https://nevadalithium.com/wp-content/uploads/2024/12/Bonnie-Claire_MRE-Technical-Report.pdf" TargetMode="External"/><Relationship Id="rId24" Type="http://schemas.openxmlformats.org/officeDocument/2006/relationships/hyperlink" Target="https://www.sec.gov/Archives/edgar/data/915913/000091591323000037/exhibit9631231202210-k.htm" TargetMode="External"/><Relationship Id="rId32" Type="http://schemas.openxmlformats.org/officeDocument/2006/relationships/hyperlink" Target="https://pubs.acs.org/doi/10.1021/acs.est.4c12619" TargetMode="External"/><Relationship Id="rId5" Type="http://schemas.openxmlformats.org/officeDocument/2006/relationships/hyperlink" Target="https://www.sciencedirect.com/science/article/pii/S0921344921003712?via%3Dihub" TargetMode="External"/><Relationship Id="rId15" Type="http://schemas.openxmlformats.org/officeDocument/2006/relationships/hyperlink" Target="https://panam-energy.com/wp-content/uploads/2024/01/NI-43-101-TR-Pan-American_Horizon-Lithium_January_2024.pdf" TargetMode="External"/><Relationship Id="rId23" Type="http://schemas.openxmlformats.org/officeDocument/2006/relationships/hyperlink" Target="https://www.sec.gov/Archives/edgar/data/1896084/000114036121040692/filename5.htm" TargetMode="External"/><Relationship Id="rId28" Type="http://schemas.openxmlformats.org/officeDocument/2006/relationships/hyperlink" Target="https://enertopia.com/wp-content/uploads/2023/11/Enertopia-NI-43-101-MRE-Techical-Report-Nov2023.pdf" TargetMode="External"/><Relationship Id="rId10" Type="http://schemas.openxmlformats.org/officeDocument/2006/relationships/hyperlink" Target="https://www.arizonalithium.com/projects/big-sandy-lithium/" TargetMode="External"/><Relationship Id="rId19" Type="http://schemas.openxmlformats.org/officeDocument/2006/relationships/hyperlink" Target="https://www.listcorp.com/asx/jll/jindalee-lithium-limited/news/mcdermitt-lithium-project-pre-feasibility-study-3117597.html" TargetMode="External"/><Relationship Id="rId31" Type="http://schemas.openxmlformats.org/officeDocument/2006/relationships/hyperlink" Target="https://www.sciencedirect.com/science/article/pii/S0921344925001508" TargetMode="External"/><Relationship Id="rId4" Type="http://schemas.openxmlformats.org/officeDocument/2006/relationships/hyperlink" Target="https://www.sciencedirect.com/science/article/pii/S0921344922004451?via%3Dihub" TargetMode="External"/><Relationship Id="rId9" Type="http://schemas.openxmlformats.org/officeDocument/2006/relationships/hyperlink" Target="https://www.braddaheadltd.com/investors" TargetMode="External"/><Relationship Id="rId14" Type="http://schemas.openxmlformats.org/officeDocument/2006/relationships/hyperlink" Target="https://authium.com.au/project/" TargetMode="External"/><Relationship Id="rId22" Type="http://schemas.openxmlformats.org/officeDocument/2006/relationships/hyperlink" Target="https://minedocs.com/28/Carolina-Lithium-TRS-FS-10202021.pdf" TargetMode="External"/><Relationship Id="rId27" Type="http://schemas.openxmlformats.org/officeDocument/2006/relationships/hyperlink" Target="https://americanbatterytechnology.com/wp-content/uploads/ABTC-TonopahFlats-MII-Resource-Update-IA-Report-Apr-2024.pdf" TargetMode="External"/><Relationship Id="rId30" Type="http://schemas.openxmlformats.org/officeDocument/2006/relationships/hyperlink" Target="https://www.sciencedirect.com/science/article/pii/S0959652624024041" TargetMode="External"/><Relationship Id="rId8" Type="http://schemas.openxmlformats.org/officeDocument/2006/relationships/hyperlink" Target="https://www.centurylithium.com/_resources/technical-reports/252456-0000-BA00-RPT-0003_ClaytonValley_NI%2043-101_12June2024.pdf?v=071409"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ciencedirect.com/science/article/pii/S0921344925001508" TargetMode="External"/><Relationship Id="rId13" Type="http://schemas.openxmlformats.org/officeDocument/2006/relationships/hyperlink" Target="https://pubs.acs.org/doi/10.1021/acs.est.4c12619" TargetMode="External"/><Relationship Id="rId18" Type="http://schemas.openxmlformats.org/officeDocument/2006/relationships/hyperlink" Target="https://www.sciencedirect.com/science/article/pii/S1364032124001795" TargetMode="External"/><Relationship Id="rId26" Type="http://schemas.openxmlformats.org/officeDocument/2006/relationships/hyperlink" Target="https://pubs.acs.org/doi/10.1021/acs.est.4c12619" TargetMode="External"/><Relationship Id="rId3" Type="http://schemas.openxmlformats.org/officeDocument/2006/relationships/hyperlink" Target="https://www.sciencedirect.com/science/article/pii/S0921344922004670?via%3Dihub" TargetMode="External"/><Relationship Id="rId21" Type="http://schemas.openxmlformats.org/officeDocument/2006/relationships/hyperlink" Target="https://iopscience.iop.org/article/10.1088/1748-9326/ad6a73" TargetMode="External"/><Relationship Id="rId7" Type="http://schemas.openxmlformats.org/officeDocument/2006/relationships/hyperlink" Target="https://www.sciencedirect.com/science/article/pii/S0959652624024041" TargetMode="External"/><Relationship Id="rId12" Type="http://schemas.openxmlformats.org/officeDocument/2006/relationships/hyperlink" Target="https://www.sciencedirect.com/science/article/pii/S0921344922004670?via%3Dihub" TargetMode="External"/><Relationship Id="rId17" Type="http://schemas.openxmlformats.org/officeDocument/2006/relationships/hyperlink" Target="https://www.sciencedirect.com/science/article/pii/S0959652624015567" TargetMode="External"/><Relationship Id="rId25" Type="http://schemas.openxmlformats.org/officeDocument/2006/relationships/hyperlink" Target="https://www.sciencedirect.com/science/article/pii/S0959652624040848" TargetMode="External"/><Relationship Id="rId2" Type="http://schemas.openxmlformats.org/officeDocument/2006/relationships/hyperlink" Target="https://www.sciencedirect.com/science/article/pii/S0921344922004670?via%3Dihub" TargetMode="External"/><Relationship Id="rId16" Type="http://schemas.openxmlformats.org/officeDocument/2006/relationships/hyperlink" Target="https://pubs.acs.org/doi/10.1021/acs.est.4c12619" TargetMode="External"/><Relationship Id="rId20" Type="http://schemas.openxmlformats.org/officeDocument/2006/relationships/hyperlink" Target="https://pubs.acs.org/doi/10.1021/acssuschemeng.0c08733" TargetMode="External"/><Relationship Id="rId1" Type="http://schemas.openxmlformats.org/officeDocument/2006/relationships/hyperlink" Target="https://www.nature.com/articles/s43247-020-00080-9" TargetMode="External"/><Relationship Id="rId6" Type="http://schemas.openxmlformats.org/officeDocument/2006/relationships/hyperlink" Target="https://www.sciencedirect.com/science/article/pii/S2352550924003208" TargetMode="External"/><Relationship Id="rId11" Type="http://schemas.openxmlformats.org/officeDocument/2006/relationships/hyperlink" Target="https://www.sciencedirect.com/science/article/pii/S0921344925001508" TargetMode="External"/><Relationship Id="rId24" Type="http://schemas.openxmlformats.org/officeDocument/2006/relationships/hyperlink" Target="https://www.sciencedirect.com/science/article/pii/S2667010024001288" TargetMode="External"/><Relationship Id="rId5" Type="http://schemas.openxmlformats.org/officeDocument/2006/relationships/hyperlink" Target="https://www.sciencedirect.com/science/article/pii/S2352550924003208" TargetMode="External"/><Relationship Id="rId15" Type="http://schemas.openxmlformats.org/officeDocument/2006/relationships/hyperlink" Target="https://www.sciencedirect.com/science/article/pii/S240584402500903X?via%3Dihub" TargetMode="External"/><Relationship Id="rId23" Type="http://schemas.openxmlformats.org/officeDocument/2006/relationships/hyperlink" Target="https://pubs.acs.org/doi/10.1021/acs.est.4c12619" TargetMode="External"/><Relationship Id="rId10" Type="http://schemas.openxmlformats.org/officeDocument/2006/relationships/hyperlink" Target="https://www.sciencedirect.com/science/article/pii/S0959652624024041" TargetMode="External"/><Relationship Id="rId19" Type="http://schemas.openxmlformats.org/officeDocument/2006/relationships/hyperlink" Target="https://advancedthermo.com/electrolytes/density_LiCl.html" TargetMode="External"/><Relationship Id="rId4" Type="http://schemas.openxmlformats.org/officeDocument/2006/relationships/hyperlink" Target="https://www.sciencedirect.com/science/article/pii/S0921344922004451?via%3Dihub" TargetMode="External"/><Relationship Id="rId9" Type="http://schemas.openxmlformats.org/officeDocument/2006/relationships/hyperlink" Target="https://www.nature.com/articles/s43247-020-00080-9" TargetMode="External"/><Relationship Id="rId14" Type="http://schemas.openxmlformats.org/officeDocument/2006/relationships/hyperlink" Target="https://www.nature.com/articles/s43017-022-00387-5" TargetMode="External"/><Relationship Id="rId22" Type="http://schemas.openxmlformats.org/officeDocument/2006/relationships/hyperlink" Target="https://www.sciencedirect.com/science/article/pii/S0959652624040848" TargetMode="External"/><Relationship Id="rId27" Type="http://schemas.openxmlformats.org/officeDocument/2006/relationships/hyperlink" Target="https://www.sciencedirect.com/science/article/pii/S1364032124001795"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adelaydeexp.com/wp-content/uploads/2022/06/MLC-Deposit-NI-43-101-Final-TR_6-17-2022.pdf" TargetMode="External"/><Relationship Id="rId18" Type="http://schemas.openxmlformats.org/officeDocument/2006/relationships/hyperlink" Target="https://d1io3yog0oux5.cloudfront.net/_eb6382573a303ca3bd820e96a6747e7d/standardlithium/files/pages/standardlithium/db/369/description/South_West_Arkansas_Project_-_Pre-Feasibility_Study_2023.09.18.pdf" TargetMode="External"/><Relationship Id="rId26" Type="http://schemas.openxmlformats.org/officeDocument/2006/relationships/hyperlink" Target="https://www.listcorp.com/asx/fbm/future-battery-minerals-limited/news/outstanding-maiden-mineral-resource-at-nevada-li-project-3018961.html" TargetMode="External"/><Relationship Id="rId39" Type="http://schemas.openxmlformats.org/officeDocument/2006/relationships/hyperlink" Target="https://wp-pureenergyminerals-2023.s3.ca-central-1.amazonaws.com/media/2018/04/PureEnergy_ClaytonValleyPEA_Rev1_23March2018.pdf" TargetMode="External"/><Relationship Id="rId21" Type="http://schemas.openxmlformats.org/officeDocument/2006/relationships/hyperlink" Target="https://americanbatterytechnology.com/wp-content/uploads/ABTC-TonopahFlats-MII-Resource-Update-IA-Report-Apr-2024.pdf" TargetMode="External"/><Relationship Id="rId34" Type="http://schemas.openxmlformats.org/officeDocument/2006/relationships/hyperlink" Target="https://www.sec.gov/Archives/edgar/data/915913/000091591323000037/exhibit9631231202210-k.htm" TargetMode="External"/><Relationship Id="rId42" Type="http://schemas.openxmlformats.org/officeDocument/2006/relationships/hyperlink" Target="https://www.cthermal.com/latest-news/ctr-project-update" TargetMode="External"/><Relationship Id="rId47" Type="http://schemas.openxmlformats.org/officeDocument/2006/relationships/hyperlink" Target="https://www.energy.ca.gov/powerplant/steam-turbine/black-rock-geothermal-project-brgp" TargetMode="External"/><Relationship Id="rId7" Type="http://schemas.openxmlformats.org/officeDocument/2006/relationships/hyperlink" Target="https://authium.com.au/project/" TargetMode="External"/><Relationship Id="rId2" Type="http://schemas.openxmlformats.org/officeDocument/2006/relationships/hyperlink" Target="https://www.braddaheadltd.com/investors" TargetMode="External"/><Relationship Id="rId16" Type="http://schemas.openxmlformats.org/officeDocument/2006/relationships/hyperlink" Target="https://www.sec.gov/Archives/edgar/data/1896084/000114036121040692/filename5.htm" TargetMode="External"/><Relationship Id="rId29" Type="http://schemas.openxmlformats.org/officeDocument/2006/relationships/hyperlink" Target="https://www.sedarplus.ca/csa-party/records/document.html?id=1b42788af47d15b08b5a866bb584f91399b64a804deb8675d92ed561d813ea6e" TargetMode="External"/><Relationship Id="rId1" Type="http://schemas.openxmlformats.org/officeDocument/2006/relationships/hyperlink" Target="https://www.centurylithium.com/_resources/technical-reports/252456-0000-BA00-RPT-0003_ClaytonValley_NI%2043-101_12June2024.pdf?v=071409" TargetMode="External"/><Relationship Id="rId6" Type="http://schemas.openxmlformats.org/officeDocument/2006/relationships/hyperlink" Target="https://wp-pureenergyminerals-2023.s3.ca-central-1.amazonaws.com/media/2018/04/PureEnergy_ClaytonValleyPEA_Rev1_23March2018.pdf" TargetMode="External"/><Relationship Id="rId11" Type="http://schemas.openxmlformats.org/officeDocument/2006/relationships/hyperlink" Target="https://www.austroidcorp.com/posts-projects/nevada-lithium-project" TargetMode="External"/><Relationship Id="rId24" Type="http://schemas.openxmlformats.org/officeDocument/2006/relationships/hyperlink" Target="https://www.ioneer.com/investors/reserves-resources/" TargetMode="External"/><Relationship Id="rId32" Type="http://schemas.openxmlformats.org/officeDocument/2006/relationships/hyperlink" Target="https://americanbatterytechnology.com/wp-content/uploads/ABTC-TonopahFlats-MII-Resource-Update-IA-Report-Apr-2024.pdf" TargetMode="External"/><Relationship Id="rId37" Type="http://schemas.openxmlformats.org/officeDocument/2006/relationships/hyperlink" Target="https://lithiumamericas.com/thacker-pass/overview/default.aspx" TargetMode="External"/><Relationship Id="rId40" Type="http://schemas.openxmlformats.org/officeDocument/2006/relationships/hyperlink" Target="https://www.centurylithium.com/_resources/technical-reports/252456-0000-BA00-RPT-0003_ClaytonValley_NI%2043-101_12June2024.pdf?v=071409" TargetMode="External"/><Relationship Id="rId45" Type="http://schemas.openxmlformats.org/officeDocument/2006/relationships/hyperlink" Target="https://transform.ucsc.edu/wp-content/uploads/2022/12/Lithium-and-Geothermal-Resources.pdf" TargetMode="External"/><Relationship Id="rId5" Type="http://schemas.openxmlformats.org/officeDocument/2006/relationships/hyperlink" Target="https://nevadalithium.com/wp-content/uploads/2024/12/Bonnie-Claire_MRE-Technical-Report.pdf" TargetMode="External"/><Relationship Id="rId15" Type="http://schemas.openxmlformats.org/officeDocument/2006/relationships/hyperlink" Target="https://minedocs.com/28/Carolina-Lithium-TRS-FS-10202021.pdf" TargetMode="External"/><Relationship Id="rId23" Type="http://schemas.openxmlformats.org/officeDocument/2006/relationships/hyperlink" Target="https://noramlithiumcorp.com/site/assets/files/4051/may-15-2024-updated-mineral-resource-estimate-zeus-lithium-project.pdf" TargetMode="External"/><Relationship Id="rId28" Type="http://schemas.openxmlformats.org/officeDocument/2006/relationships/hyperlink" Target="https://nevadalithium.com/wp-content/uploads/2023/08/Bonnie-Claire_PEA-Technical-Report_02-25-2022.pdf" TargetMode="External"/><Relationship Id="rId36" Type="http://schemas.openxmlformats.org/officeDocument/2006/relationships/hyperlink" Target="https://www.listcorp.com/asx/jll/jindalee-lithium-limited/news/mcdermitt-lithium-project-pre-feasibility-study-3117597.html" TargetMode="External"/><Relationship Id="rId10" Type="http://schemas.openxmlformats.org/officeDocument/2006/relationships/hyperlink" Target="https://s203.q4cdn.com/835901927/files/doc_financials/2023/ar/NewLAC-ThackerPassFeasibilityStudyNI43-101-October2023.pdf" TargetMode="External"/><Relationship Id="rId19" Type="http://schemas.openxmlformats.org/officeDocument/2006/relationships/hyperlink" Target="https://www.standardlithium.com/projects/arkansas-smackover" TargetMode="External"/><Relationship Id="rId31" Type="http://schemas.openxmlformats.org/officeDocument/2006/relationships/hyperlink" Target="https://www.ansonresources.com/paradox_lithium_project/" TargetMode="External"/><Relationship Id="rId44" Type="http://schemas.openxmlformats.org/officeDocument/2006/relationships/hyperlink" Target="https://minedocs.com/28/Carolina-Lithium-TRS-FS-10202021.pdf" TargetMode="External"/><Relationship Id="rId4" Type="http://schemas.openxmlformats.org/officeDocument/2006/relationships/hyperlink" Target="https://nevadalithium.com/wp-content/uploads/2024/12/Bonnie-Claire_MRE-Technical-Report.pdf" TargetMode="External"/><Relationship Id="rId9" Type="http://schemas.openxmlformats.org/officeDocument/2006/relationships/hyperlink" Target="https://www.sec.gov/Archives/edgar/data/915913/000091591322000079/alb-20211231.htm" TargetMode="External"/><Relationship Id="rId14" Type="http://schemas.openxmlformats.org/officeDocument/2006/relationships/hyperlink" Target="https://www.ansonresources.com/paradox_lithium_project/" TargetMode="External"/><Relationship Id="rId22" Type="http://schemas.openxmlformats.org/officeDocument/2006/relationships/hyperlink" Target="https://enertopia.com/wp-content/uploads/2023/11/Enertopia-NI-43-101-MRE-Techical-Report-Nov2023.pdf" TargetMode="External"/><Relationship Id="rId27" Type="http://schemas.openxmlformats.org/officeDocument/2006/relationships/hyperlink" Target="https://www.osti.gov/servlets/purl/2202264" TargetMode="External"/><Relationship Id="rId30" Type="http://schemas.openxmlformats.org/officeDocument/2006/relationships/hyperlink" Target="https://americanlithiumcorp.com/wp-content/uploads/2023/05/PEA-Report-TLC.pdf" TargetMode="External"/><Relationship Id="rId35" Type="http://schemas.openxmlformats.org/officeDocument/2006/relationships/hyperlink" Target="https://www.sec.gov/Archives/edgar/data/1896084/000114036121040692/filename5.htm" TargetMode="External"/><Relationship Id="rId43" Type="http://schemas.openxmlformats.org/officeDocument/2006/relationships/hyperlink" Target="https://www.cthermal.com/latest-news/ctr-project-update" TargetMode="External"/><Relationship Id="rId8" Type="http://schemas.openxmlformats.org/officeDocument/2006/relationships/hyperlink" Target="https://panam-energy.com/wp-content/uploads/2024/01/NI-43-101-TR-Pan-American_Horizon-Lithium_January_2024.pdf" TargetMode="External"/><Relationship Id="rId3" Type="http://schemas.openxmlformats.org/officeDocument/2006/relationships/hyperlink" Target="https://www.arizonalithium.com/projects/big-sandy-lithium/" TargetMode="External"/><Relationship Id="rId12" Type="http://schemas.openxmlformats.org/officeDocument/2006/relationships/hyperlink" Target="https://www.listcorp.com/asx/jll/jindalee-lithium-limited/news/mcdermitt-lithium-project-pre-feasibility-study-3117597.html" TargetMode="External"/><Relationship Id="rId17" Type="http://schemas.openxmlformats.org/officeDocument/2006/relationships/hyperlink" Target="https://www.sec.gov/Archives/edgar/data/915913/000091591323000037/exhibit9631231202210-k.htm" TargetMode="External"/><Relationship Id="rId25" Type="http://schemas.openxmlformats.org/officeDocument/2006/relationships/hyperlink" Target="https://www.sec.gov/Archives/edgar/data/915913/000091591322000079/alb-20211231.htm" TargetMode="External"/><Relationship Id="rId33" Type="http://schemas.openxmlformats.org/officeDocument/2006/relationships/hyperlink" Target="https://d1io3yog0oux5.cloudfront.net/_eb6382573a303ca3bd820e96a6747e7d/standardlithium/files/pages/standardlithium/db/369/description/South_West_Arkansas_Project_-_Pre-Feasibility_Study_2023.09.18.pdf" TargetMode="External"/><Relationship Id="rId38" Type="http://schemas.openxmlformats.org/officeDocument/2006/relationships/hyperlink" Target="https://www.sec.gov/Archives/edgar/data/915913/000091591322000079/alb-20211231.htm" TargetMode="External"/><Relationship Id="rId46" Type="http://schemas.openxmlformats.org/officeDocument/2006/relationships/hyperlink" Target="https://transform.ucsc.edu/wp-content/uploads/2022/12/Lithium-and-Geothermal-Resources.pdf" TargetMode="External"/><Relationship Id="rId20" Type="http://schemas.openxmlformats.org/officeDocument/2006/relationships/hyperlink" Target="https://americanlithiumcorp.com/wp-content/uploads/2023/05/PEA-Report-TLC.pdf" TargetMode="External"/><Relationship Id="rId41" Type="http://schemas.openxmlformats.org/officeDocument/2006/relationships/hyperlink" Target="https://static1.squarespace.com/static/5bbc837993a6324308c97e9c/t/687056a2fe37b91bce12f174/1752192682812/250711_CTR+Brochure_Website.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mericanbatterytechnology.com/wp-content/uploads/ABTC-TonopahFlats-MII-Resource-Update-IA-Report-Apr-2024.pdf" TargetMode="External"/><Relationship Id="rId13" Type="http://schemas.openxmlformats.org/officeDocument/2006/relationships/hyperlink" Target="https://lithiumvalley.imperialcounty.org/wp-content/uploads/2024/04/Lithium-Valley-Specific-Plan-and-Program-Environmental-Impact-Report.pdf" TargetMode="External"/><Relationship Id="rId3" Type="http://schemas.openxmlformats.org/officeDocument/2006/relationships/hyperlink" Target="https://minedocs.com/28/Carolina-Lithium-TRS-FS-10202021.pdf" TargetMode="External"/><Relationship Id="rId7" Type="http://schemas.openxmlformats.org/officeDocument/2006/relationships/hyperlink" Target="https://americanlithiumcorp.com/wp-content/uploads/2023/05/PEA-Report-TLC.pdf" TargetMode="External"/><Relationship Id="rId12" Type="http://schemas.openxmlformats.org/officeDocument/2006/relationships/hyperlink" Target="https://wcsecure.weblink.com.au/pdf/ASN/02890607.pdf" TargetMode="External"/><Relationship Id="rId2" Type="http://schemas.openxmlformats.org/officeDocument/2006/relationships/hyperlink" Target="https://wp-pureenergyminerals-2023.s3.ca-central-1.amazonaws.com/media/2018/04/PureEnergy_ClaytonValleyPEA_Rev1_23March2018.pdf" TargetMode="External"/><Relationship Id="rId1" Type="http://schemas.openxmlformats.org/officeDocument/2006/relationships/hyperlink" Target="https://www.centurylithium.com/_resources/technical-reports/252456-0000-BA00-RPT-0003_ClaytonValley_NI%2043-101_12June2024.pdf?v=071409" TargetMode="External"/><Relationship Id="rId6" Type="http://schemas.openxmlformats.org/officeDocument/2006/relationships/hyperlink" Target="https://d1io3yog0oux5.cloudfront.net/_eb6382573a303ca3bd820e96a6747e7d/standardlithium/files/pages/standardlithium/db/369/description/South_West_Arkansas_Project_-_Pre-Feasibility_Study_2023.09.18.pdf" TargetMode="External"/><Relationship Id="rId11" Type="http://schemas.openxmlformats.org/officeDocument/2006/relationships/hyperlink" Target="https://nevadalithium.com/wp-content/uploads/2023/08/Bonnie-Claire_PEA-Technical-Report_02-25-2022.pdf" TargetMode="External"/><Relationship Id="rId5" Type="http://schemas.openxmlformats.org/officeDocument/2006/relationships/hyperlink" Target="https://www.sec.gov/Archives/edgar/data/915913/000091591323000037/exhibit9631231202210-k.htm" TargetMode="External"/><Relationship Id="rId10" Type="http://schemas.openxmlformats.org/officeDocument/2006/relationships/hyperlink" Target="https://s203.q4cdn.com/835901927/files/doc_financials/2023/ar/NewLAC-ThackerPassFeasibilityStudyNI43-101-October2023.pdf" TargetMode="External"/><Relationship Id="rId4" Type="http://schemas.openxmlformats.org/officeDocument/2006/relationships/hyperlink" Target="https://www.sec.gov/Archives/edgar/data/1896084/000114036121040692/filename5.htm" TargetMode="External"/><Relationship Id="rId9" Type="http://schemas.openxmlformats.org/officeDocument/2006/relationships/hyperlink" Target="https://noramlithiumcorp.com/site/assets/files/4051/may-15-2024-updated-mineral-resource-estimate-zeus-lithium-project.pdf" TargetMode="External"/><Relationship Id="rId14" Type="http://schemas.openxmlformats.org/officeDocument/2006/relationships/hyperlink" Target="https://lithiumvalley.imperialcounty.org/wp-content/uploads/2024/04/Lithium-Valley-Specific-Plan-and-Program-Environmental-Impact-Report.pd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investors.lithium-argentina.com/static-files/a17d5607-8680-4379-a5e7-d4d066a18f73" TargetMode="External"/><Relationship Id="rId2" Type="http://schemas.openxmlformats.org/officeDocument/2006/relationships/hyperlink" Target="https://ir.sqm.com/system/files-encrypted/nasdaq_kms/assets/2025/06/12/2-37-42/MEMORIA%20SQM%202024_eng.pdf" TargetMode="External"/><Relationship Id="rId1" Type="http://schemas.openxmlformats.org/officeDocument/2006/relationships/hyperlink" Target="https://static1.squarespace.com/static/5c0754e24611a07f1ab91992/t/68511903a861164b37ea16de/1750145313207/Talison+2024+Sustainability+Report+v2+WEB.pdf" TargetMode="External"/><Relationship Id="rId5" Type="http://schemas.openxmlformats.org/officeDocument/2006/relationships/hyperlink" Target="https://ir.sqm.com/system/files-encrypted/nasdaq_kms/assets/2025/06/12/2-37-42/MEMORIA%20SQM%202024_eng.pdf" TargetMode="External"/><Relationship Id="rId4" Type="http://schemas.openxmlformats.org/officeDocument/2006/relationships/hyperlink" Target="https://static1.squarespace.com/static/5c0754e24611a07f1ab91992/t/68511903a861164b37ea16de/1750145313207/Talison+2024+Sustainability+Report+v2+WEB.pd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hyperlink" Target="https://www.sciencedirect.com/science/article/pii/S0301420724007906" TargetMode="External"/><Relationship Id="rId1" Type="http://schemas.openxmlformats.org/officeDocument/2006/relationships/hyperlink" Target="https://www.sciencedirect.com/science/article/pii/S03014207240079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4E7EB-D0BE-CE4D-8D11-73FA65E39658}">
  <dimension ref="A3:D28"/>
  <sheetViews>
    <sheetView workbookViewId="0">
      <selection activeCell="E31" sqref="E31"/>
    </sheetView>
  </sheetViews>
  <sheetFormatPr baseColWidth="10" defaultRowHeight="15" x14ac:dyDescent="0.2"/>
  <cols>
    <col min="1" max="1" width="24.5" customWidth="1"/>
  </cols>
  <sheetData>
    <row r="3" spans="1:4" x14ac:dyDescent="0.2">
      <c r="A3" s="32" t="s">
        <v>589</v>
      </c>
    </row>
    <row r="5" spans="1:4" x14ac:dyDescent="0.2">
      <c r="A5" s="343"/>
    </row>
    <row r="6" spans="1:4" x14ac:dyDescent="0.2">
      <c r="A6" s="344"/>
    </row>
    <row r="7" spans="1:4" x14ac:dyDescent="0.2">
      <c r="A7" s="344"/>
    </row>
    <row r="8" spans="1:4" x14ac:dyDescent="0.2">
      <c r="A8" s="344"/>
    </row>
    <row r="9" spans="1:4" x14ac:dyDescent="0.2">
      <c r="A9" s="344"/>
    </row>
    <row r="14" spans="1:4" x14ac:dyDescent="0.2">
      <c r="A14" s="32" t="s">
        <v>581</v>
      </c>
    </row>
    <row r="15" spans="1:4" ht="16" thickBot="1" x14ac:dyDescent="0.25"/>
    <row r="16" spans="1:4" ht="16" thickBot="1" x14ac:dyDescent="0.25">
      <c r="A16" s="194" t="s">
        <v>552</v>
      </c>
      <c r="B16" s="195" t="s">
        <v>555</v>
      </c>
      <c r="C16" s="195" t="s">
        <v>553</v>
      </c>
      <c r="D16" s="196" t="s">
        <v>554</v>
      </c>
    </row>
    <row r="17" spans="1:4" x14ac:dyDescent="0.2">
      <c r="A17" s="211" t="s">
        <v>181</v>
      </c>
      <c r="B17" t="s">
        <v>556</v>
      </c>
      <c r="C17" t="s">
        <v>419</v>
      </c>
      <c r="D17" s="139">
        <v>16060011</v>
      </c>
    </row>
    <row r="18" spans="1:4" x14ac:dyDescent="0.2">
      <c r="A18" s="211" t="s">
        <v>182</v>
      </c>
      <c r="B18" t="s">
        <v>557</v>
      </c>
      <c r="C18" t="s">
        <v>418</v>
      </c>
      <c r="D18" s="139">
        <v>15030202</v>
      </c>
    </row>
    <row r="19" spans="1:4" x14ac:dyDescent="0.2">
      <c r="A19" s="211" t="s">
        <v>95</v>
      </c>
      <c r="B19" t="s">
        <v>557</v>
      </c>
      <c r="C19" t="s">
        <v>423</v>
      </c>
      <c r="D19" s="139">
        <v>15030201</v>
      </c>
    </row>
    <row r="20" spans="1:4" x14ac:dyDescent="0.2">
      <c r="A20" s="211" t="s">
        <v>193</v>
      </c>
      <c r="B20" t="s">
        <v>559</v>
      </c>
      <c r="C20" t="s">
        <v>539</v>
      </c>
      <c r="D20" s="139">
        <v>18100204</v>
      </c>
    </row>
    <row r="21" spans="1:4" x14ac:dyDescent="0.2">
      <c r="A21" s="211" t="s">
        <v>183</v>
      </c>
      <c r="B21" t="s">
        <v>556</v>
      </c>
      <c r="C21" t="s">
        <v>421</v>
      </c>
      <c r="D21" s="139">
        <v>16060013</v>
      </c>
    </row>
    <row r="22" spans="1:4" x14ac:dyDescent="0.2">
      <c r="A22" s="211" t="s">
        <v>184</v>
      </c>
      <c r="B22" t="s">
        <v>556</v>
      </c>
      <c r="C22" t="s">
        <v>420</v>
      </c>
      <c r="D22" s="139">
        <v>16060003</v>
      </c>
    </row>
    <row r="23" spans="1:4" x14ac:dyDescent="0.2">
      <c r="A23" s="211" t="s">
        <v>185</v>
      </c>
      <c r="B23" t="s">
        <v>558</v>
      </c>
      <c r="C23" t="s">
        <v>426</v>
      </c>
      <c r="D23" s="139">
        <v>3050105</v>
      </c>
    </row>
    <row r="24" spans="1:4" x14ac:dyDescent="0.2">
      <c r="A24" s="211" t="s">
        <v>186</v>
      </c>
      <c r="B24" t="s">
        <v>560</v>
      </c>
      <c r="C24" t="s">
        <v>417</v>
      </c>
      <c r="D24" s="139">
        <v>16040201</v>
      </c>
    </row>
    <row r="25" spans="1:4" x14ac:dyDescent="0.2">
      <c r="A25" s="211" t="s">
        <v>187</v>
      </c>
      <c r="B25" t="s">
        <v>561</v>
      </c>
      <c r="C25" t="s">
        <v>427</v>
      </c>
      <c r="D25" s="139">
        <v>14030005</v>
      </c>
    </row>
    <row r="26" spans="1:4" x14ac:dyDescent="0.2">
      <c r="A26" s="211" t="s">
        <v>188</v>
      </c>
      <c r="B26" t="s">
        <v>558</v>
      </c>
      <c r="C26" t="s">
        <v>425</v>
      </c>
      <c r="D26" s="139">
        <v>3050102</v>
      </c>
    </row>
    <row r="27" spans="1:4" x14ac:dyDescent="0.2">
      <c r="A27" s="211" t="s">
        <v>189</v>
      </c>
      <c r="B27" t="s">
        <v>556</v>
      </c>
      <c r="C27" t="s">
        <v>422</v>
      </c>
      <c r="D27" s="139">
        <v>16060010</v>
      </c>
    </row>
    <row r="28" spans="1:4" ht="16" thickBot="1" x14ac:dyDescent="0.25">
      <c r="A28" s="212" t="s">
        <v>190</v>
      </c>
      <c r="B28" s="210" t="s">
        <v>562</v>
      </c>
      <c r="C28" s="210" t="s">
        <v>424</v>
      </c>
      <c r="D28" s="142">
        <v>11140205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E941-761C-4FB9-B2A9-9DFD099FA96E}">
  <dimension ref="A2:L99"/>
  <sheetViews>
    <sheetView workbookViewId="0">
      <selection activeCell="A89" sqref="A89"/>
    </sheetView>
  </sheetViews>
  <sheetFormatPr baseColWidth="10" defaultColWidth="8.83203125" defaultRowHeight="15" x14ac:dyDescent="0.2"/>
  <cols>
    <col min="1" max="1" width="53" bestFit="1" customWidth="1"/>
    <col min="2" max="2" width="17.83203125" bestFit="1" customWidth="1"/>
    <col min="3" max="3" width="33.6640625" bestFit="1" customWidth="1"/>
    <col min="4" max="4" width="24.6640625" bestFit="1" customWidth="1"/>
    <col min="5" max="5" width="35.5" bestFit="1" customWidth="1"/>
    <col min="6" max="6" width="24.1640625" bestFit="1" customWidth="1"/>
    <col min="7" max="7" width="23.6640625" bestFit="1" customWidth="1"/>
    <col min="8" max="8" width="32.83203125" bestFit="1" customWidth="1"/>
    <col min="9" max="9" width="52" bestFit="1" customWidth="1"/>
    <col min="10" max="10" width="26.6640625" bestFit="1" customWidth="1"/>
    <col min="11" max="11" width="27.6640625" bestFit="1" customWidth="1"/>
    <col min="12" max="12" width="24" bestFit="1" customWidth="1"/>
  </cols>
  <sheetData>
    <row r="2" spans="1:8" ht="16" thickBot="1" x14ac:dyDescent="0.25">
      <c r="A2" s="30" t="s">
        <v>36</v>
      </c>
      <c r="B2" s="7"/>
      <c r="C2" s="7"/>
      <c r="D2" s="7"/>
      <c r="E2" s="7"/>
      <c r="F2" s="7"/>
      <c r="G2" s="7"/>
      <c r="H2" s="7"/>
    </row>
    <row r="3" spans="1:8" ht="16" thickBot="1" x14ac:dyDescent="0.25">
      <c r="A3" s="179" t="s">
        <v>1</v>
      </c>
      <c r="B3" s="179" t="s">
        <v>2</v>
      </c>
      <c r="C3" s="179" t="s">
        <v>3</v>
      </c>
      <c r="D3" s="180" t="s">
        <v>37</v>
      </c>
      <c r="E3" s="181" t="s">
        <v>38</v>
      </c>
      <c r="F3" s="181" t="s">
        <v>39</v>
      </c>
      <c r="G3" s="181" t="s">
        <v>40</v>
      </c>
      <c r="H3" s="199" t="s">
        <v>7</v>
      </c>
    </row>
    <row r="4" spans="1:8" ht="16" thickBot="1" x14ac:dyDescent="0.25">
      <c r="A4" s="392" t="s">
        <v>41</v>
      </c>
      <c r="B4" s="370">
        <v>2021</v>
      </c>
      <c r="C4" s="57" t="s">
        <v>24</v>
      </c>
      <c r="D4" s="58" t="s">
        <v>10</v>
      </c>
      <c r="E4" s="59" t="s">
        <v>42</v>
      </c>
      <c r="F4" s="59">
        <v>6.7</v>
      </c>
      <c r="G4" s="59" t="s">
        <v>43</v>
      </c>
      <c r="H4" s="60" t="s">
        <v>44</v>
      </c>
    </row>
    <row r="5" spans="1:8" ht="16" thickBot="1" x14ac:dyDescent="0.25">
      <c r="A5" s="393"/>
      <c r="B5" s="370"/>
      <c r="C5" s="17" t="s">
        <v>45</v>
      </c>
      <c r="D5" s="19" t="s">
        <v>46</v>
      </c>
      <c r="E5" s="86" t="s">
        <v>42</v>
      </c>
      <c r="F5" s="86">
        <v>6.7</v>
      </c>
      <c r="G5" s="86" t="s">
        <v>43</v>
      </c>
      <c r="H5" s="87" t="s">
        <v>44</v>
      </c>
    </row>
    <row r="6" spans="1:8" ht="16" thickBot="1" x14ac:dyDescent="0.25">
      <c r="A6" s="394"/>
      <c r="B6" s="370"/>
      <c r="C6" s="57" t="s">
        <v>47</v>
      </c>
      <c r="D6" s="61" t="s">
        <v>18</v>
      </c>
      <c r="E6" s="59" t="s">
        <v>42</v>
      </c>
      <c r="F6" s="59">
        <v>6.7</v>
      </c>
      <c r="G6" s="59" t="s">
        <v>43</v>
      </c>
      <c r="H6" s="60" t="s">
        <v>44</v>
      </c>
    </row>
    <row r="7" spans="1:8" x14ac:dyDescent="0.2">
      <c r="A7" s="392" t="s">
        <v>48</v>
      </c>
      <c r="B7" s="369">
        <v>2021</v>
      </c>
      <c r="C7" s="369" t="s">
        <v>24</v>
      </c>
      <c r="D7" s="371" t="s">
        <v>10</v>
      </c>
      <c r="E7" s="82" t="s">
        <v>49</v>
      </c>
      <c r="F7" s="82">
        <v>0.17</v>
      </c>
      <c r="G7" s="82" t="s">
        <v>43</v>
      </c>
      <c r="H7" s="83"/>
    </row>
    <row r="8" spans="1:8" ht="16" thickBot="1" x14ac:dyDescent="0.25">
      <c r="A8" s="394"/>
      <c r="B8" s="370"/>
      <c r="C8" s="370"/>
      <c r="D8" s="371"/>
      <c r="E8" s="84" t="s">
        <v>42</v>
      </c>
      <c r="F8" s="84">
        <v>6</v>
      </c>
      <c r="G8" s="84" t="s">
        <v>43</v>
      </c>
      <c r="H8" s="85"/>
    </row>
    <row r="9" spans="1:8" ht="16" x14ac:dyDescent="0.2">
      <c r="A9" s="397" t="s">
        <v>17</v>
      </c>
      <c r="B9" s="381">
        <v>2022</v>
      </c>
      <c r="C9" s="385" t="s">
        <v>50</v>
      </c>
      <c r="D9" s="395" t="s">
        <v>18</v>
      </c>
      <c r="E9" s="62" t="s">
        <v>49</v>
      </c>
      <c r="F9" s="62">
        <v>0.05</v>
      </c>
      <c r="G9" s="62" t="s">
        <v>43</v>
      </c>
      <c r="H9" s="63"/>
    </row>
    <row r="10" spans="1:8" ht="17" thickBot="1" x14ac:dyDescent="0.25">
      <c r="A10" s="398"/>
      <c r="B10" s="382"/>
      <c r="C10" s="386"/>
      <c r="D10" s="396"/>
      <c r="E10" s="64" t="s">
        <v>42</v>
      </c>
      <c r="F10" s="64">
        <v>4.3</v>
      </c>
      <c r="G10" s="64" t="s">
        <v>43</v>
      </c>
      <c r="H10" s="65"/>
    </row>
    <row r="11" spans="1:8" ht="16" x14ac:dyDescent="0.2">
      <c r="A11" s="398"/>
      <c r="B11" s="383"/>
      <c r="C11" s="387" t="s">
        <v>51</v>
      </c>
      <c r="D11" s="383" t="s">
        <v>10</v>
      </c>
      <c r="E11" s="92" t="s">
        <v>49</v>
      </c>
      <c r="F11" s="92">
        <v>0.09</v>
      </c>
      <c r="G11" s="92" t="s">
        <v>43</v>
      </c>
      <c r="H11" s="93"/>
    </row>
    <row r="12" spans="1:8" ht="17" thickBot="1" x14ac:dyDescent="0.25">
      <c r="A12" s="399"/>
      <c r="B12" s="383"/>
      <c r="C12" s="387"/>
      <c r="D12" s="383"/>
      <c r="E12" s="92" t="s">
        <v>42</v>
      </c>
      <c r="F12" s="92">
        <v>0.9</v>
      </c>
      <c r="G12" s="92" t="s">
        <v>43</v>
      </c>
      <c r="H12" s="93"/>
    </row>
    <row r="13" spans="1:8" ht="16" x14ac:dyDescent="0.2">
      <c r="A13" s="397" t="s">
        <v>20</v>
      </c>
      <c r="B13" s="369">
        <v>2022</v>
      </c>
      <c r="C13" s="362" t="s">
        <v>24</v>
      </c>
      <c r="D13" s="356" t="s">
        <v>10</v>
      </c>
      <c r="E13" s="62" t="s">
        <v>49</v>
      </c>
      <c r="F13" s="62">
        <v>0.15</v>
      </c>
      <c r="G13" s="62" t="s">
        <v>43</v>
      </c>
      <c r="H13" s="63" t="s">
        <v>52</v>
      </c>
    </row>
    <row r="14" spans="1:8" ht="17" thickBot="1" x14ac:dyDescent="0.25">
      <c r="A14" s="398"/>
      <c r="B14" s="370"/>
      <c r="C14" s="363"/>
      <c r="D14" s="357"/>
      <c r="E14" s="64" t="s">
        <v>42</v>
      </c>
      <c r="F14" s="64">
        <v>6</v>
      </c>
      <c r="G14" s="64" t="s">
        <v>43</v>
      </c>
      <c r="H14" s="65" t="s">
        <v>52</v>
      </c>
    </row>
    <row r="15" spans="1:8" ht="16" x14ac:dyDescent="0.2">
      <c r="A15" s="398"/>
      <c r="B15" s="370"/>
      <c r="C15" s="370" t="s">
        <v>21</v>
      </c>
      <c r="D15" s="371" t="s">
        <v>18</v>
      </c>
      <c r="E15" s="92" t="s">
        <v>49</v>
      </c>
      <c r="F15" s="92">
        <v>0.06</v>
      </c>
      <c r="G15" s="92" t="s">
        <v>43</v>
      </c>
      <c r="H15" s="93"/>
    </row>
    <row r="16" spans="1:8" ht="17" thickBot="1" x14ac:dyDescent="0.25">
      <c r="A16" s="398"/>
      <c r="B16" s="370"/>
      <c r="C16" s="389"/>
      <c r="D16" s="359"/>
      <c r="E16" s="90" t="s">
        <v>42</v>
      </c>
      <c r="F16" s="90">
        <v>1.2</v>
      </c>
      <c r="G16" s="90" t="s">
        <v>43</v>
      </c>
      <c r="H16" s="91"/>
    </row>
    <row r="17" spans="1:8" ht="16" x14ac:dyDescent="0.2">
      <c r="A17" s="398"/>
      <c r="B17" s="370"/>
      <c r="C17" s="362" t="s">
        <v>22</v>
      </c>
      <c r="D17" s="356" t="s">
        <v>18</v>
      </c>
      <c r="E17" s="67" t="s">
        <v>49</v>
      </c>
      <c r="F17" s="67">
        <v>0.05</v>
      </c>
      <c r="G17" s="67" t="s">
        <v>43</v>
      </c>
      <c r="H17" s="68"/>
    </row>
    <row r="18" spans="1:8" ht="17" thickBot="1" x14ac:dyDescent="0.25">
      <c r="A18" s="398"/>
      <c r="B18" s="370"/>
      <c r="C18" s="390"/>
      <c r="D18" s="391"/>
      <c r="E18" s="67" t="s">
        <v>42</v>
      </c>
      <c r="F18" s="67">
        <v>4</v>
      </c>
      <c r="G18" s="67" t="s">
        <v>43</v>
      </c>
      <c r="H18" s="68"/>
    </row>
    <row r="19" spans="1:8" ht="16" x14ac:dyDescent="0.2">
      <c r="A19" s="398"/>
      <c r="B19" s="370"/>
      <c r="C19" s="369" t="s">
        <v>23</v>
      </c>
      <c r="D19" s="358" t="s">
        <v>18</v>
      </c>
      <c r="E19" s="88" t="s">
        <v>49</v>
      </c>
      <c r="F19" s="88">
        <v>7.0000000000000007E-2</v>
      </c>
      <c r="G19" s="88" t="s">
        <v>43</v>
      </c>
      <c r="H19" s="89"/>
    </row>
    <row r="20" spans="1:8" ht="17" thickBot="1" x14ac:dyDescent="0.25">
      <c r="A20" s="398"/>
      <c r="B20" s="370"/>
      <c r="C20" s="389"/>
      <c r="D20" s="359"/>
      <c r="E20" s="90" t="s">
        <v>42</v>
      </c>
      <c r="F20" s="90">
        <v>4</v>
      </c>
      <c r="G20" s="90" t="s">
        <v>43</v>
      </c>
      <c r="H20" s="91"/>
    </row>
    <row r="21" spans="1:8" ht="17" thickBot="1" x14ac:dyDescent="0.25">
      <c r="A21" s="400"/>
      <c r="B21" s="370"/>
      <c r="C21" s="66" t="s">
        <v>26</v>
      </c>
      <c r="D21" s="61" t="s">
        <v>25</v>
      </c>
      <c r="E21" s="64" t="s">
        <v>49</v>
      </c>
      <c r="F21" s="64">
        <v>2.1999999999999999E-2</v>
      </c>
      <c r="G21" s="64" t="s">
        <v>43</v>
      </c>
      <c r="H21" s="65"/>
    </row>
    <row r="22" spans="1:8" ht="17" thickBot="1" x14ac:dyDescent="0.25">
      <c r="A22" s="354" t="s">
        <v>337</v>
      </c>
      <c r="B22" s="348">
        <v>2025</v>
      </c>
      <c r="C22" s="25" t="s">
        <v>24</v>
      </c>
      <c r="D22" s="21" t="s">
        <v>10</v>
      </c>
      <c r="E22" s="90" t="s">
        <v>49</v>
      </c>
      <c r="F22" s="90">
        <v>0.15</v>
      </c>
      <c r="G22" s="90" t="s">
        <v>43</v>
      </c>
      <c r="H22" s="91"/>
    </row>
    <row r="23" spans="1:8" ht="17" thickBot="1" x14ac:dyDescent="0.25">
      <c r="A23" s="355"/>
      <c r="B23" s="349"/>
      <c r="C23" s="69" t="s">
        <v>339</v>
      </c>
      <c r="D23" s="70" t="s">
        <v>18</v>
      </c>
      <c r="E23" s="64" t="s">
        <v>49</v>
      </c>
      <c r="F23" s="64">
        <v>0.1</v>
      </c>
      <c r="G23" s="64" t="s">
        <v>43</v>
      </c>
      <c r="H23" s="65"/>
    </row>
    <row r="24" spans="1:8" ht="17" thickBot="1" x14ac:dyDescent="0.25">
      <c r="A24" s="355"/>
      <c r="B24" s="349"/>
      <c r="C24" s="26" t="s">
        <v>340</v>
      </c>
      <c r="D24" s="22" t="s">
        <v>10</v>
      </c>
      <c r="E24" s="90" t="s">
        <v>49</v>
      </c>
      <c r="F24" s="90">
        <v>0.09</v>
      </c>
      <c r="G24" s="90" t="s">
        <v>43</v>
      </c>
      <c r="H24" s="91"/>
    </row>
    <row r="25" spans="1:8" ht="17" thickBot="1" x14ac:dyDescent="0.25">
      <c r="A25" s="355"/>
      <c r="B25" s="349"/>
      <c r="C25" s="69" t="s">
        <v>341</v>
      </c>
      <c r="D25" s="70" t="s">
        <v>18</v>
      </c>
      <c r="E25" s="64" t="s">
        <v>49</v>
      </c>
      <c r="F25" s="64">
        <v>0.08</v>
      </c>
      <c r="G25" s="64" t="s">
        <v>43</v>
      </c>
      <c r="H25" s="65"/>
    </row>
    <row r="26" spans="1:8" ht="17" thickBot="1" x14ac:dyDescent="0.25">
      <c r="A26" s="355"/>
      <c r="B26" s="349"/>
      <c r="C26" s="26" t="s">
        <v>342</v>
      </c>
      <c r="D26" s="22" t="s">
        <v>18</v>
      </c>
      <c r="E26" s="90" t="s">
        <v>49</v>
      </c>
      <c r="F26" s="90">
        <v>7.0000000000000007E-2</v>
      </c>
      <c r="G26" s="90" t="s">
        <v>43</v>
      </c>
      <c r="H26" s="91"/>
    </row>
    <row r="27" spans="1:8" ht="17" thickBot="1" x14ac:dyDescent="0.25">
      <c r="A27" s="355"/>
      <c r="B27" s="349"/>
      <c r="C27" s="69" t="s">
        <v>22</v>
      </c>
      <c r="D27" s="70" t="s">
        <v>18</v>
      </c>
      <c r="E27" s="64" t="s">
        <v>49</v>
      </c>
      <c r="F27" s="64">
        <v>0.05</v>
      </c>
      <c r="G27" s="64" t="s">
        <v>43</v>
      </c>
      <c r="H27" s="65"/>
    </row>
    <row r="28" spans="1:8" ht="17" thickBot="1" x14ac:dyDescent="0.25">
      <c r="A28" s="355"/>
      <c r="B28" s="349"/>
      <c r="C28" s="26" t="s">
        <v>343</v>
      </c>
      <c r="D28" s="22" t="s">
        <v>18</v>
      </c>
      <c r="E28" s="90" t="s">
        <v>49</v>
      </c>
      <c r="F28" s="90">
        <v>0.04</v>
      </c>
      <c r="G28" s="90" t="s">
        <v>43</v>
      </c>
      <c r="H28" s="91"/>
    </row>
    <row r="29" spans="1:8" ht="17" thickBot="1" x14ac:dyDescent="0.25">
      <c r="A29" s="355"/>
      <c r="B29" s="349"/>
      <c r="C29" s="69" t="s">
        <v>21</v>
      </c>
      <c r="D29" s="70" t="s">
        <v>18</v>
      </c>
      <c r="E29" s="64" t="s">
        <v>49</v>
      </c>
      <c r="F29" s="64">
        <v>0.06</v>
      </c>
      <c r="G29" s="64" t="s">
        <v>43</v>
      </c>
      <c r="H29" s="65"/>
    </row>
    <row r="30" spans="1:8" ht="17" thickBot="1" x14ac:dyDescent="0.25">
      <c r="A30" s="355"/>
      <c r="B30" s="349"/>
      <c r="C30" s="26" t="s">
        <v>111</v>
      </c>
      <c r="D30" s="22" t="s">
        <v>29</v>
      </c>
      <c r="E30" s="90" t="s">
        <v>49</v>
      </c>
      <c r="F30" s="90">
        <v>0.02</v>
      </c>
      <c r="G30" s="90" t="s">
        <v>43</v>
      </c>
      <c r="H30" s="91"/>
    </row>
    <row r="31" spans="1:8" ht="17" thickBot="1" x14ac:dyDescent="0.25">
      <c r="A31" s="355"/>
      <c r="B31" s="349"/>
      <c r="C31" s="69" t="s">
        <v>45</v>
      </c>
      <c r="D31" s="70" t="s">
        <v>46</v>
      </c>
      <c r="E31" s="64" t="s">
        <v>49</v>
      </c>
      <c r="F31" s="64">
        <v>7.0000000000000007E-2</v>
      </c>
      <c r="G31" s="64" t="s">
        <v>43</v>
      </c>
      <c r="H31" s="65"/>
    </row>
    <row r="32" spans="1:8" ht="17" thickBot="1" x14ac:dyDescent="0.25">
      <c r="A32" s="355"/>
      <c r="B32" s="349"/>
      <c r="C32" s="34" t="s">
        <v>336</v>
      </c>
      <c r="D32" s="35" t="s">
        <v>18</v>
      </c>
      <c r="E32" s="90" t="s">
        <v>49</v>
      </c>
      <c r="F32" s="90">
        <v>7.0000000000000007E-2</v>
      </c>
      <c r="G32" s="90" t="s">
        <v>43</v>
      </c>
      <c r="H32" s="91"/>
    </row>
    <row r="33" spans="1:8" ht="17" thickBot="1" x14ac:dyDescent="0.25">
      <c r="A33" s="355"/>
      <c r="B33" s="349"/>
      <c r="C33" s="69" t="s">
        <v>345</v>
      </c>
      <c r="D33" s="70" t="s">
        <v>18</v>
      </c>
      <c r="E33" s="64" t="s">
        <v>49</v>
      </c>
      <c r="F33" s="64">
        <v>0.03</v>
      </c>
      <c r="G33" s="64" t="s">
        <v>43</v>
      </c>
      <c r="H33" s="65"/>
    </row>
    <row r="34" spans="1:8" ht="17" thickBot="1" x14ac:dyDescent="0.25">
      <c r="A34" s="355"/>
      <c r="B34" s="349"/>
      <c r="C34" s="34" t="s">
        <v>346</v>
      </c>
      <c r="D34" s="35" t="s">
        <v>18</v>
      </c>
      <c r="E34" s="90" t="s">
        <v>49</v>
      </c>
      <c r="F34" s="90">
        <v>0.03</v>
      </c>
      <c r="G34" s="90" t="s">
        <v>43</v>
      </c>
      <c r="H34" s="91"/>
    </row>
    <row r="35" spans="1:8" ht="17" thickBot="1" x14ac:dyDescent="0.25">
      <c r="A35" s="355"/>
      <c r="B35" s="349"/>
      <c r="C35" s="69" t="s">
        <v>347</v>
      </c>
      <c r="D35" s="70" t="s">
        <v>18</v>
      </c>
      <c r="E35" s="64" t="s">
        <v>49</v>
      </c>
      <c r="F35" s="64">
        <v>0.03</v>
      </c>
      <c r="G35" s="64" t="s">
        <v>43</v>
      </c>
      <c r="H35" s="65"/>
    </row>
    <row r="36" spans="1:8" ht="17" thickBot="1" x14ac:dyDescent="0.25">
      <c r="A36" s="355"/>
      <c r="B36" s="349"/>
      <c r="C36" s="34" t="s">
        <v>348</v>
      </c>
      <c r="D36" s="35" t="s">
        <v>18</v>
      </c>
      <c r="E36" s="90" t="s">
        <v>49</v>
      </c>
      <c r="F36" s="90">
        <v>0.03</v>
      </c>
      <c r="G36" s="90" t="s">
        <v>43</v>
      </c>
      <c r="H36" s="91"/>
    </row>
    <row r="37" spans="1:8" ht="17" thickBot="1" x14ac:dyDescent="0.25">
      <c r="A37" s="355"/>
      <c r="B37" s="349"/>
      <c r="C37" s="69" t="s">
        <v>349</v>
      </c>
      <c r="D37" s="70" t="s">
        <v>18</v>
      </c>
      <c r="E37" s="64" t="s">
        <v>49</v>
      </c>
      <c r="F37" s="64">
        <v>0.03</v>
      </c>
      <c r="G37" s="64" t="s">
        <v>43</v>
      </c>
      <c r="H37" s="65"/>
    </row>
    <row r="38" spans="1:8" ht="17" thickBot="1" x14ac:dyDescent="0.25">
      <c r="A38" s="355"/>
      <c r="B38" s="349"/>
      <c r="C38" s="34" t="s">
        <v>350</v>
      </c>
      <c r="D38" s="35" t="s">
        <v>18</v>
      </c>
      <c r="E38" s="90" t="s">
        <v>49</v>
      </c>
      <c r="F38" s="90">
        <v>0.03</v>
      </c>
      <c r="G38" s="90" t="s">
        <v>43</v>
      </c>
      <c r="H38" s="91"/>
    </row>
    <row r="39" spans="1:8" ht="17" thickBot="1" x14ac:dyDescent="0.25">
      <c r="A39" s="355"/>
      <c r="B39" s="349"/>
      <c r="C39" s="71" t="s">
        <v>351</v>
      </c>
      <c r="D39" s="72" t="s">
        <v>18</v>
      </c>
      <c r="E39" s="64" t="s">
        <v>49</v>
      </c>
      <c r="F39" s="64">
        <v>0.03</v>
      </c>
      <c r="G39" s="64" t="s">
        <v>43</v>
      </c>
      <c r="H39" s="65"/>
    </row>
    <row r="40" spans="1:8" ht="17" thickBot="1" x14ac:dyDescent="0.25">
      <c r="A40" s="355"/>
      <c r="B40" s="349"/>
      <c r="C40" s="34" t="s">
        <v>352</v>
      </c>
      <c r="D40" s="34" t="s">
        <v>18</v>
      </c>
      <c r="E40" s="90" t="s">
        <v>49</v>
      </c>
      <c r="F40" s="90">
        <v>0.02</v>
      </c>
      <c r="G40" s="90" t="s">
        <v>43</v>
      </c>
      <c r="H40" s="91"/>
    </row>
    <row r="41" spans="1:8" ht="17" thickBot="1" x14ac:dyDescent="0.25">
      <c r="A41" s="355"/>
      <c r="B41" s="349"/>
      <c r="C41" s="69" t="s">
        <v>192</v>
      </c>
      <c r="D41" s="69" t="s">
        <v>18</v>
      </c>
      <c r="E41" s="64" t="s">
        <v>49</v>
      </c>
      <c r="F41" s="64">
        <v>0.02</v>
      </c>
      <c r="G41" s="64" t="s">
        <v>43</v>
      </c>
      <c r="H41" s="65"/>
    </row>
    <row r="42" spans="1:8" ht="17" thickBot="1" x14ac:dyDescent="0.25">
      <c r="A42" s="355"/>
      <c r="B42" s="349"/>
      <c r="C42" s="34" t="s">
        <v>353</v>
      </c>
      <c r="D42" s="34" t="s">
        <v>18</v>
      </c>
      <c r="E42" s="90" t="s">
        <v>49</v>
      </c>
      <c r="F42" s="90">
        <v>0.02</v>
      </c>
      <c r="G42" s="90" t="s">
        <v>43</v>
      </c>
      <c r="H42" s="91"/>
    </row>
    <row r="43" spans="1:8" ht="17" thickBot="1" x14ac:dyDescent="0.25">
      <c r="A43" s="355"/>
      <c r="B43" s="349"/>
      <c r="C43" s="69" t="s">
        <v>354</v>
      </c>
      <c r="D43" s="69" t="s">
        <v>25</v>
      </c>
      <c r="E43" s="64" t="s">
        <v>49</v>
      </c>
      <c r="F43" s="64">
        <v>0.02</v>
      </c>
      <c r="G43" s="64" t="s">
        <v>43</v>
      </c>
      <c r="H43" s="65"/>
    </row>
    <row r="44" spans="1:8" ht="17" thickBot="1" x14ac:dyDescent="0.25">
      <c r="A44" s="355"/>
      <c r="B44" s="349"/>
      <c r="C44" s="34" t="s">
        <v>355</v>
      </c>
      <c r="D44" s="34" t="s">
        <v>25</v>
      </c>
      <c r="E44" s="90" t="s">
        <v>49</v>
      </c>
      <c r="F44" s="90">
        <v>0.02</v>
      </c>
      <c r="G44" s="90" t="s">
        <v>43</v>
      </c>
      <c r="H44" s="91"/>
    </row>
    <row r="45" spans="1:8" ht="17" thickBot="1" x14ac:dyDescent="0.25">
      <c r="A45" s="355"/>
      <c r="B45" s="349"/>
      <c r="C45" s="69" t="s">
        <v>356</v>
      </c>
      <c r="D45" s="69" t="s">
        <v>357</v>
      </c>
      <c r="E45" s="64" t="s">
        <v>49</v>
      </c>
      <c r="F45" s="64">
        <v>0.02</v>
      </c>
      <c r="G45" s="64" t="s">
        <v>43</v>
      </c>
      <c r="H45" s="65"/>
    </row>
    <row r="46" spans="1:8" ht="17" thickBot="1" x14ac:dyDescent="0.25">
      <c r="A46" s="355"/>
      <c r="B46" s="349"/>
      <c r="C46" s="26" t="s">
        <v>193</v>
      </c>
      <c r="D46" s="26" t="s">
        <v>29</v>
      </c>
      <c r="E46" s="92" t="s">
        <v>49</v>
      </c>
      <c r="F46" s="92">
        <v>0.02</v>
      </c>
      <c r="G46" s="92" t="s">
        <v>43</v>
      </c>
      <c r="H46" s="93"/>
    </row>
    <row r="47" spans="1:8" ht="16" x14ac:dyDescent="0.2">
      <c r="A47" s="345" t="s">
        <v>370</v>
      </c>
      <c r="B47" s="348">
        <v>2024</v>
      </c>
      <c r="C47" s="351" t="s">
        <v>24</v>
      </c>
      <c r="D47" s="351" t="s">
        <v>10</v>
      </c>
      <c r="E47" s="125" t="s">
        <v>49</v>
      </c>
      <c r="F47" s="130">
        <v>0.1048</v>
      </c>
      <c r="G47" s="125" t="s">
        <v>43</v>
      </c>
      <c r="H47" s="126" t="s">
        <v>372</v>
      </c>
    </row>
    <row r="48" spans="1:8" ht="16" x14ac:dyDescent="0.2">
      <c r="A48" s="346"/>
      <c r="B48" s="349"/>
      <c r="C48" s="352"/>
      <c r="D48" s="352"/>
      <c r="E48" s="67" t="s">
        <v>49</v>
      </c>
      <c r="F48" s="131">
        <v>3.4700000000000002E-2</v>
      </c>
      <c r="G48" s="67" t="s">
        <v>43</v>
      </c>
      <c r="H48" s="127" t="s">
        <v>373</v>
      </c>
    </row>
    <row r="49" spans="1:8" ht="17" thickBot="1" x14ac:dyDescent="0.25">
      <c r="A49" s="347"/>
      <c r="B49" s="350"/>
      <c r="C49" s="353"/>
      <c r="D49" s="353"/>
      <c r="E49" s="128" t="s">
        <v>49</v>
      </c>
      <c r="F49" s="135">
        <v>3.8E-3</v>
      </c>
      <c r="G49" s="128" t="s">
        <v>43</v>
      </c>
      <c r="H49" s="129" t="s">
        <v>374</v>
      </c>
    </row>
    <row r="50" spans="1:8" x14ac:dyDescent="0.2">
      <c r="A50" s="52"/>
      <c r="B50" s="3"/>
      <c r="C50" s="3"/>
      <c r="D50" s="3"/>
      <c r="E50" s="31"/>
      <c r="F50" s="31"/>
      <c r="G50" s="31"/>
      <c r="H50" s="31"/>
    </row>
    <row r="51" spans="1:8" x14ac:dyDescent="0.2">
      <c r="A51" s="52"/>
      <c r="B51" s="3"/>
      <c r="C51" s="3"/>
      <c r="D51" s="3"/>
      <c r="E51" s="31"/>
      <c r="F51" s="31"/>
      <c r="G51" s="31"/>
      <c r="H51" s="31"/>
    </row>
    <row r="53" spans="1:8" x14ac:dyDescent="0.2">
      <c r="A53" s="32" t="s">
        <v>53</v>
      </c>
    </row>
    <row r="54" spans="1:8" x14ac:dyDescent="0.2">
      <c r="A54" s="174" t="s">
        <v>1</v>
      </c>
      <c r="B54" s="174" t="s">
        <v>2</v>
      </c>
      <c r="C54" s="174" t="s">
        <v>3</v>
      </c>
      <c r="D54" s="198" t="s">
        <v>37</v>
      </c>
      <c r="E54" s="175" t="s">
        <v>38</v>
      </c>
      <c r="F54" s="175" t="s">
        <v>39</v>
      </c>
      <c r="G54" s="175" t="s">
        <v>40</v>
      </c>
      <c r="H54" s="176" t="s">
        <v>7</v>
      </c>
    </row>
    <row r="55" spans="1:8" x14ac:dyDescent="0.2">
      <c r="A55" s="367" t="s">
        <v>48</v>
      </c>
      <c r="B55" s="369">
        <v>2021</v>
      </c>
      <c r="C55" s="369" t="s">
        <v>54</v>
      </c>
      <c r="D55" s="358" t="s">
        <v>15</v>
      </c>
      <c r="E55" s="82" t="s">
        <v>55</v>
      </c>
      <c r="F55" s="82">
        <v>0.8</v>
      </c>
      <c r="G55" s="82" t="s">
        <v>43</v>
      </c>
      <c r="H55" s="83" t="s">
        <v>56</v>
      </c>
    </row>
    <row r="56" spans="1:8" x14ac:dyDescent="0.2">
      <c r="A56" s="368"/>
      <c r="B56" s="370"/>
      <c r="C56" s="370"/>
      <c r="D56" s="371"/>
      <c r="E56" s="84" t="s">
        <v>57</v>
      </c>
      <c r="F56" s="84">
        <v>6</v>
      </c>
      <c r="G56" s="84" t="s">
        <v>43</v>
      </c>
      <c r="H56" s="85" t="s">
        <v>56</v>
      </c>
    </row>
    <row r="57" spans="1:8" ht="15" customHeight="1" x14ac:dyDescent="0.2">
      <c r="A57" s="378" t="s">
        <v>17</v>
      </c>
      <c r="B57" s="381">
        <v>2022</v>
      </c>
      <c r="C57" s="385" t="s">
        <v>58</v>
      </c>
      <c r="D57" s="356" t="s">
        <v>59</v>
      </c>
      <c r="E57" s="73" t="s">
        <v>55</v>
      </c>
      <c r="F57" s="73">
        <v>0.7</v>
      </c>
      <c r="G57" s="73" t="s">
        <v>43</v>
      </c>
      <c r="H57" s="74"/>
    </row>
    <row r="58" spans="1:8" x14ac:dyDescent="0.2">
      <c r="A58" s="379"/>
      <c r="B58" s="382"/>
      <c r="C58" s="386"/>
      <c r="D58" s="357"/>
      <c r="E58" s="75" t="s">
        <v>57</v>
      </c>
      <c r="F58" s="75">
        <v>2.9</v>
      </c>
      <c r="G58" s="75" t="s">
        <v>43</v>
      </c>
      <c r="H58" s="76"/>
    </row>
    <row r="59" spans="1:8" x14ac:dyDescent="0.2">
      <c r="A59" s="379"/>
      <c r="B59" s="383"/>
      <c r="C59" s="387" t="s">
        <v>60</v>
      </c>
      <c r="D59" s="358" t="s">
        <v>61</v>
      </c>
      <c r="E59" s="82" t="s">
        <v>55</v>
      </c>
      <c r="F59" s="82">
        <v>0.6</v>
      </c>
      <c r="G59" s="82" t="s">
        <v>43</v>
      </c>
      <c r="H59" s="83"/>
    </row>
    <row r="60" spans="1:8" ht="16" thickBot="1" x14ac:dyDescent="0.25">
      <c r="A60" s="380"/>
      <c r="B60" s="384"/>
      <c r="C60" s="388"/>
      <c r="D60" s="359"/>
      <c r="E60" s="94" t="s">
        <v>57</v>
      </c>
      <c r="F60" s="94">
        <v>2.4</v>
      </c>
      <c r="G60" s="94" t="s">
        <v>43</v>
      </c>
      <c r="H60" s="95"/>
    </row>
    <row r="61" spans="1:8" ht="16" x14ac:dyDescent="0.2">
      <c r="A61" s="345" t="s">
        <v>370</v>
      </c>
      <c r="B61" s="348">
        <v>2024</v>
      </c>
      <c r="C61" s="351" t="s">
        <v>375</v>
      </c>
      <c r="D61" s="351" t="s">
        <v>15</v>
      </c>
      <c r="E61" s="73" t="s">
        <v>55</v>
      </c>
      <c r="F61" s="132">
        <v>1.6850000000000001</v>
      </c>
      <c r="G61" s="125" t="s">
        <v>43</v>
      </c>
      <c r="H61" s="126" t="s">
        <v>372</v>
      </c>
    </row>
    <row r="62" spans="1:8" ht="16" x14ac:dyDescent="0.2">
      <c r="A62" s="346"/>
      <c r="B62" s="349"/>
      <c r="C62" s="352"/>
      <c r="D62" s="352"/>
      <c r="E62" s="67" t="s">
        <v>55</v>
      </c>
      <c r="F62" s="133">
        <v>0.76049999999999995</v>
      </c>
      <c r="G62" s="67" t="s">
        <v>43</v>
      </c>
      <c r="H62" s="127" t="s">
        <v>373</v>
      </c>
    </row>
    <row r="63" spans="1:8" ht="17" thickBot="1" x14ac:dyDescent="0.25">
      <c r="A63" s="347"/>
      <c r="B63" s="350"/>
      <c r="C63" s="353"/>
      <c r="D63" s="353"/>
      <c r="E63" s="128" t="s">
        <v>55</v>
      </c>
      <c r="F63" s="134">
        <v>0.30080000000000001</v>
      </c>
      <c r="G63" s="128" t="s">
        <v>43</v>
      </c>
      <c r="H63" s="129" t="s">
        <v>374</v>
      </c>
    </row>
    <row r="64" spans="1:8" ht="15" customHeight="1" x14ac:dyDescent="0.2"/>
    <row r="65" spans="1:12" ht="16" thickBot="1" x14ac:dyDescent="0.25">
      <c r="A65" s="32" t="s">
        <v>216</v>
      </c>
    </row>
    <row r="66" spans="1:12" ht="16" thickBot="1" x14ac:dyDescent="0.25">
      <c r="A66" s="177" t="s">
        <v>1</v>
      </c>
      <c r="B66" s="197" t="s">
        <v>2</v>
      </c>
      <c r="C66" s="177" t="s">
        <v>3</v>
      </c>
      <c r="D66" s="166" t="s">
        <v>37</v>
      </c>
      <c r="E66" s="167" t="s">
        <v>38</v>
      </c>
      <c r="F66" s="167" t="s">
        <v>39</v>
      </c>
      <c r="G66" s="167" t="s">
        <v>40</v>
      </c>
      <c r="H66" s="168" t="s">
        <v>7</v>
      </c>
    </row>
    <row r="67" spans="1:12" ht="16" thickBot="1" x14ac:dyDescent="0.25">
      <c r="A67" s="374" t="s">
        <v>28</v>
      </c>
      <c r="B67" s="360">
        <v>2024</v>
      </c>
      <c r="C67" s="33" t="s">
        <v>92</v>
      </c>
      <c r="D67" s="34" t="s">
        <v>29</v>
      </c>
      <c r="E67" s="96" t="s">
        <v>225</v>
      </c>
      <c r="F67" s="96">
        <v>1.2</v>
      </c>
      <c r="G67" s="96" t="s">
        <v>43</v>
      </c>
      <c r="H67" s="97" t="s">
        <v>215</v>
      </c>
    </row>
    <row r="68" spans="1:12" ht="16" thickBot="1" x14ac:dyDescent="0.25">
      <c r="A68" s="376"/>
      <c r="B68" s="361"/>
      <c r="C68" s="77" t="s">
        <v>90</v>
      </c>
      <c r="D68" s="78" t="s">
        <v>29</v>
      </c>
      <c r="E68" s="77" t="s">
        <v>226</v>
      </c>
      <c r="F68" s="77">
        <v>0.32700000000000001</v>
      </c>
      <c r="G68" s="77" t="s">
        <v>43</v>
      </c>
      <c r="H68" s="79" t="s">
        <v>89</v>
      </c>
    </row>
    <row r="69" spans="1:12" ht="16" thickBot="1" x14ac:dyDescent="0.25">
      <c r="A69" s="374" t="s">
        <v>34</v>
      </c>
      <c r="B69" s="360">
        <v>2024</v>
      </c>
      <c r="C69" s="33" t="s">
        <v>217</v>
      </c>
      <c r="D69" s="34" t="s">
        <v>35</v>
      </c>
      <c r="E69" s="96" t="s">
        <v>225</v>
      </c>
      <c r="F69" s="96">
        <v>0.35</v>
      </c>
      <c r="G69" s="96" t="s">
        <v>43</v>
      </c>
      <c r="H69" s="97"/>
    </row>
    <row r="70" spans="1:12" ht="16" thickBot="1" x14ac:dyDescent="0.25">
      <c r="A70" s="375"/>
      <c r="B70" s="377"/>
      <c r="C70" s="59" t="s">
        <v>218</v>
      </c>
      <c r="D70" s="71" t="s">
        <v>219</v>
      </c>
      <c r="E70" s="59" t="s">
        <v>227</v>
      </c>
      <c r="F70" s="59">
        <v>0.33</v>
      </c>
      <c r="G70" s="59" t="s">
        <v>43</v>
      </c>
      <c r="H70" s="80"/>
    </row>
    <row r="71" spans="1:12" x14ac:dyDescent="0.2">
      <c r="A71" s="375"/>
      <c r="B71" s="377"/>
      <c r="C71" s="372" t="s">
        <v>220</v>
      </c>
      <c r="D71" s="348" t="s">
        <v>29</v>
      </c>
      <c r="E71" s="98" t="s">
        <v>221</v>
      </c>
      <c r="F71" s="98">
        <v>0.3</v>
      </c>
      <c r="G71" s="98" t="s">
        <v>43</v>
      </c>
      <c r="H71" s="99" t="s">
        <v>223</v>
      </c>
    </row>
    <row r="72" spans="1:12" ht="16" thickBot="1" x14ac:dyDescent="0.25">
      <c r="A72" s="376"/>
      <c r="B72" s="361"/>
      <c r="C72" s="373"/>
      <c r="D72" s="350"/>
      <c r="E72" s="100" t="s">
        <v>222</v>
      </c>
      <c r="F72" s="100">
        <v>0.65</v>
      </c>
      <c r="G72" s="100" t="s">
        <v>43</v>
      </c>
      <c r="H72" s="101" t="s">
        <v>224</v>
      </c>
    </row>
    <row r="73" spans="1:12" ht="16" thickBot="1" x14ac:dyDescent="0.25">
      <c r="A73" s="45" t="s">
        <v>228</v>
      </c>
      <c r="B73" s="46">
        <v>2025</v>
      </c>
      <c r="C73" s="69" t="s">
        <v>231</v>
      </c>
      <c r="D73" s="69" t="s">
        <v>29</v>
      </c>
      <c r="E73" s="81" t="s">
        <v>229</v>
      </c>
      <c r="F73" s="81">
        <v>0.2</v>
      </c>
      <c r="G73" s="81" t="s">
        <v>43</v>
      </c>
      <c r="H73" s="70" t="s">
        <v>230</v>
      </c>
    </row>
    <row r="74" spans="1:12" x14ac:dyDescent="0.2">
      <c r="A74" s="44"/>
      <c r="B74" s="31"/>
      <c r="C74" s="3"/>
      <c r="D74" s="3"/>
      <c r="E74" s="3"/>
      <c r="F74" s="3"/>
      <c r="G74" s="3"/>
      <c r="H74" s="3"/>
      <c r="J74" s="32"/>
      <c r="K74" s="32"/>
      <c r="L74" s="32"/>
    </row>
    <row r="75" spans="1:12" ht="16" thickBot="1" x14ac:dyDescent="0.25">
      <c r="A75" s="32" t="s">
        <v>214</v>
      </c>
    </row>
    <row r="76" spans="1:12" ht="16" thickBot="1" x14ac:dyDescent="0.25">
      <c r="C76" s="364" t="s">
        <v>376</v>
      </c>
      <c r="D76" s="365"/>
      <c r="E76" s="365"/>
      <c r="F76" s="366"/>
    </row>
    <row r="77" spans="1:12" ht="16" thickBot="1" x14ac:dyDescent="0.25">
      <c r="A77" s="193" t="s">
        <v>117</v>
      </c>
      <c r="B77" s="193" t="s">
        <v>118</v>
      </c>
      <c r="C77" s="194" t="s">
        <v>298</v>
      </c>
      <c r="D77" s="195" t="s">
        <v>299</v>
      </c>
      <c r="E77" s="195" t="s">
        <v>300</v>
      </c>
      <c r="F77" s="196" t="s">
        <v>301</v>
      </c>
      <c r="G77" s="195" t="s">
        <v>122</v>
      </c>
      <c r="H77" s="196" t="s">
        <v>7</v>
      </c>
    </row>
    <row r="78" spans="1:12" x14ac:dyDescent="0.2">
      <c r="A78" s="136" t="s">
        <v>93</v>
      </c>
      <c r="B78" s="136" t="s">
        <v>31</v>
      </c>
      <c r="C78" s="143">
        <f>'4. Proposed Mine LOM &amp; Resource'!M5/1000</f>
        <v>0.99</v>
      </c>
      <c r="D78" s="144">
        <f>'4. Proposed Mine LOM &amp; Resource'!N5/1000</f>
        <v>0.89100000000000001</v>
      </c>
      <c r="E78" s="144">
        <f>'4. Proposed Mine LOM &amp; Resource'!O5/1000</f>
        <v>0.96599999999999997</v>
      </c>
      <c r="F78" s="147">
        <f>'4. Proposed Mine LOM &amp; Resource'!P5/1000</f>
        <v>0.82</v>
      </c>
      <c r="G78" s="138" t="s">
        <v>156</v>
      </c>
      <c r="H78" s="139"/>
    </row>
    <row r="79" spans="1:12" x14ac:dyDescent="0.2">
      <c r="A79" s="136" t="s">
        <v>94</v>
      </c>
      <c r="B79" s="136" t="s">
        <v>31</v>
      </c>
      <c r="C79" s="143">
        <f>'4. Proposed Mine LOM &amp; Resource'!M6/1000</f>
        <v>0.92900000000000005</v>
      </c>
      <c r="D79" s="144">
        <f>'4. Proposed Mine LOM &amp; Resource'!N6/1000</f>
        <v>0.86</v>
      </c>
      <c r="E79" s="144"/>
      <c r="F79" s="147">
        <f>'4. Proposed Mine LOM &amp; Resource'!P6/1000</f>
        <v>0.81</v>
      </c>
      <c r="G79" s="140" t="s">
        <v>158</v>
      </c>
      <c r="H79" s="139"/>
    </row>
    <row r="80" spans="1:12" x14ac:dyDescent="0.2">
      <c r="A80" s="136" t="s">
        <v>95</v>
      </c>
      <c r="B80" s="136" t="s">
        <v>119</v>
      </c>
      <c r="C80" s="143"/>
      <c r="D80" s="144">
        <f>'4. Proposed Mine LOM &amp; Resource'!N7/1000</f>
        <v>1.94</v>
      </c>
      <c r="E80" s="144"/>
      <c r="F80" s="147">
        <f>'4. Proposed Mine LOM &amp; Resource'!P7/1000</f>
        <v>0.17799999999999999</v>
      </c>
      <c r="G80" s="140" t="s">
        <v>159</v>
      </c>
      <c r="H80" s="139"/>
    </row>
    <row r="81" spans="1:8" x14ac:dyDescent="0.2">
      <c r="A81" s="136" t="s">
        <v>96</v>
      </c>
      <c r="B81" s="136" t="s">
        <v>119</v>
      </c>
      <c r="C81" s="143"/>
      <c r="D81" s="144">
        <f>'4. Proposed Mine LOM &amp; Resource'!N9/1000</f>
        <v>1.0740000000000001</v>
      </c>
      <c r="E81" s="144"/>
      <c r="F81" s="147">
        <f>'4. Proposed Mine LOM &amp; Resource'!P9/1000</f>
        <v>1.1060000000000001</v>
      </c>
      <c r="G81" s="140" t="s">
        <v>158</v>
      </c>
      <c r="H81" s="139"/>
    </row>
    <row r="82" spans="1:8" x14ac:dyDescent="0.2">
      <c r="A82" s="136" t="s">
        <v>97</v>
      </c>
      <c r="B82" s="136" t="s">
        <v>119</v>
      </c>
      <c r="C82" s="143"/>
      <c r="D82" s="144">
        <f>'4. Proposed Mine LOM &amp; Resource'!N10/1000</f>
        <v>3.5190000000000001</v>
      </c>
      <c r="E82" s="144"/>
      <c r="F82" s="147">
        <f>'4. Proposed Mine LOM &amp; Resource'!P10/1000</f>
        <v>3.085</v>
      </c>
      <c r="G82" s="140" t="s">
        <v>158</v>
      </c>
      <c r="H82" s="139"/>
    </row>
    <row r="83" spans="1:8" x14ac:dyDescent="0.2">
      <c r="A83" s="136" t="s">
        <v>98</v>
      </c>
      <c r="B83" s="136" t="s">
        <v>12</v>
      </c>
      <c r="C83" s="143"/>
      <c r="D83" s="144"/>
      <c r="E83" s="144"/>
      <c r="F83" s="147">
        <f>'4. Proposed Mine LOM &amp; Resource'!P11/1000</f>
        <v>0.123</v>
      </c>
      <c r="G83" s="140" t="s">
        <v>161</v>
      </c>
      <c r="H83" s="139"/>
    </row>
    <row r="84" spans="1:8" x14ac:dyDescent="0.2">
      <c r="A84" s="136" t="s">
        <v>99</v>
      </c>
      <c r="B84" s="136" t="s">
        <v>31</v>
      </c>
      <c r="C84" s="143"/>
      <c r="D84" s="144"/>
      <c r="E84" s="144">
        <f>'4. Proposed Mine LOM &amp; Resource'!O12/1000</f>
        <v>1</v>
      </c>
      <c r="F84" s="147"/>
      <c r="G84" s="140" t="s">
        <v>163</v>
      </c>
      <c r="H84" s="139"/>
    </row>
    <row r="85" spans="1:8" x14ac:dyDescent="0.2">
      <c r="A85" s="136" t="s">
        <v>102</v>
      </c>
      <c r="B85" s="136" t="s">
        <v>31</v>
      </c>
      <c r="C85" s="143"/>
      <c r="D85" s="144">
        <f>'4. Proposed Mine LOM &amp; Resource'!N14/1000</f>
        <v>0.66900000000000004</v>
      </c>
      <c r="E85" s="144">
        <f>'4. Proposed Mine LOM &amp; Resource'!O14/1000</f>
        <v>0</v>
      </c>
      <c r="F85" s="147">
        <f>'4. Proposed Mine LOM &amp; Resource'!P14/1000</f>
        <v>0.68</v>
      </c>
      <c r="G85" s="140" t="s">
        <v>158</v>
      </c>
      <c r="H85" s="139"/>
    </row>
    <row r="86" spans="1:8" x14ac:dyDescent="0.2">
      <c r="A86" s="136" t="s">
        <v>103</v>
      </c>
      <c r="B86" s="136" t="s">
        <v>120</v>
      </c>
      <c r="C86" s="143"/>
      <c r="D86" s="144">
        <f>'4. Proposed Mine LOM &amp; Resource'!N15</f>
        <v>1.37</v>
      </c>
      <c r="E86" s="144">
        <f>'4. Proposed Mine LOM &amp; Resource'!O15</f>
        <v>1.37</v>
      </c>
      <c r="F86" s="147">
        <f>'4. Proposed Mine LOM &amp; Resource'!P15</f>
        <v>1.1000000000000001</v>
      </c>
      <c r="G86" s="140" t="s">
        <v>164</v>
      </c>
      <c r="H86" s="139" t="s">
        <v>56</v>
      </c>
    </row>
    <row r="87" spans="1:8" x14ac:dyDescent="0.2">
      <c r="A87" s="136" t="s">
        <v>166</v>
      </c>
      <c r="B87" s="136" t="s">
        <v>119</v>
      </c>
      <c r="C87" s="143">
        <f>'4. Proposed Mine LOM &amp; Resource'!M16/1000</f>
        <v>2.4500000000000002</v>
      </c>
      <c r="D87" s="144">
        <f>'4. Proposed Mine LOM &amp; Resource'!N16/1000</f>
        <v>1.85</v>
      </c>
      <c r="E87" s="144">
        <f>'4. Proposed Mine LOM &amp; Resource'!O16/1000</f>
        <v>2.0699999999999998</v>
      </c>
      <c r="F87" s="147">
        <f>'4. Proposed Mine LOM &amp; Resource'!P16/1000</f>
        <v>1.87</v>
      </c>
      <c r="G87" s="140" t="s">
        <v>167</v>
      </c>
      <c r="H87" s="139"/>
    </row>
    <row r="88" spans="1:8" x14ac:dyDescent="0.2">
      <c r="A88" s="136" t="s">
        <v>104</v>
      </c>
      <c r="B88" s="136" t="s">
        <v>31</v>
      </c>
      <c r="C88" s="143"/>
      <c r="D88" s="144">
        <f>'4. Proposed Mine LOM &amp; Resource'!N17/1000</f>
        <v>0.77400000000000002</v>
      </c>
      <c r="E88" s="144">
        <f>'4. Proposed Mine LOM &amp; Resource'!O17/1000</f>
        <v>0.78900000000000003</v>
      </c>
      <c r="F88" s="147">
        <f>'4. Proposed Mine LOM &amp; Resource'!P17/1000</f>
        <v>0.78300000000000003</v>
      </c>
      <c r="G88" s="140" t="s">
        <v>168</v>
      </c>
      <c r="H88" s="139"/>
    </row>
    <row r="89" spans="1:8" x14ac:dyDescent="0.2">
      <c r="A89" s="136" t="s">
        <v>105</v>
      </c>
      <c r="B89" s="136" t="s">
        <v>31</v>
      </c>
      <c r="C89" s="143"/>
      <c r="D89" s="144">
        <f>'4. Proposed Mine LOM &amp; Resource'!N18/1000</f>
        <v>1.42</v>
      </c>
      <c r="E89" s="144"/>
      <c r="F89" s="147">
        <f>'4. Proposed Mine LOM &amp; Resource'!P18/1000</f>
        <v>1.27</v>
      </c>
      <c r="G89" s="140" t="s">
        <v>169</v>
      </c>
      <c r="H89" s="139"/>
    </row>
    <row r="90" spans="1:8" x14ac:dyDescent="0.2">
      <c r="A90" s="136" t="s">
        <v>106</v>
      </c>
      <c r="B90" s="136" t="s">
        <v>31</v>
      </c>
      <c r="C90" s="143"/>
      <c r="D90" s="144">
        <f>'4. Proposed Mine LOM &amp; Resource'!N19/1000</f>
        <v>0.80300000000000005</v>
      </c>
      <c r="E90" s="144"/>
      <c r="F90" s="147">
        <f>'4. Proposed Mine LOM &amp; Resource'!P19/1000</f>
        <v>0.86499999999999999</v>
      </c>
      <c r="G90" s="140" t="s">
        <v>160</v>
      </c>
      <c r="H90" s="139"/>
    </row>
    <row r="91" spans="1:8" x14ac:dyDescent="0.2">
      <c r="A91" s="136" t="s">
        <v>108</v>
      </c>
      <c r="B91" s="136" t="s">
        <v>121</v>
      </c>
      <c r="C91" s="143"/>
      <c r="D91" s="144">
        <f>'4. Proposed Mine LOM &amp; Resource'!N20/1000</f>
        <v>0.123</v>
      </c>
      <c r="E91" s="144"/>
      <c r="F91" s="147">
        <f>'4. Proposed Mine LOM &amp; Resource'!P20/1000</f>
        <v>0.109</v>
      </c>
      <c r="G91" s="140" t="s">
        <v>170</v>
      </c>
      <c r="H91" s="139"/>
    </row>
    <row r="92" spans="1:8" x14ac:dyDescent="0.2">
      <c r="A92" s="136" t="s">
        <v>109</v>
      </c>
      <c r="B92" s="136" t="s">
        <v>120</v>
      </c>
      <c r="C92" s="143"/>
      <c r="D92" s="144">
        <f>'4. Proposed Mine LOM &amp; Resource'!N21</f>
        <v>1.1100000000000001</v>
      </c>
      <c r="E92" s="144"/>
      <c r="F92" s="147">
        <f>'4. Proposed Mine LOM &amp; Resource'!P21</f>
        <v>1.02</v>
      </c>
      <c r="G92" s="140" t="s">
        <v>172</v>
      </c>
      <c r="H92" s="139" t="s">
        <v>56</v>
      </c>
    </row>
    <row r="93" spans="1:8" x14ac:dyDescent="0.2">
      <c r="A93" s="136" t="s">
        <v>110</v>
      </c>
      <c r="B93" s="136" t="s">
        <v>31</v>
      </c>
      <c r="C93" s="143">
        <f>'4. Proposed Mine LOM &amp; Resource'!M22/1000</f>
        <v>1.7373333333333332</v>
      </c>
      <c r="D93" s="144">
        <f>'4. Proposed Mine LOM &amp; Resource'!N22/1000</f>
        <v>1.6196666666666668</v>
      </c>
      <c r="E93" s="144">
        <f>'4. Proposed Mine LOM &amp; Resource'!O22/1000</f>
        <v>1.6785000000000001</v>
      </c>
      <c r="F93" s="147">
        <f>'4. Proposed Mine LOM &amp; Resource'!P22/1000</f>
        <v>1.5306666666666668</v>
      </c>
      <c r="G93" s="140" t="s">
        <v>172</v>
      </c>
      <c r="H93" s="139"/>
    </row>
    <row r="94" spans="1:8" x14ac:dyDescent="0.2">
      <c r="A94" s="136" t="s">
        <v>111</v>
      </c>
      <c r="B94" s="136" t="s">
        <v>12</v>
      </c>
      <c r="C94" s="143">
        <f>'4. Proposed Mine LOM &amp; Resource'!M23/1000</f>
        <v>0.153</v>
      </c>
      <c r="D94" s="144">
        <f>'4. Proposed Mine LOM &amp; Resource'!N23/1000</f>
        <v>0.14399999999999999</v>
      </c>
      <c r="E94" s="144">
        <f>'4. Proposed Mine LOM &amp; Resource'!O23/1000</f>
        <v>0.14599999999999999</v>
      </c>
      <c r="F94" s="147">
        <f>'4. Proposed Mine LOM &amp; Resource'!P23/1000</f>
        <v>0.121</v>
      </c>
      <c r="G94" s="140" t="s">
        <v>157</v>
      </c>
      <c r="H94" s="139"/>
    </row>
    <row r="95" spans="1:8" x14ac:dyDescent="0.2">
      <c r="A95" s="136" t="s">
        <v>112</v>
      </c>
      <c r="B95" s="136" t="s">
        <v>121</v>
      </c>
      <c r="C95" s="143"/>
      <c r="D95" s="144">
        <f>'4. Proposed Mine LOM &amp; Resource'!N24/1000</f>
        <v>4.46</v>
      </c>
      <c r="E95" s="144"/>
      <c r="F95" s="147">
        <f>'4. Proposed Mine LOM &amp; Resource'!P24/1000</f>
        <v>4.05</v>
      </c>
      <c r="G95" s="140" t="s">
        <v>173</v>
      </c>
      <c r="H95" s="139"/>
    </row>
    <row r="96" spans="1:8" x14ac:dyDescent="0.2">
      <c r="A96" s="136" t="s">
        <v>113</v>
      </c>
      <c r="B96" s="136" t="s">
        <v>31</v>
      </c>
      <c r="C96" s="143">
        <f>'4. Proposed Mine LOM &amp; Resource'!M25/1000</f>
        <v>0.93200000000000005</v>
      </c>
      <c r="D96" s="144">
        <f>'4. Proposed Mine LOM &amp; Resource'!N25/1000</f>
        <v>0.89800000000000002</v>
      </c>
      <c r="E96" s="144">
        <f>'4. Proposed Mine LOM &amp; Resource'!O25/1000</f>
        <v>0.91900000000000004</v>
      </c>
      <c r="F96" s="147">
        <f>'4. Proposed Mine LOM &amp; Resource'!P25/1000</f>
        <v>0.91200000000000003</v>
      </c>
      <c r="G96" s="140" t="s">
        <v>175</v>
      </c>
      <c r="H96" s="139"/>
    </row>
    <row r="97" spans="1:8" x14ac:dyDescent="0.2">
      <c r="A97" s="136" t="s">
        <v>114</v>
      </c>
      <c r="B97" s="136" t="s">
        <v>31</v>
      </c>
      <c r="C97" s="143">
        <f>'4. Proposed Mine LOM &amp; Resource'!M26/1000</f>
        <v>0.72</v>
      </c>
      <c r="D97" s="144">
        <f>'4. Proposed Mine LOM &amp; Resource'!N26/1000</f>
        <v>0.56499999999999995</v>
      </c>
      <c r="E97" s="144">
        <f>'4. Proposed Mine LOM &amp; Resource'!O26/1000</f>
        <v>0.59599999999999997</v>
      </c>
      <c r="F97" s="147">
        <f>'4. Proposed Mine LOM &amp; Resource'!P26/1000</f>
        <v>0.55000000000000004</v>
      </c>
      <c r="G97" s="140" t="s">
        <v>176</v>
      </c>
      <c r="H97" s="139"/>
    </row>
    <row r="98" spans="1:8" x14ac:dyDescent="0.2">
      <c r="A98" s="136" t="s">
        <v>115</v>
      </c>
      <c r="B98" s="136" t="s">
        <v>31</v>
      </c>
      <c r="C98" s="143">
        <f>'4. Proposed Mine LOM &amp; Resource'!M27/1000</f>
        <v>0.60899999999999999</v>
      </c>
      <c r="D98" s="144"/>
      <c r="E98" s="144"/>
      <c r="F98" s="147">
        <f>'4. Proposed Mine LOM &amp; Resource'!P27/1000</f>
        <v>0.70899999999999996</v>
      </c>
      <c r="G98" s="140" t="s">
        <v>157</v>
      </c>
      <c r="H98" s="139"/>
    </row>
    <row r="99" spans="1:8" ht="16" thickBot="1" x14ac:dyDescent="0.25">
      <c r="A99" s="137" t="s">
        <v>116</v>
      </c>
      <c r="B99" s="137" t="s">
        <v>31</v>
      </c>
      <c r="C99" s="145">
        <f>'4. Proposed Mine LOM &amp; Resource'!M28/1000</f>
        <v>0.86</v>
      </c>
      <c r="D99" s="146">
        <f>'4. Proposed Mine LOM &amp; Resource'!N28/1000</f>
        <v>0.95699999999999996</v>
      </c>
      <c r="E99" s="146"/>
      <c r="F99" s="148">
        <f>'4. Proposed Mine LOM &amp; Resource'!P28/1000</f>
        <v>0.86099999999999999</v>
      </c>
      <c r="G99" s="141" t="s">
        <v>158</v>
      </c>
      <c r="H99" s="142"/>
    </row>
  </sheetData>
  <mergeCells count="49">
    <mergeCell ref="A67:A68"/>
    <mergeCell ref="A4:A6"/>
    <mergeCell ref="B4:B6"/>
    <mergeCell ref="D7:D8"/>
    <mergeCell ref="C7:C8"/>
    <mergeCell ref="A7:A8"/>
    <mergeCell ref="B7:B8"/>
    <mergeCell ref="C9:C10"/>
    <mergeCell ref="D9:D10"/>
    <mergeCell ref="D11:D12"/>
    <mergeCell ref="C11:C12"/>
    <mergeCell ref="A9:A12"/>
    <mergeCell ref="B9:B12"/>
    <mergeCell ref="D13:D14"/>
    <mergeCell ref="A13:A21"/>
    <mergeCell ref="B13:B21"/>
    <mergeCell ref="C19:C20"/>
    <mergeCell ref="D19:D20"/>
    <mergeCell ref="C17:C18"/>
    <mergeCell ref="D17:D18"/>
    <mergeCell ref="C15:C16"/>
    <mergeCell ref="D15:D16"/>
    <mergeCell ref="B67:B68"/>
    <mergeCell ref="B22:B46"/>
    <mergeCell ref="C13:C14"/>
    <mergeCell ref="C76:F76"/>
    <mergeCell ref="A55:A56"/>
    <mergeCell ref="B55:B56"/>
    <mergeCell ref="C55:C56"/>
    <mergeCell ref="D55:D56"/>
    <mergeCell ref="D71:D72"/>
    <mergeCell ref="C71:C72"/>
    <mergeCell ref="A69:A72"/>
    <mergeCell ref="B69:B72"/>
    <mergeCell ref="A57:A60"/>
    <mergeCell ref="B57:B60"/>
    <mergeCell ref="C57:C58"/>
    <mergeCell ref="C59:C60"/>
    <mergeCell ref="A61:A63"/>
    <mergeCell ref="B61:B63"/>
    <mergeCell ref="C61:C63"/>
    <mergeCell ref="D61:D63"/>
    <mergeCell ref="A22:A46"/>
    <mergeCell ref="C47:C49"/>
    <mergeCell ref="D47:D49"/>
    <mergeCell ref="B47:B49"/>
    <mergeCell ref="A47:A49"/>
    <mergeCell ref="D57:D58"/>
    <mergeCell ref="D59:D60"/>
  </mergeCells>
  <hyperlinks>
    <hyperlink ref="A4:A6" r:id="rId1" location="data-availability" display="Schomberg et al" xr:uid="{C9C27D14-F78B-4515-AE56-DFABAB563700}"/>
    <hyperlink ref="A7:A8" r:id="rId2" display="Kelly et al." xr:uid="{B0731735-8FDB-4C3E-883B-56F3B75FCBE6}"/>
    <hyperlink ref="A9" r:id="rId3" xr:uid="{23586813-9F90-4D85-BA39-8AB9C0BD40EC}"/>
    <hyperlink ref="A13:A21" r:id="rId4" location="tbl0002" display="Schenker et al." xr:uid="{439E19AE-E4CA-4F45-84D1-D80FDFBA3543}"/>
    <hyperlink ref="A55:A56" r:id="rId5" display="Kelly et al." xr:uid="{BFD26B99-A2A1-48D7-96DB-96B72F96F180}"/>
    <hyperlink ref="A57" r:id="rId6" xr:uid="{D2785D3A-7CC8-4827-B9CB-3A2529FDDB27}"/>
    <hyperlink ref="A67:A68" r:id="rId7" location="bb0035" display="Roy et al." xr:uid="{4E89786D-AF1C-9D48-856A-57AE170797AE}"/>
    <hyperlink ref="G78" r:id="rId8" xr:uid="{9FABCEC9-889F-6348-83E7-2588A269E627}"/>
    <hyperlink ref="G79" r:id="rId9" xr:uid="{A9F91624-9CA2-1242-867C-72119CBCC39D}"/>
    <hyperlink ref="G80" r:id="rId10" xr:uid="{DE7765FA-3660-C841-9C8A-DD5303F88015}"/>
    <hyperlink ref="G81" r:id="rId11" xr:uid="{BB0A7B45-D1D9-9F40-8464-7CAD4D06FBEB}"/>
    <hyperlink ref="G82" r:id="rId12" xr:uid="{44001C7E-16C6-1D48-8A61-E1326406F327}"/>
    <hyperlink ref="G83" r:id="rId13" xr:uid="{296B2FEA-594D-104A-939C-864CEEDBD19A}"/>
    <hyperlink ref="G84" r:id="rId14" xr:uid="{32B0810E-AB29-1E49-A0A3-C81CBE24150B}"/>
    <hyperlink ref="G85" r:id="rId15" xr:uid="{0096DAF3-DF6B-CC43-B787-F67815BA1240}"/>
    <hyperlink ref="G86" r:id="rId16" xr:uid="{1F6D488F-65B0-6841-A65A-0D3E75B5A790}"/>
    <hyperlink ref="G87" r:id="rId17" xr:uid="{B30D326B-98E9-1549-9F5B-13D06D206940}"/>
    <hyperlink ref="G88" r:id="rId18" xr:uid="{A91B1945-35EE-204D-BB78-3F5748D0C7F8}"/>
    <hyperlink ref="G89" r:id="rId19" xr:uid="{874B2B7E-CC1A-7640-B30B-527DF5F1C989}"/>
    <hyperlink ref="G90" r:id="rId20" xr:uid="{6DBFC920-CFC8-5044-B217-166557FABE2E}"/>
    <hyperlink ref="G91" r:id="rId21" xr:uid="{85DE41B5-3A0E-3B41-8534-DA7DB01104D8}"/>
    <hyperlink ref="G92" r:id="rId22" xr:uid="{1C91B3AB-E30F-2A49-AEE9-D7E5A7179AAD}"/>
    <hyperlink ref="G93" r:id="rId23" xr:uid="{2207DB58-1BFF-E648-8152-485285478E4D}"/>
    <hyperlink ref="G94" r:id="rId24" xr:uid="{30879721-B99A-0E4B-92D6-D5804B61E1C0}"/>
    <hyperlink ref="G95" r:id="rId25" xr:uid="{E0EBB358-39FF-CD4C-9D35-BFB98C5144D9}"/>
    <hyperlink ref="G96" r:id="rId26" xr:uid="{D5748403-5517-964B-8823-8573BD6CA896}"/>
    <hyperlink ref="G97" r:id="rId27" xr:uid="{9019AC96-6500-EB47-969F-37265A982E62}"/>
    <hyperlink ref="G98" r:id="rId28" xr:uid="{78E67D5D-F8C3-DE4F-AF3A-2C683F2D61C1}"/>
    <hyperlink ref="G99" r:id="rId29" xr:uid="{D99FE103-6C80-514B-89F3-F2A5BC2296A4}"/>
    <hyperlink ref="A69" r:id="rId30" location="bib14" xr:uid="{FAA4D7DB-66AB-6F40-A2F9-F4432527A139}"/>
    <hyperlink ref="A73" r:id="rId31" location="sec0018" xr:uid="{27401480-D409-2343-A283-9F0D6751E2A2}"/>
    <hyperlink ref="A22:A30" r:id="rId32" display="Schenker and Pfister" xr:uid="{E6ABBFAE-308D-F34C-8FBF-1635EF0808F1}"/>
    <hyperlink ref="A47" r:id="rId33" display="Mas-Fons" xr:uid="{7D7DD2A4-B7F0-3A43-9412-0595A82B3181}"/>
    <hyperlink ref="A61" r:id="rId34" display="Mas-Fons" xr:uid="{26666EB3-8B39-C946-9CD3-5EEFECD9E67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B7F04-D3C2-4FCC-BDAB-B2C61415C840}">
  <dimension ref="A2:K198"/>
  <sheetViews>
    <sheetView tabSelected="1" topLeftCell="A5" workbookViewId="0">
      <selection activeCell="A32" sqref="A32:A45"/>
    </sheetView>
  </sheetViews>
  <sheetFormatPr baseColWidth="10" defaultColWidth="9.1640625" defaultRowHeight="15" x14ac:dyDescent="0.2"/>
  <cols>
    <col min="1" max="1" width="36.5" style="3" bestFit="1" customWidth="1"/>
    <col min="2" max="2" width="20.33203125" style="3" bestFit="1" customWidth="1"/>
    <col min="3" max="3" width="12.6640625" style="3" bestFit="1" customWidth="1"/>
    <col min="4" max="4" width="33.83203125" style="3" bestFit="1" customWidth="1"/>
    <col min="5" max="5" width="21.1640625" style="3" bestFit="1" customWidth="1"/>
    <col min="6" max="6" width="36.6640625" style="3" bestFit="1" customWidth="1"/>
    <col min="7" max="7" width="34.6640625" style="3" bestFit="1" customWidth="1"/>
    <col min="8" max="8" width="12.6640625" style="3" bestFit="1" customWidth="1"/>
    <col min="9" max="9" width="25.83203125" style="3" bestFit="1" customWidth="1"/>
    <col min="10" max="10" width="23.6640625" style="3" bestFit="1" customWidth="1"/>
    <col min="11" max="11" width="47.83203125" style="3" bestFit="1" customWidth="1"/>
    <col min="12" max="13" width="23.83203125" style="3" bestFit="1" customWidth="1"/>
    <col min="14" max="16384" width="9.1640625" style="3"/>
  </cols>
  <sheetData>
    <row r="2" spans="1:11" ht="16" thickBot="1" x14ac:dyDescent="0.25">
      <c r="A2" s="1" t="s">
        <v>62</v>
      </c>
    </row>
    <row r="3" spans="1:11" ht="16" thickBot="1" x14ac:dyDescent="0.25">
      <c r="A3" s="179" t="s">
        <v>0</v>
      </c>
      <c r="B3" s="180" t="s">
        <v>1</v>
      </c>
      <c r="C3" s="175" t="s">
        <v>2</v>
      </c>
      <c r="D3" s="180" t="s">
        <v>3</v>
      </c>
      <c r="E3" s="175" t="s">
        <v>37</v>
      </c>
      <c r="F3" s="166" t="s">
        <v>249</v>
      </c>
      <c r="G3" s="181" t="s">
        <v>63</v>
      </c>
      <c r="H3" s="181" t="s">
        <v>64</v>
      </c>
      <c r="I3" s="181" t="s">
        <v>65</v>
      </c>
      <c r="J3" s="181" t="s">
        <v>66</v>
      </c>
      <c r="K3" s="180" t="s">
        <v>7</v>
      </c>
    </row>
    <row r="4" spans="1:11" x14ac:dyDescent="0.2">
      <c r="A4" s="379" t="s">
        <v>67</v>
      </c>
      <c r="B4" s="370" t="s">
        <v>41</v>
      </c>
      <c r="C4" s="369">
        <v>2021</v>
      </c>
      <c r="D4" s="370" t="s">
        <v>24</v>
      </c>
      <c r="E4" s="369" t="s">
        <v>10</v>
      </c>
      <c r="F4" s="370" t="s">
        <v>11</v>
      </c>
      <c r="G4" s="6" t="s">
        <v>42</v>
      </c>
      <c r="H4" s="16">
        <v>4.1900000000000004</v>
      </c>
      <c r="I4" s="3" t="s">
        <v>32</v>
      </c>
      <c r="J4" s="3" t="s">
        <v>68</v>
      </c>
      <c r="K4" s="15"/>
    </row>
    <row r="5" spans="1:11" x14ac:dyDescent="0.2">
      <c r="A5" s="379"/>
      <c r="B5" s="370"/>
      <c r="C5" s="370"/>
      <c r="D5" s="370"/>
      <c r="E5" s="370"/>
      <c r="F5" s="370"/>
      <c r="G5" s="370" t="s">
        <v>69</v>
      </c>
      <c r="H5" s="16">
        <v>40.508899999999997</v>
      </c>
      <c r="I5" s="3" t="s">
        <v>32</v>
      </c>
      <c r="J5" s="3" t="s">
        <v>70</v>
      </c>
      <c r="K5" s="15"/>
    </row>
    <row r="6" spans="1:11" x14ac:dyDescent="0.2">
      <c r="A6" s="379"/>
      <c r="B6" s="370"/>
      <c r="C6" s="370"/>
      <c r="D6" s="370"/>
      <c r="E6" s="370"/>
      <c r="F6" s="370"/>
      <c r="G6" s="370"/>
      <c r="H6" s="16">
        <f>H5*H4</f>
        <v>169.732291</v>
      </c>
      <c r="I6" s="3" t="s">
        <v>32</v>
      </c>
      <c r="J6" s="3" t="s">
        <v>68</v>
      </c>
      <c r="K6" s="15" t="s">
        <v>71</v>
      </c>
    </row>
    <row r="7" spans="1:11" x14ac:dyDescent="0.2">
      <c r="A7" s="379"/>
      <c r="B7" s="370"/>
      <c r="C7" s="370"/>
      <c r="D7" s="370"/>
      <c r="E7" s="370"/>
      <c r="F7" s="370"/>
      <c r="G7" s="370" t="s">
        <v>72</v>
      </c>
      <c r="H7" s="16">
        <v>0.41399999999999998</v>
      </c>
      <c r="I7" s="3" t="s">
        <v>32</v>
      </c>
      <c r="J7" s="3" t="s">
        <v>70</v>
      </c>
      <c r="K7" s="15"/>
    </row>
    <row r="8" spans="1:11" x14ac:dyDescent="0.2">
      <c r="A8" s="379"/>
      <c r="B8" s="370"/>
      <c r="C8" s="370"/>
      <c r="D8" s="370"/>
      <c r="E8" s="370"/>
      <c r="F8" s="370"/>
      <c r="G8" s="370"/>
      <c r="H8" s="16">
        <f>H7*H4</f>
        <v>1.7346600000000001</v>
      </c>
      <c r="I8" s="3" t="s">
        <v>32</v>
      </c>
      <c r="J8" s="3" t="s">
        <v>68</v>
      </c>
      <c r="K8" s="15" t="s">
        <v>71</v>
      </c>
    </row>
    <row r="9" spans="1:11" ht="16" thickBot="1" x14ac:dyDescent="0.25">
      <c r="A9" s="379"/>
      <c r="B9" s="370"/>
      <c r="C9" s="370"/>
      <c r="D9" s="370"/>
      <c r="E9" s="370"/>
      <c r="F9" s="370"/>
      <c r="G9" s="6" t="s">
        <v>73</v>
      </c>
      <c r="H9" s="16">
        <f>SUM(H8,H6)</f>
        <v>171.46695099999999</v>
      </c>
      <c r="I9" s="3" t="s">
        <v>32</v>
      </c>
      <c r="J9" s="3" t="s">
        <v>68</v>
      </c>
      <c r="K9" s="15"/>
    </row>
    <row r="10" spans="1:11" x14ac:dyDescent="0.2">
      <c r="A10" s="379"/>
      <c r="B10" s="370"/>
      <c r="C10" s="370"/>
      <c r="D10" s="424" t="s">
        <v>45</v>
      </c>
      <c r="E10" s="424" t="s">
        <v>46</v>
      </c>
      <c r="F10" s="424" t="s">
        <v>11</v>
      </c>
      <c r="G10" s="102" t="s">
        <v>49</v>
      </c>
      <c r="H10" s="103">
        <v>6.6669999999999993E-2</v>
      </c>
      <c r="I10" s="103" t="s">
        <v>32</v>
      </c>
      <c r="J10" s="103" t="s">
        <v>68</v>
      </c>
      <c r="K10" s="104"/>
    </row>
    <row r="11" spans="1:11" x14ac:dyDescent="0.2">
      <c r="A11" s="379"/>
      <c r="B11" s="370"/>
      <c r="C11" s="370"/>
      <c r="D11" s="425"/>
      <c r="E11" s="425"/>
      <c r="F11" s="425"/>
      <c r="G11" s="105" t="s">
        <v>42</v>
      </c>
      <c r="H11" s="106">
        <f>H10</f>
        <v>6.6669999999999993E-2</v>
      </c>
      <c r="I11" s="107" t="s">
        <v>32</v>
      </c>
      <c r="J11" s="107" t="s">
        <v>68</v>
      </c>
      <c r="K11" s="108"/>
    </row>
    <row r="12" spans="1:11" x14ac:dyDescent="0.2">
      <c r="A12" s="379"/>
      <c r="B12" s="370"/>
      <c r="C12" s="370"/>
      <c r="D12" s="425"/>
      <c r="E12" s="425"/>
      <c r="F12" s="425"/>
      <c r="G12" s="425" t="s">
        <v>69</v>
      </c>
      <c r="H12" s="106">
        <v>163.66050000000001</v>
      </c>
      <c r="I12" s="107" t="s">
        <v>32</v>
      </c>
      <c r="J12" s="107" t="s">
        <v>70</v>
      </c>
      <c r="K12" s="108"/>
    </row>
    <row r="13" spans="1:11" x14ac:dyDescent="0.2">
      <c r="A13" s="379"/>
      <c r="B13" s="370"/>
      <c r="C13" s="370"/>
      <c r="D13" s="425"/>
      <c r="E13" s="425"/>
      <c r="F13" s="425"/>
      <c r="G13" s="425"/>
      <c r="H13" s="106">
        <f>H12*H11</f>
        <v>10.911245534999999</v>
      </c>
      <c r="I13" s="107" t="s">
        <v>32</v>
      </c>
      <c r="J13" s="107" t="s">
        <v>68</v>
      </c>
      <c r="K13" s="108" t="s">
        <v>71</v>
      </c>
    </row>
    <row r="14" spans="1:11" x14ac:dyDescent="0.2">
      <c r="A14" s="379"/>
      <c r="B14" s="370"/>
      <c r="C14" s="370"/>
      <c r="D14" s="425"/>
      <c r="E14" s="425"/>
      <c r="F14" s="425"/>
      <c r="G14" s="425" t="s">
        <v>72</v>
      </c>
      <c r="H14" s="106">
        <v>0.1646</v>
      </c>
      <c r="I14" s="107" t="s">
        <v>32</v>
      </c>
      <c r="J14" s="107" t="s">
        <v>70</v>
      </c>
      <c r="K14" s="108"/>
    </row>
    <row r="15" spans="1:11" x14ac:dyDescent="0.2">
      <c r="A15" s="379"/>
      <c r="B15" s="370"/>
      <c r="C15" s="370"/>
      <c r="D15" s="425"/>
      <c r="E15" s="425"/>
      <c r="F15" s="425"/>
      <c r="G15" s="425"/>
      <c r="H15" s="106">
        <f>H14*H11</f>
        <v>1.0973881999999999E-2</v>
      </c>
      <c r="I15" s="107" t="s">
        <v>32</v>
      </c>
      <c r="J15" s="107" t="s">
        <v>68</v>
      </c>
      <c r="K15" s="108" t="s">
        <v>71</v>
      </c>
    </row>
    <row r="16" spans="1:11" x14ac:dyDescent="0.2">
      <c r="A16" s="379"/>
      <c r="B16" s="370"/>
      <c r="C16" s="370"/>
      <c r="D16" s="426"/>
      <c r="E16" s="426"/>
      <c r="F16" s="426"/>
      <c r="G16" s="109" t="s">
        <v>73</v>
      </c>
      <c r="H16" s="110">
        <f>SUM(H15,H13)</f>
        <v>10.922219416999999</v>
      </c>
      <c r="I16" s="111" t="s">
        <v>32</v>
      </c>
      <c r="J16" s="111" t="s">
        <v>68</v>
      </c>
      <c r="K16" s="112"/>
    </row>
    <row r="17" spans="1:11" x14ac:dyDescent="0.2">
      <c r="A17" s="379"/>
      <c r="B17" s="370"/>
      <c r="C17" s="370"/>
      <c r="D17" s="370" t="s">
        <v>47</v>
      </c>
      <c r="E17" s="370" t="s">
        <v>18</v>
      </c>
      <c r="F17" s="370" t="s">
        <v>11</v>
      </c>
      <c r="G17" s="6" t="s">
        <v>49</v>
      </c>
      <c r="H17" s="3">
        <v>6.6669999999999993E-2</v>
      </c>
      <c r="I17" s="3" t="s">
        <v>32</v>
      </c>
      <c r="J17" s="3" t="s">
        <v>68</v>
      </c>
      <c r="K17" s="15"/>
    </row>
    <row r="18" spans="1:11" x14ac:dyDescent="0.2">
      <c r="A18" s="379"/>
      <c r="B18" s="370"/>
      <c r="C18" s="370"/>
      <c r="D18" s="370"/>
      <c r="E18" s="370"/>
      <c r="F18" s="370"/>
      <c r="G18" s="6" t="s">
        <v>42</v>
      </c>
      <c r="H18" s="16">
        <f>H17</f>
        <v>6.6669999999999993E-2</v>
      </c>
      <c r="I18" s="3" t="s">
        <v>32</v>
      </c>
      <c r="J18" s="3" t="s">
        <v>68</v>
      </c>
      <c r="K18" s="15"/>
    </row>
    <row r="19" spans="1:11" x14ac:dyDescent="0.2">
      <c r="A19" s="379"/>
      <c r="B19" s="370"/>
      <c r="C19" s="370"/>
      <c r="D19" s="370"/>
      <c r="E19" s="370"/>
      <c r="F19" s="370"/>
      <c r="G19" s="370" t="s">
        <v>69</v>
      </c>
      <c r="H19" s="16">
        <v>98.215000000000003</v>
      </c>
      <c r="I19" s="3" t="s">
        <v>32</v>
      </c>
      <c r="J19" s="3" t="s">
        <v>70</v>
      </c>
      <c r="K19" s="15"/>
    </row>
    <row r="20" spans="1:11" x14ac:dyDescent="0.2">
      <c r="A20" s="379"/>
      <c r="B20" s="370"/>
      <c r="C20" s="370"/>
      <c r="D20" s="370"/>
      <c r="E20" s="370"/>
      <c r="F20" s="370"/>
      <c r="G20" s="370"/>
      <c r="H20" s="16">
        <f>H19*H18</f>
        <v>6.5479940499999998</v>
      </c>
      <c r="I20" s="3" t="s">
        <v>32</v>
      </c>
      <c r="J20" s="3" t="s">
        <v>68</v>
      </c>
      <c r="K20" s="15" t="s">
        <v>71</v>
      </c>
    </row>
    <row r="21" spans="1:11" x14ac:dyDescent="0.2">
      <c r="A21" s="379"/>
      <c r="B21" s="370"/>
      <c r="C21" s="370"/>
      <c r="D21" s="370"/>
      <c r="E21" s="370"/>
      <c r="F21" s="370"/>
      <c r="G21" s="370" t="s">
        <v>72</v>
      </c>
      <c r="H21" s="16">
        <v>9.9099999999999994E-2</v>
      </c>
      <c r="I21" s="3" t="s">
        <v>32</v>
      </c>
      <c r="J21" s="3" t="s">
        <v>70</v>
      </c>
      <c r="K21" s="15"/>
    </row>
    <row r="22" spans="1:11" x14ac:dyDescent="0.2">
      <c r="A22" s="379"/>
      <c r="B22" s="370"/>
      <c r="C22" s="370"/>
      <c r="D22" s="370"/>
      <c r="E22" s="370"/>
      <c r="F22" s="370"/>
      <c r="G22" s="370"/>
      <c r="H22" s="16">
        <f>H21*H18</f>
        <v>6.606996999999999E-3</v>
      </c>
      <c r="I22" s="3" t="s">
        <v>32</v>
      </c>
      <c r="J22" s="3" t="s">
        <v>68</v>
      </c>
      <c r="K22" s="15" t="s">
        <v>71</v>
      </c>
    </row>
    <row r="23" spans="1:11" x14ac:dyDescent="0.2">
      <c r="A23" s="379"/>
      <c r="B23" s="370"/>
      <c r="C23" s="370"/>
      <c r="D23" s="389"/>
      <c r="E23" s="389"/>
      <c r="F23" s="389"/>
      <c r="G23" s="13" t="s">
        <v>73</v>
      </c>
      <c r="H23" s="12">
        <f>SUM(H22,H20)</f>
        <v>6.5546010469999993</v>
      </c>
      <c r="I23" s="11" t="s">
        <v>32</v>
      </c>
      <c r="J23" s="11" t="s">
        <v>68</v>
      </c>
      <c r="K23" s="9"/>
    </row>
    <row r="24" spans="1:11" ht="15" customHeight="1" x14ac:dyDescent="0.2">
      <c r="A24" s="397" t="s">
        <v>9</v>
      </c>
      <c r="B24" s="381" t="s">
        <v>48</v>
      </c>
      <c r="C24" s="369">
        <v>2021</v>
      </c>
      <c r="D24" s="425" t="s">
        <v>24</v>
      </c>
      <c r="E24" s="425" t="s">
        <v>10</v>
      </c>
      <c r="F24" s="425" t="s">
        <v>11</v>
      </c>
      <c r="G24" s="425" t="s">
        <v>49</v>
      </c>
      <c r="H24" s="107">
        <v>24.1</v>
      </c>
      <c r="I24" s="107" t="s">
        <v>74</v>
      </c>
      <c r="J24" s="107" t="s">
        <v>75</v>
      </c>
      <c r="K24" s="108"/>
    </row>
    <row r="25" spans="1:11" x14ac:dyDescent="0.2">
      <c r="A25" s="398"/>
      <c r="B25" s="382"/>
      <c r="C25" s="370"/>
      <c r="D25" s="425"/>
      <c r="E25" s="425"/>
      <c r="F25" s="425"/>
      <c r="G25" s="425"/>
      <c r="H25" s="107">
        <v>96.4</v>
      </c>
      <c r="I25" s="107" t="s">
        <v>74</v>
      </c>
      <c r="J25" s="107" t="s">
        <v>76</v>
      </c>
      <c r="K25" s="108"/>
    </row>
    <row r="26" spans="1:11" x14ac:dyDescent="0.2">
      <c r="A26" s="398"/>
      <c r="B26" s="382"/>
      <c r="C26" s="370"/>
      <c r="D26" s="425"/>
      <c r="E26" s="425"/>
      <c r="F26" s="425"/>
      <c r="G26" s="425" t="s">
        <v>72</v>
      </c>
      <c r="H26" s="107">
        <v>2.4</v>
      </c>
      <c r="I26" s="107" t="s">
        <v>14</v>
      </c>
      <c r="J26" s="107" t="s">
        <v>75</v>
      </c>
      <c r="K26" s="108" t="s">
        <v>77</v>
      </c>
    </row>
    <row r="27" spans="1:11" x14ac:dyDescent="0.2">
      <c r="A27" s="398"/>
      <c r="B27" s="382"/>
      <c r="C27" s="370"/>
      <c r="D27" s="425"/>
      <c r="E27" s="425"/>
      <c r="F27" s="425"/>
      <c r="G27" s="425"/>
      <c r="H27" s="107">
        <f>H26/H24*H25</f>
        <v>9.6</v>
      </c>
      <c r="I27" s="107" t="s">
        <v>14</v>
      </c>
      <c r="J27" s="107" t="s">
        <v>76</v>
      </c>
      <c r="K27" s="108" t="s">
        <v>71</v>
      </c>
    </row>
    <row r="28" spans="1:11" x14ac:dyDescent="0.2">
      <c r="A28" s="398"/>
      <c r="B28" s="382"/>
      <c r="C28" s="370"/>
      <c r="D28" s="425"/>
      <c r="E28" s="425"/>
      <c r="F28" s="425"/>
      <c r="G28" s="425"/>
      <c r="H28" s="107">
        <f>H27*1000</f>
        <v>9600</v>
      </c>
      <c r="I28" s="107" t="s">
        <v>32</v>
      </c>
      <c r="J28" s="107" t="s">
        <v>76</v>
      </c>
      <c r="K28" s="108" t="s">
        <v>78</v>
      </c>
    </row>
    <row r="29" spans="1:11" ht="32" x14ac:dyDescent="0.2">
      <c r="A29" s="398"/>
      <c r="B29" s="382"/>
      <c r="C29" s="370"/>
      <c r="D29" s="425"/>
      <c r="E29" s="425"/>
      <c r="F29" s="425"/>
      <c r="G29" s="105" t="s">
        <v>69</v>
      </c>
      <c r="H29" s="107">
        <v>0</v>
      </c>
      <c r="I29" s="107" t="s">
        <v>14</v>
      </c>
      <c r="J29" s="107" t="s">
        <v>76</v>
      </c>
      <c r="K29" s="113" t="s">
        <v>79</v>
      </c>
    </row>
    <row r="30" spans="1:11" x14ac:dyDescent="0.2">
      <c r="A30" s="398"/>
      <c r="B30" s="382"/>
      <c r="C30" s="370"/>
      <c r="D30" s="425"/>
      <c r="E30" s="425"/>
      <c r="F30" s="425"/>
      <c r="G30" s="425" t="s">
        <v>73</v>
      </c>
      <c r="H30" s="106">
        <f>SUM(H29,H27)</f>
        <v>9.6</v>
      </c>
      <c r="I30" s="107" t="s">
        <v>14</v>
      </c>
      <c r="J30" s="107" t="s">
        <v>76</v>
      </c>
      <c r="K30" s="113"/>
    </row>
    <row r="31" spans="1:11" ht="16" thickBot="1" x14ac:dyDescent="0.25">
      <c r="A31" s="399"/>
      <c r="B31" s="417"/>
      <c r="C31" s="389"/>
      <c r="D31" s="425"/>
      <c r="E31" s="425"/>
      <c r="F31" s="425"/>
      <c r="G31" s="426"/>
      <c r="H31" s="110">
        <f>H30</f>
        <v>9.6</v>
      </c>
      <c r="I31" s="111" t="s">
        <v>32</v>
      </c>
      <c r="J31" s="111" t="s">
        <v>68</v>
      </c>
      <c r="K31" s="112" t="s">
        <v>78</v>
      </c>
    </row>
    <row r="32" spans="1:11" x14ac:dyDescent="0.2">
      <c r="A32" s="379" t="s">
        <v>16</v>
      </c>
      <c r="B32" s="382" t="s">
        <v>17</v>
      </c>
      <c r="C32" s="370">
        <v>2022</v>
      </c>
      <c r="D32" s="369" t="s">
        <v>50</v>
      </c>
      <c r="E32" s="369" t="s">
        <v>18</v>
      </c>
      <c r="F32" s="369" t="s">
        <v>11</v>
      </c>
      <c r="G32" s="6" t="s">
        <v>42</v>
      </c>
      <c r="H32" s="3">
        <v>5.15</v>
      </c>
      <c r="I32" s="3" t="s">
        <v>74</v>
      </c>
      <c r="J32" s="3" t="s">
        <v>76</v>
      </c>
      <c r="K32" s="15"/>
    </row>
    <row r="33" spans="1:11" x14ac:dyDescent="0.2">
      <c r="A33" s="379"/>
      <c r="B33" s="382"/>
      <c r="C33" s="370"/>
      <c r="D33" s="370"/>
      <c r="E33" s="370"/>
      <c r="F33" s="370"/>
      <c r="G33" s="370" t="s">
        <v>69</v>
      </c>
      <c r="H33" s="3">
        <v>87.6</v>
      </c>
      <c r="I33" s="3" t="s">
        <v>74</v>
      </c>
      <c r="J33" s="3" t="s">
        <v>75</v>
      </c>
      <c r="K33" s="15"/>
    </row>
    <row r="34" spans="1:11" x14ac:dyDescent="0.2">
      <c r="A34" s="379"/>
      <c r="B34" s="382"/>
      <c r="C34" s="370"/>
      <c r="D34" s="370"/>
      <c r="E34" s="370"/>
      <c r="F34" s="370"/>
      <c r="G34" s="370"/>
      <c r="H34" s="3">
        <f>H33*H32</f>
        <v>451.14</v>
      </c>
      <c r="I34" s="3" t="s">
        <v>74</v>
      </c>
      <c r="J34" s="3" t="s">
        <v>76</v>
      </c>
      <c r="K34" s="15"/>
    </row>
    <row r="35" spans="1:11" x14ac:dyDescent="0.2">
      <c r="A35" s="379"/>
      <c r="B35" s="382"/>
      <c r="C35" s="370"/>
      <c r="D35" s="370"/>
      <c r="E35" s="370"/>
      <c r="F35" s="370"/>
      <c r="G35" s="370"/>
      <c r="H35" s="3">
        <f>H34</f>
        <v>451.14</v>
      </c>
      <c r="I35" s="3" t="s">
        <v>14</v>
      </c>
      <c r="J35" s="3" t="s">
        <v>76</v>
      </c>
      <c r="K35" s="15" t="s">
        <v>78</v>
      </c>
    </row>
    <row r="36" spans="1:11" x14ac:dyDescent="0.2">
      <c r="A36" s="379"/>
      <c r="B36" s="382"/>
      <c r="C36" s="370"/>
      <c r="D36" s="370"/>
      <c r="E36" s="370"/>
      <c r="F36" s="370"/>
      <c r="G36" s="6" t="s">
        <v>72</v>
      </c>
      <c r="H36" s="3">
        <v>0</v>
      </c>
      <c r="I36" s="3" t="s">
        <v>14</v>
      </c>
      <c r="J36" s="3" t="s">
        <v>76</v>
      </c>
      <c r="K36" s="15"/>
    </row>
    <row r="37" spans="1:11" x14ac:dyDescent="0.2">
      <c r="A37" s="379"/>
      <c r="B37" s="382"/>
      <c r="C37" s="370"/>
      <c r="D37" s="370"/>
      <c r="E37" s="370"/>
      <c r="F37" s="370"/>
      <c r="G37" s="370" t="s">
        <v>73</v>
      </c>
      <c r="H37" s="16">
        <f>SUM(H36,H35)</f>
        <v>451.14</v>
      </c>
      <c r="I37" s="3" t="s">
        <v>14</v>
      </c>
      <c r="J37" s="3" t="s">
        <v>76</v>
      </c>
      <c r="K37" s="15"/>
    </row>
    <row r="38" spans="1:11" ht="16" thickBot="1" x14ac:dyDescent="0.25">
      <c r="A38" s="379"/>
      <c r="B38" s="382"/>
      <c r="C38" s="370"/>
      <c r="D38" s="389"/>
      <c r="E38" s="389"/>
      <c r="F38" s="389"/>
      <c r="G38" s="370"/>
      <c r="H38" s="16">
        <f>H37</f>
        <v>451.14</v>
      </c>
      <c r="I38" s="3" t="s">
        <v>32</v>
      </c>
      <c r="J38" s="3" t="s">
        <v>68</v>
      </c>
      <c r="K38" s="15" t="s">
        <v>78</v>
      </c>
    </row>
    <row r="39" spans="1:11" x14ac:dyDescent="0.2">
      <c r="A39" s="379"/>
      <c r="B39" s="382"/>
      <c r="C39" s="370"/>
      <c r="D39" s="425" t="s">
        <v>340</v>
      </c>
      <c r="E39" s="425" t="s">
        <v>10</v>
      </c>
      <c r="F39" s="425" t="s">
        <v>11</v>
      </c>
      <c r="G39" s="102" t="s">
        <v>42</v>
      </c>
      <c r="H39" s="103">
        <v>36.9</v>
      </c>
      <c r="I39" s="103" t="s">
        <v>74</v>
      </c>
      <c r="J39" s="103" t="s">
        <v>76</v>
      </c>
      <c r="K39" s="104"/>
    </row>
    <row r="40" spans="1:11" x14ac:dyDescent="0.2">
      <c r="A40" s="379"/>
      <c r="B40" s="382"/>
      <c r="C40" s="370"/>
      <c r="D40" s="425"/>
      <c r="E40" s="425"/>
      <c r="F40" s="425"/>
      <c r="G40" s="425" t="s">
        <v>69</v>
      </c>
      <c r="H40" s="107">
        <v>7.14</v>
      </c>
      <c r="I40" s="107" t="s">
        <v>74</v>
      </c>
      <c r="J40" s="107" t="s">
        <v>75</v>
      </c>
      <c r="K40" s="108"/>
    </row>
    <row r="41" spans="1:11" x14ac:dyDescent="0.2">
      <c r="A41" s="379"/>
      <c r="B41" s="382"/>
      <c r="C41" s="370"/>
      <c r="D41" s="425"/>
      <c r="E41" s="425"/>
      <c r="F41" s="425"/>
      <c r="G41" s="425"/>
      <c r="H41" s="107">
        <f>H40*H39</f>
        <v>263.46599999999995</v>
      </c>
      <c r="I41" s="107" t="s">
        <v>74</v>
      </c>
      <c r="J41" s="107" t="s">
        <v>76</v>
      </c>
      <c r="K41" s="108"/>
    </row>
    <row r="42" spans="1:11" x14ac:dyDescent="0.2">
      <c r="A42" s="379"/>
      <c r="B42" s="382"/>
      <c r="C42" s="370"/>
      <c r="D42" s="425"/>
      <c r="E42" s="425"/>
      <c r="F42" s="425"/>
      <c r="G42" s="425"/>
      <c r="H42" s="107">
        <f>H41</f>
        <v>263.46599999999995</v>
      </c>
      <c r="I42" s="107" t="s">
        <v>14</v>
      </c>
      <c r="J42" s="107" t="s">
        <v>76</v>
      </c>
      <c r="K42" s="108" t="s">
        <v>78</v>
      </c>
    </row>
    <row r="43" spans="1:11" x14ac:dyDescent="0.2">
      <c r="A43" s="379"/>
      <c r="B43" s="382"/>
      <c r="C43" s="370"/>
      <c r="D43" s="425"/>
      <c r="E43" s="425"/>
      <c r="F43" s="425"/>
      <c r="G43" s="105" t="s">
        <v>72</v>
      </c>
      <c r="H43" s="107">
        <v>0</v>
      </c>
      <c r="I43" s="107" t="s">
        <v>14</v>
      </c>
      <c r="J43" s="107" t="s">
        <v>76</v>
      </c>
      <c r="K43" s="108"/>
    </row>
    <row r="44" spans="1:11" x14ac:dyDescent="0.2">
      <c r="A44" s="379"/>
      <c r="B44" s="382"/>
      <c r="C44" s="370"/>
      <c r="D44" s="425"/>
      <c r="E44" s="425"/>
      <c r="F44" s="425"/>
      <c r="G44" s="425" t="s">
        <v>73</v>
      </c>
      <c r="H44" s="106">
        <f>SUM(H43,H42)</f>
        <v>263.46599999999995</v>
      </c>
      <c r="I44" s="107" t="s">
        <v>14</v>
      </c>
      <c r="J44" s="107" t="s">
        <v>76</v>
      </c>
      <c r="K44" s="108"/>
    </row>
    <row r="45" spans="1:11" x14ac:dyDescent="0.2">
      <c r="A45" s="379"/>
      <c r="B45" s="382"/>
      <c r="C45" s="370"/>
      <c r="D45" s="425"/>
      <c r="E45" s="425"/>
      <c r="F45" s="425"/>
      <c r="G45" s="425"/>
      <c r="H45" s="106">
        <f>H44</f>
        <v>263.46599999999995</v>
      </c>
      <c r="I45" s="107" t="s">
        <v>32</v>
      </c>
      <c r="J45" s="107" t="s">
        <v>68</v>
      </c>
      <c r="K45" s="108" t="s">
        <v>78</v>
      </c>
    </row>
    <row r="46" spans="1:11" ht="16" thickBot="1" x14ac:dyDescent="0.25">
      <c r="A46" s="378" t="s">
        <v>19</v>
      </c>
      <c r="B46" s="381" t="s">
        <v>20</v>
      </c>
      <c r="C46" s="369">
        <v>2022</v>
      </c>
      <c r="D46" s="8" t="s">
        <v>24</v>
      </c>
      <c r="E46" s="8" t="s">
        <v>10</v>
      </c>
      <c r="F46" s="8" t="s">
        <v>11</v>
      </c>
      <c r="G46" s="17" t="s">
        <v>73</v>
      </c>
      <c r="H46" s="18">
        <v>38</v>
      </c>
      <c r="I46" s="18" t="s">
        <v>32</v>
      </c>
      <c r="J46" s="18" t="s">
        <v>68</v>
      </c>
      <c r="K46" s="19"/>
    </row>
    <row r="47" spans="1:11" ht="16" thickBot="1" x14ac:dyDescent="0.25">
      <c r="A47" s="379"/>
      <c r="B47" s="382"/>
      <c r="C47" s="370"/>
      <c r="D47" s="102" t="s">
        <v>21</v>
      </c>
      <c r="E47" s="102" t="s">
        <v>18</v>
      </c>
      <c r="F47" s="102" t="s">
        <v>11</v>
      </c>
      <c r="G47" s="105" t="s">
        <v>73</v>
      </c>
      <c r="H47" s="107">
        <v>219</v>
      </c>
      <c r="I47" s="107" t="s">
        <v>32</v>
      </c>
      <c r="J47" s="107" t="s">
        <v>68</v>
      </c>
      <c r="K47" s="108"/>
    </row>
    <row r="48" spans="1:11" ht="16" thickBot="1" x14ac:dyDescent="0.25">
      <c r="A48" s="379"/>
      <c r="B48" s="382"/>
      <c r="C48" s="370"/>
      <c r="D48" s="8" t="s">
        <v>22</v>
      </c>
      <c r="E48" s="8" t="s">
        <v>18</v>
      </c>
      <c r="F48" s="8" t="s">
        <v>11</v>
      </c>
      <c r="G48" s="8" t="s">
        <v>73</v>
      </c>
      <c r="H48" s="10">
        <v>46</v>
      </c>
      <c r="I48" s="10" t="s">
        <v>32</v>
      </c>
      <c r="J48" s="10" t="s">
        <v>68</v>
      </c>
      <c r="K48" s="14"/>
    </row>
    <row r="49" spans="1:11" ht="16" thickBot="1" x14ac:dyDescent="0.25">
      <c r="A49" s="379"/>
      <c r="B49" s="382"/>
      <c r="C49" s="370"/>
      <c r="D49" s="114" t="s">
        <v>23</v>
      </c>
      <c r="E49" s="114" t="s">
        <v>18</v>
      </c>
      <c r="F49" s="102" t="s">
        <v>11</v>
      </c>
      <c r="G49" s="114" t="s">
        <v>73</v>
      </c>
      <c r="H49" s="115">
        <v>43</v>
      </c>
      <c r="I49" s="115" t="s">
        <v>32</v>
      </c>
      <c r="J49" s="115" t="s">
        <v>68</v>
      </c>
      <c r="K49" s="116"/>
    </row>
    <row r="50" spans="1:11" ht="16" thickBot="1" x14ac:dyDescent="0.25">
      <c r="A50" s="379"/>
      <c r="B50" s="382"/>
      <c r="C50" s="371"/>
      <c r="D50" s="3" t="s">
        <v>26</v>
      </c>
      <c r="E50" s="6" t="s">
        <v>25</v>
      </c>
      <c r="F50" s="34" t="s">
        <v>11</v>
      </c>
      <c r="G50" s="11" t="s">
        <v>73</v>
      </c>
      <c r="H50" s="11">
        <v>474</v>
      </c>
      <c r="I50" s="11" t="s">
        <v>32</v>
      </c>
      <c r="J50" s="11" t="s">
        <v>68</v>
      </c>
      <c r="K50" s="9"/>
    </row>
    <row r="51" spans="1:11" ht="16" thickBot="1" x14ac:dyDescent="0.25">
      <c r="A51" s="354" t="s">
        <v>338</v>
      </c>
      <c r="B51" s="360" t="s">
        <v>337</v>
      </c>
      <c r="C51" s="348">
        <v>2025</v>
      </c>
      <c r="D51" s="117" t="s">
        <v>24</v>
      </c>
      <c r="E51" s="118" t="s">
        <v>10</v>
      </c>
      <c r="F51" s="119" t="s">
        <v>11</v>
      </c>
      <c r="G51" s="114" t="s">
        <v>73</v>
      </c>
      <c r="H51" s="115">
        <v>47</v>
      </c>
      <c r="I51" s="115" t="s">
        <v>32</v>
      </c>
      <c r="J51" s="115" t="s">
        <v>68</v>
      </c>
      <c r="K51" s="116"/>
    </row>
    <row r="52" spans="1:11" ht="16" thickBot="1" x14ac:dyDescent="0.25">
      <c r="A52" s="355"/>
      <c r="B52" s="377"/>
      <c r="C52" s="349"/>
      <c r="D52" s="34" t="s">
        <v>339</v>
      </c>
      <c r="E52" s="35" t="s">
        <v>18</v>
      </c>
      <c r="F52" s="34" t="s">
        <v>11</v>
      </c>
      <c r="G52" s="6" t="s">
        <v>73</v>
      </c>
      <c r="H52" s="3">
        <v>53</v>
      </c>
      <c r="I52" s="3" t="s">
        <v>32</v>
      </c>
      <c r="J52" s="3" t="s">
        <v>68</v>
      </c>
      <c r="K52" s="15" t="s">
        <v>591</v>
      </c>
    </row>
    <row r="53" spans="1:11" ht="16" thickBot="1" x14ac:dyDescent="0.25">
      <c r="A53" s="355"/>
      <c r="B53" s="377"/>
      <c r="C53" s="349"/>
      <c r="D53" s="120" t="s">
        <v>340</v>
      </c>
      <c r="E53" s="121" t="s">
        <v>10</v>
      </c>
      <c r="F53" s="119" t="s">
        <v>11</v>
      </c>
      <c r="G53" s="102" t="s">
        <v>73</v>
      </c>
      <c r="H53" s="103">
        <v>200</v>
      </c>
      <c r="I53" s="103" t="s">
        <v>32</v>
      </c>
      <c r="J53" s="103" t="s">
        <v>68</v>
      </c>
      <c r="K53" s="104" t="s">
        <v>360</v>
      </c>
    </row>
    <row r="54" spans="1:11" ht="16" thickBot="1" x14ac:dyDescent="0.25">
      <c r="A54" s="355"/>
      <c r="B54" s="377"/>
      <c r="C54" s="349"/>
      <c r="D54" s="34" t="s">
        <v>341</v>
      </c>
      <c r="E54" s="35" t="s">
        <v>18</v>
      </c>
      <c r="F54" s="34" t="s">
        <v>11</v>
      </c>
      <c r="G54" s="17" t="s">
        <v>73</v>
      </c>
      <c r="H54" s="18">
        <v>33</v>
      </c>
      <c r="I54" s="18" t="s">
        <v>32</v>
      </c>
      <c r="J54" s="18" t="s">
        <v>68</v>
      </c>
      <c r="K54" s="19" t="s">
        <v>591</v>
      </c>
    </row>
    <row r="55" spans="1:11" ht="16" thickBot="1" x14ac:dyDescent="0.25">
      <c r="A55" s="355"/>
      <c r="B55" s="377"/>
      <c r="C55" s="349"/>
      <c r="D55" s="120" t="s">
        <v>342</v>
      </c>
      <c r="E55" s="121" t="s">
        <v>18</v>
      </c>
      <c r="F55" s="119" t="s">
        <v>11</v>
      </c>
      <c r="G55" s="114" t="s">
        <v>73</v>
      </c>
      <c r="H55" s="111">
        <v>61</v>
      </c>
      <c r="I55" s="111" t="s">
        <v>32</v>
      </c>
      <c r="J55" s="111" t="s">
        <v>68</v>
      </c>
      <c r="K55" s="112" t="s">
        <v>590</v>
      </c>
    </row>
    <row r="56" spans="1:11" ht="16" thickBot="1" x14ac:dyDescent="0.25">
      <c r="A56" s="355"/>
      <c r="B56" s="377"/>
      <c r="C56" s="349"/>
      <c r="D56" s="34" t="s">
        <v>22</v>
      </c>
      <c r="E56" s="35" t="s">
        <v>18</v>
      </c>
      <c r="F56" s="34" t="s">
        <v>11</v>
      </c>
      <c r="G56" s="6" t="s">
        <v>73</v>
      </c>
      <c r="H56" s="3">
        <v>56</v>
      </c>
      <c r="I56" s="3" t="s">
        <v>32</v>
      </c>
      <c r="J56" s="3" t="s">
        <v>68</v>
      </c>
      <c r="K56" s="15"/>
    </row>
    <row r="57" spans="1:11" ht="16" thickBot="1" x14ac:dyDescent="0.25">
      <c r="A57" s="355"/>
      <c r="B57" s="377"/>
      <c r="C57" s="349"/>
      <c r="D57" s="120" t="s">
        <v>343</v>
      </c>
      <c r="E57" s="121" t="s">
        <v>18</v>
      </c>
      <c r="F57" s="119" t="s">
        <v>11</v>
      </c>
      <c r="G57" s="102" t="s">
        <v>73</v>
      </c>
      <c r="H57" s="103">
        <v>85</v>
      </c>
      <c r="I57" s="103" t="s">
        <v>32</v>
      </c>
      <c r="J57" s="103" t="s">
        <v>68</v>
      </c>
      <c r="K57" s="104" t="s">
        <v>360</v>
      </c>
    </row>
    <row r="58" spans="1:11" ht="16" thickBot="1" x14ac:dyDescent="0.25">
      <c r="A58" s="355"/>
      <c r="B58" s="377"/>
      <c r="C58" s="349"/>
      <c r="D58" s="34" t="s">
        <v>21</v>
      </c>
      <c r="E58" s="35" t="s">
        <v>18</v>
      </c>
      <c r="F58" s="34" t="s">
        <v>11</v>
      </c>
      <c r="G58" s="17" t="s">
        <v>73</v>
      </c>
      <c r="H58" s="18">
        <v>128</v>
      </c>
      <c r="I58" s="18" t="s">
        <v>32</v>
      </c>
      <c r="J58" s="18" t="s">
        <v>68</v>
      </c>
      <c r="K58" s="19"/>
    </row>
    <row r="59" spans="1:11" ht="16" thickBot="1" x14ac:dyDescent="0.25">
      <c r="A59" s="403"/>
      <c r="B59" s="361"/>
      <c r="C59" s="349"/>
      <c r="D59" s="120" t="s">
        <v>111</v>
      </c>
      <c r="E59" s="121" t="s">
        <v>29</v>
      </c>
      <c r="F59" s="117" t="s">
        <v>11</v>
      </c>
      <c r="G59" s="107" t="s">
        <v>73</v>
      </c>
      <c r="H59" s="107">
        <v>67</v>
      </c>
      <c r="I59" s="107" t="s">
        <v>32</v>
      </c>
      <c r="J59" s="107" t="s">
        <v>68</v>
      </c>
      <c r="K59" s="108"/>
    </row>
    <row r="60" spans="1:11" x14ac:dyDescent="0.2">
      <c r="A60" s="354" t="s">
        <v>362</v>
      </c>
      <c r="B60" s="360" t="s">
        <v>361</v>
      </c>
      <c r="C60" s="372">
        <v>2024</v>
      </c>
      <c r="D60" s="348" t="s">
        <v>24</v>
      </c>
      <c r="E60" s="348" t="s">
        <v>10</v>
      </c>
      <c r="F60" s="348" t="s">
        <v>11</v>
      </c>
      <c r="G60" s="401" t="s">
        <v>73</v>
      </c>
      <c r="H60" s="20">
        <v>12279</v>
      </c>
      <c r="I60" s="20" t="s">
        <v>211</v>
      </c>
      <c r="J60" s="20" t="s">
        <v>76</v>
      </c>
      <c r="K60" s="25"/>
    </row>
    <row r="61" spans="1:11" ht="35" customHeight="1" thickBot="1" x14ac:dyDescent="0.25">
      <c r="A61" s="403"/>
      <c r="B61" s="361"/>
      <c r="C61" s="373"/>
      <c r="D61" s="350"/>
      <c r="E61" s="350"/>
      <c r="F61" s="350"/>
      <c r="G61" s="402"/>
      <c r="H61" s="24">
        <f>H60*(cubicm/liter)</f>
        <v>12.279</v>
      </c>
      <c r="I61" s="24" t="s">
        <v>32</v>
      </c>
      <c r="J61" s="24" t="s">
        <v>68</v>
      </c>
      <c r="K61" s="27"/>
    </row>
    <row r="62" spans="1:11" ht="35" customHeight="1" x14ac:dyDescent="0.2">
      <c r="A62" s="354" t="s">
        <v>371</v>
      </c>
      <c r="B62" s="360" t="s">
        <v>370</v>
      </c>
      <c r="C62" s="348">
        <v>2024</v>
      </c>
      <c r="D62" s="351" t="s">
        <v>24</v>
      </c>
      <c r="E62" s="351" t="s">
        <v>10</v>
      </c>
      <c r="F62" s="351" t="s">
        <v>11</v>
      </c>
      <c r="G62" s="59" t="s">
        <v>73</v>
      </c>
      <c r="H62" s="59">
        <v>154.1</v>
      </c>
      <c r="I62" s="59" t="s">
        <v>32</v>
      </c>
      <c r="J62" s="59" t="s">
        <v>68</v>
      </c>
      <c r="K62" s="71" t="s">
        <v>367</v>
      </c>
    </row>
    <row r="63" spans="1:11" ht="35" customHeight="1" x14ac:dyDescent="0.2">
      <c r="A63" s="355"/>
      <c r="B63" s="377"/>
      <c r="C63" s="349"/>
      <c r="D63" s="352"/>
      <c r="E63" s="352"/>
      <c r="F63" s="352"/>
      <c r="G63" s="59" t="s">
        <v>73</v>
      </c>
      <c r="H63" s="59">
        <v>447.22</v>
      </c>
      <c r="I63" s="59" t="s">
        <v>32</v>
      </c>
      <c r="J63" s="59" t="s">
        <v>68</v>
      </c>
      <c r="K63" s="71" t="s">
        <v>368</v>
      </c>
    </row>
    <row r="64" spans="1:11" ht="35" customHeight="1" thickBot="1" x14ac:dyDescent="0.25">
      <c r="A64" s="403"/>
      <c r="B64" s="361"/>
      <c r="C64" s="350"/>
      <c r="D64" s="353"/>
      <c r="E64" s="353"/>
      <c r="F64" s="353"/>
      <c r="G64" s="59" t="s">
        <v>73</v>
      </c>
      <c r="H64" s="59">
        <v>47.02</v>
      </c>
      <c r="I64" s="59" t="s">
        <v>32</v>
      </c>
      <c r="J64" s="59" t="s">
        <v>68</v>
      </c>
      <c r="K64" s="71" t="s">
        <v>369</v>
      </c>
    </row>
    <row r="65" spans="1:11" x14ac:dyDescent="0.2">
      <c r="A65" s="354" t="s">
        <v>582</v>
      </c>
      <c r="B65" s="360" t="s">
        <v>583</v>
      </c>
      <c r="C65" s="348">
        <v>2025</v>
      </c>
      <c r="D65" s="348" t="s">
        <v>24</v>
      </c>
      <c r="E65" s="348" t="s">
        <v>10</v>
      </c>
      <c r="F65" s="348" t="s">
        <v>11</v>
      </c>
      <c r="G65" s="41" t="s">
        <v>584</v>
      </c>
      <c r="H65" s="20">
        <v>4.5</v>
      </c>
      <c r="I65" s="20" t="s">
        <v>14</v>
      </c>
      <c r="J65" s="20" t="s">
        <v>76</v>
      </c>
      <c r="K65" s="25"/>
    </row>
    <row r="66" spans="1:11" x14ac:dyDescent="0.2">
      <c r="A66" s="355"/>
      <c r="B66" s="377"/>
      <c r="C66" s="349"/>
      <c r="D66" s="349"/>
      <c r="E66" s="349"/>
      <c r="F66" s="349"/>
      <c r="G66" s="42" t="s">
        <v>585</v>
      </c>
      <c r="H66" s="3">
        <v>7.5</v>
      </c>
      <c r="I66" s="3" t="s">
        <v>14</v>
      </c>
      <c r="J66" s="3" t="s">
        <v>76</v>
      </c>
      <c r="K66" s="26"/>
    </row>
    <row r="67" spans="1:11" x14ac:dyDescent="0.2">
      <c r="A67" s="355"/>
      <c r="B67" s="377"/>
      <c r="C67" s="349"/>
      <c r="D67" s="349"/>
      <c r="E67" s="349"/>
      <c r="F67" s="349"/>
      <c r="G67" s="406" t="s">
        <v>73</v>
      </c>
      <c r="H67" s="3">
        <f>SUM(H66,H65)</f>
        <v>12</v>
      </c>
      <c r="I67" s="3" t="s">
        <v>14</v>
      </c>
      <c r="J67" s="3" t="s">
        <v>76</v>
      </c>
      <c r="K67" s="26"/>
    </row>
    <row r="68" spans="1:11" ht="16" thickBot="1" x14ac:dyDescent="0.25">
      <c r="A68" s="403"/>
      <c r="B68" s="361"/>
      <c r="C68" s="350"/>
      <c r="D68" s="350"/>
      <c r="E68" s="350"/>
      <c r="F68" s="350"/>
      <c r="G68" s="373"/>
      <c r="H68" s="24">
        <f>H67</f>
        <v>12</v>
      </c>
      <c r="I68" s="24" t="s">
        <v>32</v>
      </c>
      <c r="J68" s="24" t="s">
        <v>68</v>
      </c>
      <c r="K68" s="27" t="s">
        <v>78</v>
      </c>
    </row>
    <row r="69" spans="1:11" ht="16" customHeight="1" thickBot="1" x14ac:dyDescent="0.25">
      <c r="A69" s="404" t="s">
        <v>323</v>
      </c>
      <c r="B69" s="360" t="s">
        <v>324</v>
      </c>
      <c r="C69" s="360">
        <v>2023</v>
      </c>
      <c r="D69" s="25" t="s">
        <v>326</v>
      </c>
      <c r="E69" s="25" t="s">
        <v>25</v>
      </c>
      <c r="F69" s="25" t="s">
        <v>363</v>
      </c>
      <c r="G69" s="20" t="s">
        <v>325</v>
      </c>
      <c r="H69" s="20">
        <v>29.6</v>
      </c>
      <c r="I69" s="20" t="s">
        <v>14</v>
      </c>
      <c r="J69" s="20" t="s">
        <v>76</v>
      </c>
      <c r="K69" s="25"/>
    </row>
    <row r="70" spans="1:11" ht="16" thickBot="1" x14ac:dyDescent="0.25">
      <c r="A70" s="404"/>
      <c r="B70" s="377"/>
      <c r="C70" s="377"/>
      <c r="D70" s="119" t="s">
        <v>8</v>
      </c>
      <c r="E70" s="119" t="s">
        <v>327</v>
      </c>
      <c r="F70" s="119" t="s">
        <v>363</v>
      </c>
      <c r="G70" s="122" t="s">
        <v>325</v>
      </c>
      <c r="H70" s="122">
        <v>188.62</v>
      </c>
      <c r="I70" s="122" t="s">
        <v>14</v>
      </c>
      <c r="J70" s="122" t="s">
        <v>76</v>
      </c>
      <c r="K70" s="119"/>
    </row>
    <row r="71" spans="1:11" ht="16" thickBot="1" x14ac:dyDescent="0.25">
      <c r="A71" s="404"/>
      <c r="B71" s="377"/>
      <c r="C71" s="377"/>
      <c r="D71" s="27" t="s">
        <v>328</v>
      </c>
      <c r="E71" s="27" t="s">
        <v>25</v>
      </c>
      <c r="F71" s="25" t="s">
        <v>363</v>
      </c>
      <c r="G71" s="24" t="s">
        <v>325</v>
      </c>
      <c r="H71" s="24">
        <v>0.08</v>
      </c>
      <c r="I71" s="24" t="s">
        <v>14</v>
      </c>
      <c r="J71" s="24" t="s">
        <v>76</v>
      </c>
      <c r="K71" s="27"/>
    </row>
    <row r="72" spans="1:11" ht="15" customHeight="1" thickBot="1" x14ac:dyDescent="0.25">
      <c r="A72" s="404"/>
      <c r="B72" s="377"/>
      <c r="C72" s="377"/>
      <c r="D72" s="69" t="s">
        <v>329</v>
      </c>
      <c r="E72" s="69" t="s">
        <v>25</v>
      </c>
      <c r="F72" s="69" t="s">
        <v>364</v>
      </c>
      <c r="G72" s="81" t="s">
        <v>325</v>
      </c>
      <c r="H72" s="81">
        <v>8.1999999999999993</v>
      </c>
      <c r="I72" s="81" t="s">
        <v>14</v>
      </c>
      <c r="J72" s="81" t="s">
        <v>76</v>
      </c>
      <c r="K72" s="69" t="s">
        <v>587</v>
      </c>
    </row>
    <row r="73" spans="1:11" ht="16" thickBot="1" x14ac:dyDescent="0.25">
      <c r="A73" s="404"/>
      <c r="B73" s="377"/>
      <c r="C73" s="377"/>
      <c r="D73" s="27" t="s">
        <v>330</v>
      </c>
      <c r="E73" s="27" t="s">
        <v>25</v>
      </c>
      <c r="F73" s="26" t="s">
        <v>364</v>
      </c>
      <c r="G73" s="24" t="s">
        <v>325</v>
      </c>
      <c r="H73" s="24">
        <v>18787</v>
      </c>
      <c r="I73" s="24" t="s">
        <v>14</v>
      </c>
      <c r="J73" s="24" t="s">
        <v>76</v>
      </c>
      <c r="K73" s="27" t="s">
        <v>385</v>
      </c>
    </row>
    <row r="74" spans="1:11" ht="16" thickBot="1" x14ac:dyDescent="0.25">
      <c r="A74" s="404"/>
      <c r="B74" s="377"/>
      <c r="C74" s="377"/>
      <c r="D74" s="69" t="s">
        <v>329</v>
      </c>
      <c r="E74" s="69" t="s">
        <v>25</v>
      </c>
      <c r="F74" s="69" t="s">
        <v>364</v>
      </c>
      <c r="G74" s="81" t="s">
        <v>325</v>
      </c>
      <c r="H74" s="81">
        <v>0.11</v>
      </c>
      <c r="I74" s="81" t="s">
        <v>14</v>
      </c>
      <c r="J74" s="81" t="s">
        <v>76</v>
      </c>
      <c r="K74" s="69" t="s">
        <v>587</v>
      </c>
    </row>
    <row r="75" spans="1:11" ht="48" customHeight="1" thickBot="1" x14ac:dyDescent="0.25">
      <c r="A75" s="404"/>
      <c r="B75" s="377"/>
      <c r="C75" s="377"/>
      <c r="D75" s="27" t="s">
        <v>329</v>
      </c>
      <c r="E75" s="27" t="s">
        <v>25</v>
      </c>
      <c r="F75" s="26" t="s">
        <v>364</v>
      </c>
      <c r="G75" s="24" t="s">
        <v>325</v>
      </c>
      <c r="H75" s="24">
        <v>2.4</v>
      </c>
      <c r="I75" s="24" t="s">
        <v>14</v>
      </c>
      <c r="J75" s="24" t="s">
        <v>76</v>
      </c>
      <c r="K75" s="27" t="s">
        <v>587</v>
      </c>
    </row>
    <row r="76" spans="1:11" ht="17" thickBot="1" x14ac:dyDescent="0.25">
      <c r="A76" s="404"/>
      <c r="B76" s="377"/>
      <c r="C76" s="377"/>
      <c r="D76" s="69" t="s">
        <v>331</v>
      </c>
      <c r="E76" s="69" t="s">
        <v>18</v>
      </c>
      <c r="F76" s="123" t="s">
        <v>365</v>
      </c>
      <c r="G76" s="81" t="s">
        <v>325</v>
      </c>
      <c r="H76" s="81">
        <v>41.4</v>
      </c>
      <c r="I76" s="81" t="s">
        <v>14</v>
      </c>
      <c r="J76" s="81" t="s">
        <v>76</v>
      </c>
      <c r="K76" s="69"/>
    </row>
    <row r="77" spans="1:11" ht="17" thickBot="1" x14ac:dyDescent="0.25">
      <c r="A77" s="405"/>
      <c r="B77" s="361"/>
      <c r="C77" s="361"/>
      <c r="D77" s="27" t="s">
        <v>332</v>
      </c>
      <c r="E77" s="27" t="s">
        <v>18</v>
      </c>
      <c r="F77" s="54" t="s">
        <v>365</v>
      </c>
      <c r="G77" s="24" t="s">
        <v>325</v>
      </c>
      <c r="H77" s="24">
        <v>757.5</v>
      </c>
      <c r="I77" s="24" t="s">
        <v>14</v>
      </c>
      <c r="J77" s="24" t="s">
        <v>76</v>
      </c>
      <c r="K77" s="27"/>
    </row>
    <row r="78" spans="1:11" ht="49" thickBot="1" x14ac:dyDescent="0.25">
      <c r="A78" s="56" t="s">
        <v>334</v>
      </c>
      <c r="B78" s="34" t="s">
        <v>335</v>
      </c>
      <c r="C78" s="34">
        <v>2025</v>
      </c>
      <c r="D78" s="69" t="s">
        <v>336</v>
      </c>
      <c r="E78" s="69" t="s">
        <v>18</v>
      </c>
      <c r="F78" s="123" t="s">
        <v>366</v>
      </c>
      <c r="G78" s="124" t="s">
        <v>325</v>
      </c>
      <c r="H78" s="81">
        <v>135.5</v>
      </c>
      <c r="I78" s="81" t="s">
        <v>14</v>
      </c>
      <c r="J78" s="70" t="s">
        <v>76</v>
      </c>
      <c r="K78" s="69"/>
    </row>
    <row r="79" spans="1:11" ht="16" customHeight="1" thickBot="1" x14ac:dyDescent="0.25">
      <c r="A79" s="354" t="s">
        <v>338</v>
      </c>
      <c r="B79" s="360" t="s">
        <v>337</v>
      </c>
      <c r="C79" s="348">
        <v>2025</v>
      </c>
      <c r="D79" s="26" t="s">
        <v>45</v>
      </c>
      <c r="E79" s="3" t="s">
        <v>46</v>
      </c>
      <c r="F79" s="54" t="s">
        <v>366</v>
      </c>
      <c r="G79" s="42" t="s">
        <v>73</v>
      </c>
      <c r="H79" s="3">
        <v>336</v>
      </c>
      <c r="I79" s="3" t="s">
        <v>32</v>
      </c>
      <c r="J79" s="22" t="s">
        <v>68</v>
      </c>
      <c r="K79" s="22"/>
    </row>
    <row r="80" spans="1:11" ht="17" thickBot="1" x14ac:dyDescent="0.25">
      <c r="A80" s="355"/>
      <c r="B80" s="377"/>
      <c r="C80" s="349"/>
      <c r="D80" s="69" t="s">
        <v>336</v>
      </c>
      <c r="E80" s="81" t="s">
        <v>18</v>
      </c>
      <c r="F80" s="123" t="s">
        <v>366</v>
      </c>
      <c r="G80" s="124" t="s">
        <v>73</v>
      </c>
      <c r="H80" s="81">
        <v>247</v>
      </c>
      <c r="I80" s="81" t="s">
        <v>32</v>
      </c>
      <c r="J80" s="70" t="s">
        <v>68</v>
      </c>
      <c r="K80" s="70"/>
    </row>
    <row r="81" spans="1:11" ht="17" thickBot="1" x14ac:dyDescent="0.25">
      <c r="A81" s="355"/>
      <c r="B81" s="377"/>
      <c r="C81" s="349"/>
      <c r="D81" s="26" t="s">
        <v>345</v>
      </c>
      <c r="E81" s="3" t="s">
        <v>18</v>
      </c>
      <c r="F81" s="54" t="s">
        <v>366</v>
      </c>
      <c r="G81" s="42" t="s">
        <v>73</v>
      </c>
      <c r="H81" s="3">
        <v>261</v>
      </c>
      <c r="I81" s="3" t="s">
        <v>32</v>
      </c>
      <c r="J81" s="22" t="s">
        <v>68</v>
      </c>
      <c r="K81" s="22" t="s">
        <v>358</v>
      </c>
    </row>
    <row r="82" spans="1:11" ht="17" thickBot="1" x14ac:dyDescent="0.25">
      <c r="A82" s="355"/>
      <c r="B82" s="377"/>
      <c r="C82" s="349"/>
      <c r="D82" s="69" t="s">
        <v>346</v>
      </c>
      <c r="E82" s="81" t="s">
        <v>18</v>
      </c>
      <c r="F82" s="123" t="s">
        <v>366</v>
      </c>
      <c r="G82" s="124" t="s">
        <v>73</v>
      </c>
      <c r="H82" s="81">
        <v>265</v>
      </c>
      <c r="I82" s="81" t="s">
        <v>32</v>
      </c>
      <c r="J82" s="70" t="s">
        <v>68</v>
      </c>
      <c r="K82" s="70" t="s">
        <v>360</v>
      </c>
    </row>
    <row r="83" spans="1:11" ht="17" thickBot="1" x14ac:dyDescent="0.25">
      <c r="A83" s="355"/>
      <c r="B83" s="377"/>
      <c r="C83" s="349"/>
      <c r="D83" s="26" t="s">
        <v>347</v>
      </c>
      <c r="E83" s="3" t="s">
        <v>18</v>
      </c>
      <c r="F83" s="54" t="s">
        <v>366</v>
      </c>
      <c r="G83" s="42" t="s">
        <v>73</v>
      </c>
      <c r="H83" s="3">
        <v>269</v>
      </c>
      <c r="I83" s="3" t="s">
        <v>32</v>
      </c>
      <c r="J83" s="22" t="s">
        <v>68</v>
      </c>
      <c r="K83" s="22" t="s">
        <v>358</v>
      </c>
    </row>
    <row r="84" spans="1:11" ht="17" thickBot="1" x14ac:dyDescent="0.25">
      <c r="A84" s="355"/>
      <c r="B84" s="377"/>
      <c r="C84" s="349"/>
      <c r="D84" s="69" t="s">
        <v>348</v>
      </c>
      <c r="E84" s="81" t="s">
        <v>18</v>
      </c>
      <c r="F84" s="123" t="s">
        <v>366</v>
      </c>
      <c r="G84" s="124" t="s">
        <v>73</v>
      </c>
      <c r="H84" s="81">
        <v>269</v>
      </c>
      <c r="I84" s="81" t="s">
        <v>32</v>
      </c>
      <c r="J84" s="70" t="s">
        <v>68</v>
      </c>
      <c r="K84" s="70" t="s">
        <v>358</v>
      </c>
    </row>
    <row r="85" spans="1:11" ht="17" thickBot="1" x14ac:dyDescent="0.25">
      <c r="A85" s="355"/>
      <c r="B85" s="377"/>
      <c r="C85" s="349"/>
      <c r="D85" s="26" t="s">
        <v>349</v>
      </c>
      <c r="E85" s="3" t="s">
        <v>18</v>
      </c>
      <c r="F85" s="54" t="s">
        <v>366</v>
      </c>
      <c r="G85" s="42" t="s">
        <v>73</v>
      </c>
      <c r="H85" s="3">
        <v>324</v>
      </c>
      <c r="I85" s="3" t="s">
        <v>32</v>
      </c>
      <c r="J85" s="22" t="s">
        <v>68</v>
      </c>
      <c r="K85" s="22" t="s">
        <v>358</v>
      </c>
    </row>
    <row r="86" spans="1:11" ht="17" thickBot="1" x14ac:dyDescent="0.25">
      <c r="A86" s="355"/>
      <c r="B86" s="377"/>
      <c r="C86" s="349"/>
      <c r="D86" s="69" t="s">
        <v>350</v>
      </c>
      <c r="E86" s="81" t="s">
        <v>18</v>
      </c>
      <c r="F86" s="123" t="s">
        <v>366</v>
      </c>
      <c r="G86" s="124" t="s">
        <v>73</v>
      </c>
      <c r="H86" s="81">
        <v>252</v>
      </c>
      <c r="I86" s="81" t="s">
        <v>32</v>
      </c>
      <c r="J86" s="70" t="s">
        <v>68</v>
      </c>
      <c r="K86" s="70" t="s">
        <v>358</v>
      </c>
    </row>
    <row r="87" spans="1:11" ht="15" customHeight="1" thickBot="1" x14ac:dyDescent="0.25">
      <c r="A87" s="355"/>
      <c r="B87" s="377"/>
      <c r="C87" s="349"/>
      <c r="D87" s="26" t="s">
        <v>351</v>
      </c>
      <c r="E87" s="3" t="s">
        <v>18</v>
      </c>
      <c r="F87" s="54" t="s">
        <v>366</v>
      </c>
      <c r="G87" s="42" t="s">
        <v>73</v>
      </c>
      <c r="H87" s="3">
        <v>272</v>
      </c>
      <c r="I87" s="3" t="s">
        <v>32</v>
      </c>
      <c r="J87" s="22" t="s">
        <v>68</v>
      </c>
      <c r="K87" s="22" t="s">
        <v>360</v>
      </c>
    </row>
    <row r="88" spans="1:11" ht="17" thickBot="1" x14ac:dyDescent="0.25">
      <c r="A88" s="355"/>
      <c r="B88" s="377"/>
      <c r="C88" s="349"/>
      <c r="D88" s="69" t="s">
        <v>352</v>
      </c>
      <c r="E88" s="81" t="s">
        <v>18</v>
      </c>
      <c r="F88" s="123" t="s">
        <v>366</v>
      </c>
      <c r="G88" s="124" t="s">
        <v>73</v>
      </c>
      <c r="H88" s="81">
        <v>304</v>
      </c>
      <c r="I88" s="81" t="s">
        <v>32</v>
      </c>
      <c r="J88" s="70" t="s">
        <v>68</v>
      </c>
      <c r="K88" s="70" t="s">
        <v>358</v>
      </c>
    </row>
    <row r="89" spans="1:11" ht="17" thickBot="1" x14ac:dyDescent="0.25">
      <c r="A89" s="355"/>
      <c r="B89" s="377"/>
      <c r="C89" s="349"/>
      <c r="D89" s="26" t="s">
        <v>192</v>
      </c>
      <c r="E89" s="3" t="s">
        <v>18</v>
      </c>
      <c r="F89" s="54" t="s">
        <v>366</v>
      </c>
      <c r="G89" s="42" t="s">
        <v>73</v>
      </c>
      <c r="H89" s="3">
        <v>281</v>
      </c>
      <c r="I89" s="3" t="s">
        <v>32</v>
      </c>
      <c r="J89" s="22" t="s">
        <v>68</v>
      </c>
      <c r="K89" s="22"/>
    </row>
    <row r="90" spans="1:11" ht="17" thickBot="1" x14ac:dyDescent="0.25">
      <c r="A90" s="355"/>
      <c r="B90" s="377"/>
      <c r="C90" s="349"/>
      <c r="D90" s="69" t="s">
        <v>353</v>
      </c>
      <c r="E90" s="81" t="s">
        <v>18</v>
      </c>
      <c r="F90" s="123" t="s">
        <v>366</v>
      </c>
      <c r="G90" s="124" t="s">
        <v>73</v>
      </c>
      <c r="H90" s="81">
        <v>328</v>
      </c>
      <c r="I90" s="81" t="s">
        <v>32</v>
      </c>
      <c r="J90" s="70" t="s">
        <v>68</v>
      </c>
      <c r="K90" s="70" t="s">
        <v>358</v>
      </c>
    </row>
    <row r="91" spans="1:11" ht="17" thickBot="1" x14ac:dyDescent="0.25">
      <c r="A91" s="355"/>
      <c r="B91" s="377"/>
      <c r="C91" s="349"/>
      <c r="D91" s="26" t="s">
        <v>354</v>
      </c>
      <c r="E91" s="3" t="s">
        <v>25</v>
      </c>
      <c r="F91" s="54" t="s">
        <v>366</v>
      </c>
      <c r="G91" s="42" t="s">
        <v>73</v>
      </c>
      <c r="H91" s="3">
        <v>212</v>
      </c>
      <c r="I91" s="3" t="s">
        <v>32</v>
      </c>
      <c r="J91" s="22" t="s">
        <v>68</v>
      </c>
      <c r="K91" s="22"/>
    </row>
    <row r="92" spans="1:11" ht="17" thickBot="1" x14ac:dyDescent="0.25">
      <c r="A92" s="355"/>
      <c r="B92" s="377"/>
      <c r="C92" s="349"/>
      <c r="D92" s="69" t="s">
        <v>355</v>
      </c>
      <c r="E92" s="81" t="s">
        <v>25</v>
      </c>
      <c r="F92" s="123" t="s">
        <v>366</v>
      </c>
      <c r="G92" s="124" t="s">
        <v>73</v>
      </c>
      <c r="H92" s="81">
        <v>212</v>
      </c>
      <c r="I92" s="81" t="s">
        <v>32</v>
      </c>
      <c r="J92" s="70" t="s">
        <v>68</v>
      </c>
      <c r="K92" s="70" t="s">
        <v>358</v>
      </c>
    </row>
    <row r="93" spans="1:11" ht="17" thickBot="1" x14ac:dyDescent="0.25">
      <c r="A93" s="355"/>
      <c r="B93" s="377"/>
      <c r="C93" s="349"/>
      <c r="D93" s="26" t="s">
        <v>356</v>
      </c>
      <c r="E93" s="3" t="s">
        <v>357</v>
      </c>
      <c r="F93" s="54" t="s">
        <v>366</v>
      </c>
      <c r="G93" s="42" t="s">
        <v>73</v>
      </c>
      <c r="H93" s="3">
        <v>356</v>
      </c>
      <c r="I93" s="3" t="s">
        <v>32</v>
      </c>
      <c r="J93" s="22" t="s">
        <v>68</v>
      </c>
      <c r="K93" s="22" t="s">
        <v>359</v>
      </c>
    </row>
    <row r="94" spans="1:11" ht="17" thickBot="1" x14ac:dyDescent="0.25">
      <c r="A94" s="403"/>
      <c r="B94" s="361"/>
      <c r="C94" s="350"/>
      <c r="D94" s="69" t="s">
        <v>193</v>
      </c>
      <c r="E94" s="81" t="s">
        <v>29</v>
      </c>
      <c r="F94" s="123" t="s">
        <v>366</v>
      </c>
      <c r="G94" s="124" t="s">
        <v>73</v>
      </c>
      <c r="H94" s="81">
        <v>357</v>
      </c>
      <c r="I94" s="81" t="s">
        <v>32</v>
      </c>
      <c r="J94" s="70" t="s">
        <v>68</v>
      </c>
      <c r="K94" s="70" t="s">
        <v>359</v>
      </c>
    </row>
    <row r="95" spans="1:11" x14ac:dyDescent="0.2">
      <c r="A95" s="52"/>
      <c r="B95" s="31"/>
      <c r="F95" s="31"/>
    </row>
    <row r="96" spans="1:11" x14ac:dyDescent="0.2">
      <c r="A96" s="52"/>
      <c r="B96" s="31"/>
      <c r="F96" s="31"/>
    </row>
    <row r="98" spans="1:11" ht="15" customHeight="1" thickBot="1" x14ac:dyDescent="0.25">
      <c r="A98" s="1" t="s">
        <v>80</v>
      </c>
    </row>
    <row r="99" spans="1:11" ht="16" thickBot="1" x14ac:dyDescent="0.25">
      <c r="A99" s="177" t="s">
        <v>0</v>
      </c>
      <c r="B99" s="178" t="s">
        <v>1</v>
      </c>
      <c r="C99" s="167" t="s">
        <v>2</v>
      </c>
      <c r="D99" s="178" t="s">
        <v>3</v>
      </c>
      <c r="E99" s="167" t="s">
        <v>37</v>
      </c>
      <c r="F99" s="166" t="s">
        <v>249</v>
      </c>
      <c r="G99" s="167" t="s">
        <v>63</v>
      </c>
      <c r="H99" s="167" t="s">
        <v>64</v>
      </c>
      <c r="I99" s="167" t="s">
        <v>65</v>
      </c>
      <c r="J99" s="167" t="s">
        <v>66</v>
      </c>
      <c r="K99" s="166" t="s">
        <v>7</v>
      </c>
    </row>
    <row r="100" spans="1:11" x14ac:dyDescent="0.2">
      <c r="A100" s="412" t="s">
        <v>9</v>
      </c>
      <c r="B100" s="409" t="s">
        <v>48</v>
      </c>
      <c r="C100" s="407">
        <v>2021</v>
      </c>
      <c r="D100" s="415" t="s">
        <v>24</v>
      </c>
      <c r="E100" s="348" t="s">
        <v>10</v>
      </c>
      <c r="F100" s="348" t="s">
        <v>11</v>
      </c>
      <c r="G100" s="20" t="s">
        <v>81</v>
      </c>
      <c r="H100" s="20">
        <v>1.05</v>
      </c>
      <c r="I100" s="20" t="s">
        <v>74</v>
      </c>
      <c r="J100" s="20" t="s">
        <v>82</v>
      </c>
      <c r="K100" s="25"/>
    </row>
    <row r="101" spans="1:11" x14ac:dyDescent="0.2">
      <c r="A101" s="413"/>
      <c r="B101" s="383"/>
      <c r="C101" s="371"/>
      <c r="D101" s="370"/>
      <c r="E101" s="349"/>
      <c r="F101" s="349"/>
      <c r="G101" s="3" t="s">
        <v>72</v>
      </c>
      <c r="H101" s="3">
        <v>0.5</v>
      </c>
      <c r="I101" s="3" t="s">
        <v>14</v>
      </c>
      <c r="J101" s="3" t="s">
        <v>82</v>
      </c>
      <c r="K101" s="26"/>
    </row>
    <row r="102" spans="1:11" x14ac:dyDescent="0.2">
      <c r="A102" s="413"/>
      <c r="B102" s="383"/>
      <c r="C102" s="371"/>
      <c r="D102" s="370"/>
      <c r="E102" s="349"/>
      <c r="F102" s="349"/>
      <c r="G102" s="411" t="s">
        <v>73</v>
      </c>
      <c r="H102" s="16">
        <f>H101</f>
        <v>0.5</v>
      </c>
      <c r="I102" s="3" t="s">
        <v>14</v>
      </c>
      <c r="J102" s="3" t="s">
        <v>82</v>
      </c>
      <c r="K102" s="26"/>
    </row>
    <row r="103" spans="1:11" ht="16" thickBot="1" x14ac:dyDescent="0.25">
      <c r="A103" s="414"/>
      <c r="B103" s="410"/>
      <c r="C103" s="408"/>
      <c r="D103" s="416"/>
      <c r="E103" s="350"/>
      <c r="F103" s="350"/>
      <c r="G103" s="402"/>
      <c r="H103" s="23">
        <f>H102</f>
        <v>0.5</v>
      </c>
      <c r="I103" s="24" t="s">
        <v>32</v>
      </c>
      <c r="J103" s="24" t="s">
        <v>83</v>
      </c>
      <c r="K103" s="27" t="s">
        <v>78</v>
      </c>
    </row>
    <row r="104" spans="1:11" x14ac:dyDescent="0.2">
      <c r="A104" s="345" t="s">
        <v>16</v>
      </c>
      <c r="B104" s="360" t="s">
        <v>17</v>
      </c>
      <c r="C104" s="348">
        <v>2022</v>
      </c>
      <c r="D104" s="427" t="s">
        <v>50</v>
      </c>
      <c r="E104" s="351" t="s">
        <v>18</v>
      </c>
      <c r="F104" s="351" t="s">
        <v>11</v>
      </c>
      <c r="G104" s="151" t="s">
        <v>81</v>
      </c>
      <c r="H104" s="151">
        <v>1.05</v>
      </c>
      <c r="I104" s="151" t="s">
        <v>74</v>
      </c>
      <c r="J104" s="152" t="s">
        <v>82</v>
      </c>
      <c r="K104" s="72"/>
    </row>
    <row r="105" spans="1:11" x14ac:dyDescent="0.2">
      <c r="A105" s="346"/>
      <c r="B105" s="377"/>
      <c r="C105" s="349"/>
      <c r="D105" s="428"/>
      <c r="E105" s="352"/>
      <c r="F105" s="352"/>
      <c r="G105" s="59" t="s">
        <v>72</v>
      </c>
      <c r="H105" s="59">
        <v>29.4</v>
      </c>
      <c r="I105" s="59" t="s">
        <v>14</v>
      </c>
      <c r="J105" s="80" t="s">
        <v>82</v>
      </c>
      <c r="K105" s="71" t="s">
        <v>44</v>
      </c>
    </row>
    <row r="106" spans="1:11" x14ac:dyDescent="0.2">
      <c r="A106" s="346"/>
      <c r="B106" s="377"/>
      <c r="C106" s="349"/>
      <c r="D106" s="428"/>
      <c r="E106" s="352"/>
      <c r="F106" s="352"/>
      <c r="G106" s="430" t="s">
        <v>73</v>
      </c>
      <c r="H106" s="272">
        <f>H105</f>
        <v>29.4</v>
      </c>
      <c r="I106" s="59" t="s">
        <v>14</v>
      </c>
      <c r="J106" s="80" t="s">
        <v>82</v>
      </c>
      <c r="K106" s="71"/>
    </row>
    <row r="107" spans="1:11" ht="16" thickBot="1" x14ac:dyDescent="0.25">
      <c r="A107" s="346"/>
      <c r="B107" s="377"/>
      <c r="C107" s="349"/>
      <c r="D107" s="429"/>
      <c r="E107" s="353"/>
      <c r="F107" s="353"/>
      <c r="G107" s="431"/>
      <c r="H107" s="273">
        <f>H106</f>
        <v>29.4</v>
      </c>
      <c r="I107" s="77" t="s">
        <v>32</v>
      </c>
      <c r="J107" s="79" t="s">
        <v>83</v>
      </c>
      <c r="K107" s="78" t="s">
        <v>78</v>
      </c>
    </row>
    <row r="108" spans="1:11" x14ac:dyDescent="0.2">
      <c r="A108" s="346"/>
      <c r="B108" s="377"/>
      <c r="C108" s="349"/>
      <c r="D108" s="411" t="s">
        <v>51</v>
      </c>
      <c r="E108" s="349" t="s">
        <v>10</v>
      </c>
      <c r="F108" s="349" t="s">
        <v>11</v>
      </c>
      <c r="G108" s="3" t="s">
        <v>81</v>
      </c>
      <c r="H108" s="3">
        <v>1.62</v>
      </c>
      <c r="I108" s="3" t="s">
        <v>74</v>
      </c>
      <c r="J108" s="3" t="s">
        <v>82</v>
      </c>
      <c r="K108" s="25"/>
    </row>
    <row r="109" spans="1:11" x14ac:dyDescent="0.2">
      <c r="A109" s="346"/>
      <c r="B109" s="377"/>
      <c r="C109" s="349"/>
      <c r="D109" s="411"/>
      <c r="E109" s="349"/>
      <c r="F109" s="349"/>
      <c r="G109" s="3" t="s">
        <v>72</v>
      </c>
      <c r="H109" s="3">
        <v>29.4</v>
      </c>
      <c r="I109" s="3" t="s">
        <v>14</v>
      </c>
      <c r="J109" s="3" t="s">
        <v>82</v>
      </c>
      <c r="K109" s="26" t="s">
        <v>44</v>
      </c>
    </row>
    <row r="110" spans="1:11" x14ac:dyDescent="0.2">
      <c r="A110" s="346"/>
      <c r="B110" s="377"/>
      <c r="C110" s="349"/>
      <c r="D110" s="411"/>
      <c r="E110" s="349"/>
      <c r="F110" s="349"/>
      <c r="G110" s="411" t="s">
        <v>73</v>
      </c>
      <c r="H110" s="16">
        <f>H109</f>
        <v>29.4</v>
      </c>
      <c r="I110" s="3" t="s">
        <v>14</v>
      </c>
      <c r="J110" s="3" t="s">
        <v>82</v>
      </c>
      <c r="K110" s="26"/>
    </row>
    <row r="111" spans="1:11" ht="16" thickBot="1" x14ac:dyDescent="0.25">
      <c r="A111" s="347"/>
      <c r="B111" s="361"/>
      <c r="C111" s="350"/>
      <c r="D111" s="402"/>
      <c r="E111" s="350"/>
      <c r="F111" s="350"/>
      <c r="G111" s="402"/>
      <c r="H111" s="23">
        <f>H110</f>
        <v>29.4</v>
      </c>
      <c r="I111" s="24" t="s">
        <v>32</v>
      </c>
      <c r="J111" s="24" t="s">
        <v>83</v>
      </c>
      <c r="K111" s="27" t="s">
        <v>78</v>
      </c>
    </row>
    <row r="113" spans="1:11" ht="15" customHeight="1" thickBot="1" x14ac:dyDescent="0.25">
      <c r="A113" s="1" t="s">
        <v>84</v>
      </c>
    </row>
    <row r="114" spans="1:11" ht="16" thickBot="1" x14ac:dyDescent="0.25">
      <c r="A114" s="169" t="s">
        <v>0</v>
      </c>
      <c r="B114" s="173" t="s">
        <v>1</v>
      </c>
      <c r="C114" s="172" t="s">
        <v>2</v>
      </c>
      <c r="D114" s="173" t="s">
        <v>3</v>
      </c>
      <c r="E114" s="172" t="s">
        <v>37</v>
      </c>
      <c r="F114" s="166" t="s">
        <v>249</v>
      </c>
      <c r="G114" s="174" t="s">
        <v>63</v>
      </c>
      <c r="H114" s="175" t="s">
        <v>64</v>
      </c>
      <c r="I114" s="175" t="s">
        <v>65</v>
      </c>
      <c r="J114" s="176" t="s">
        <v>66</v>
      </c>
      <c r="K114" s="171" t="s">
        <v>7</v>
      </c>
    </row>
    <row r="115" spans="1:11" x14ac:dyDescent="0.2">
      <c r="A115" s="378" t="s">
        <v>9</v>
      </c>
      <c r="B115" s="381" t="s">
        <v>48</v>
      </c>
      <c r="C115" s="369">
        <v>2021</v>
      </c>
      <c r="D115" s="369" t="s">
        <v>54</v>
      </c>
      <c r="E115" s="369" t="s">
        <v>15</v>
      </c>
      <c r="F115" s="369" t="s">
        <v>269</v>
      </c>
      <c r="G115" s="8" t="s">
        <v>55</v>
      </c>
      <c r="H115" s="10">
        <v>4.5</v>
      </c>
      <c r="I115" s="10" t="s">
        <v>74</v>
      </c>
      <c r="J115" s="4" t="s">
        <v>85</v>
      </c>
      <c r="K115" s="4"/>
    </row>
    <row r="116" spans="1:11" x14ac:dyDescent="0.2">
      <c r="A116" s="379"/>
      <c r="B116" s="382"/>
      <c r="C116" s="370"/>
      <c r="D116" s="370"/>
      <c r="E116" s="370"/>
      <c r="F116" s="370"/>
      <c r="G116" s="6" t="s">
        <v>72</v>
      </c>
      <c r="H116" s="3">
        <v>3</v>
      </c>
      <c r="I116" s="3" t="s">
        <v>14</v>
      </c>
      <c r="J116" s="5" t="s">
        <v>85</v>
      </c>
      <c r="K116" s="5"/>
    </row>
    <row r="117" spans="1:11" x14ac:dyDescent="0.2">
      <c r="A117" s="379"/>
      <c r="B117" s="382"/>
      <c r="C117" s="370"/>
      <c r="D117" s="370"/>
      <c r="E117" s="370"/>
      <c r="F117" s="370"/>
      <c r="G117" s="370" t="s">
        <v>57</v>
      </c>
      <c r="H117" s="3">
        <v>7.3</v>
      </c>
      <c r="I117" s="3" t="s">
        <v>74</v>
      </c>
      <c r="J117" s="5" t="s">
        <v>76</v>
      </c>
      <c r="K117" s="5"/>
    </row>
    <row r="118" spans="1:11" x14ac:dyDescent="0.2">
      <c r="A118" s="379"/>
      <c r="B118" s="382"/>
      <c r="C118" s="370"/>
      <c r="D118" s="370"/>
      <c r="E118" s="370"/>
      <c r="F118" s="370"/>
      <c r="G118" s="370"/>
      <c r="H118" s="3">
        <v>6.42</v>
      </c>
      <c r="I118" s="3" t="s">
        <v>74</v>
      </c>
      <c r="J118" s="5" t="s">
        <v>82</v>
      </c>
      <c r="K118" s="5"/>
    </row>
    <row r="119" spans="1:11" ht="15" customHeight="1" x14ac:dyDescent="0.2">
      <c r="A119" s="379"/>
      <c r="B119" s="382"/>
      <c r="C119" s="370"/>
      <c r="D119" s="370"/>
      <c r="E119" s="370"/>
      <c r="F119" s="370"/>
      <c r="G119" s="370" t="s">
        <v>72</v>
      </c>
      <c r="H119" s="3">
        <v>40</v>
      </c>
      <c r="I119" s="3" t="s">
        <v>14</v>
      </c>
      <c r="J119" s="5" t="s">
        <v>76</v>
      </c>
      <c r="K119" s="5"/>
    </row>
    <row r="120" spans="1:11" x14ac:dyDescent="0.2">
      <c r="A120" s="379"/>
      <c r="B120" s="382"/>
      <c r="C120" s="370"/>
      <c r="D120" s="370"/>
      <c r="E120" s="370"/>
      <c r="F120" s="370"/>
      <c r="G120" s="370"/>
      <c r="H120" s="3">
        <v>11.24</v>
      </c>
      <c r="I120" s="3" t="s">
        <v>14</v>
      </c>
      <c r="J120" s="5" t="s">
        <v>82</v>
      </c>
      <c r="K120" s="5"/>
    </row>
    <row r="121" spans="1:11" x14ac:dyDescent="0.2">
      <c r="A121" s="379"/>
      <c r="B121" s="382"/>
      <c r="C121" s="370"/>
      <c r="D121" s="370"/>
      <c r="E121" s="370"/>
      <c r="F121" s="370"/>
      <c r="G121" s="370" t="s">
        <v>73</v>
      </c>
      <c r="H121" s="3">
        <f>(H117*H116)+H119</f>
        <v>61.9</v>
      </c>
      <c r="I121" s="3" t="s">
        <v>14</v>
      </c>
      <c r="J121" s="5" t="s">
        <v>76</v>
      </c>
      <c r="K121" s="5" t="s">
        <v>71</v>
      </c>
    </row>
    <row r="122" spans="1:11" x14ac:dyDescent="0.2">
      <c r="A122" s="379"/>
      <c r="B122" s="382"/>
      <c r="C122" s="370"/>
      <c r="D122" s="370"/>
      <c r="E122" s="370"/>
      <c r="F122" s="370"/>
      <c r="G122" s="370"/>
      <c r="H122" s="3">
        <f>H121</f>
        <v>61.9</v>
      </c>
      <c r="I122" s="3" t="s">
        <v>32</v>
      </c>
      <c r="J122" s="5" t="s">
        <v>68</v>
      </c>
      <c r="K122" s="5" t="s">
        <v>78</v>
      </c>
    </row>
    <row r="123" spans="1:11" x14ac:dyDescent="0.2">
      <c r="A123" s="379"/>
      <c r="B123" s="382"/>
      <c r="C123" s="370"/>
      <c r="D123" s="370"/>
      <c r="E123" s="370"/>
      <c r="F123" s="370"/>
      <c r="G123" s="370"/>
      <c r="H123" s="3">
        <f>(H118*H116)+H120</f>
        <v>30.5</v>
      </c>
      <c r="I123" s="3" t="s">
        <v>14</v>
      </c>
      <c r="J123" s="5" t="s">
        <v>82</v>
      </c>
      <c r="K123" s="5" t="s">
        <v>71</v>
      </c>
    </row>
    <row r="124" spans="1:11" ht="16" thickBot="1" x14ac:dyDescent="0.25">
      <c r="A124" s="379"/>
      <c r="B124" s="382"/>
      <c r="C124" s="370"/>
      <c r="D124" s="370"/>
      <c r="E124" s="370"/>
      <c r="F124" s="370"/>
      <c r="G124" s="370"/>
      <c r="H124" s="3">
        <f>H123</f>
        <v>30.5</v>
      </c>
      <c r="I124" s="3" t="s">
        <v>32</v>
      </c>
      <c r="J124" s="5" t="s">
        <v>83</v>
      </c>
      <c r="K124" s="5" t="s">
        <v>78</v>
      </c>
    </row>
    <row r="125" spans="1:11" x14ac:dyDescent="0.2">
      <c r="A125" s="378" t="s">
        <v>16</v>
      </c>
      <c r="B125" s="381" t="s">
        <v>17</v>
      </c>
      <c r="C125" s="369">
        <v>2022</v>
      </c>
      <c r="D125" s="385" t="s">
        <v>58</v>
      </c>
      <c r="E125" s="362" t="s">
        <v>59</v>
      </c>
      <c r="F125" s="362" t="s">
        <v>269</v>
      </c>
      <c r="G125" s="260" t="s">
        <v>55</v>
      </c>
      <c r="H125" s="73">
        <v>4.79</v>
      </c>
      <c r="I125" s="73" t="s">
        <v>74</v>
      </c>
      <c r="J125" s="74" t="s">
        <v>85</v>
      </c>
      <c r="K125" s="74"/>
    </row>
    <row r="126" spans="1:11" x14ac:dyDescent="0.2">
      <c r="A126" s="379"/>
      <c r="B126" s="382"/>
      <c r="C126" s="370"/>
      <c r="D126" s="432"/>
      <c r="E126" s="390"/>
      <c r="F126" s="390"/>
      <c r="G126" s="57" t="s">
        <v>72</v>
      </c>
      <c r="H126" s="59">
        <v>5.88</v>
      </c>
      <c r="I126" s="59" t="s">
        <v>14</v>
      </c>
      <c r="J126" s="60" t="s">
        <v>85</v>
      </c>
      <c r="K126" s="60"/>
    </row>
    <row r="127" spans="1:11" x14ac:dyDescent="0.2">
      <c r="A127" s="379"/>
      <c r="B127" s="382"/>
      <c r="C127" s="370"/>
      <c r="D127" s="432"/>
      <c r="E127" s="390"/>
      <c r="F127" s="390"/>
      <c r="G127" s="57" t="s">
        <v>57</v>
      </c>
      <c r="H127" s="59">
        <v>5.18</v>
      </c>
      <c r="I127" s="59" t="s">
        <v>74</v>
      </c>
      <c r="J127" s="60" t="s">
        <v>82</v>
      </c>
      <c r="K127" s="60"/>
    </row>
    <row r="128" spans="1:11" x14ac:dyDescent="0.2">
      <c r="A128" s="379"/>
      <c r="B128" s="382"/>
      <c r="C128" s="370"/>
      <c r="D128" s="432"/>
      <c r="E128" s="390"/>
      <c r="F128" s="390"/>
      <c r="G128" s="57" t="s">
        <v>72</v>
      </c>
      <c r="H128" s="59" t="s">
        <v>86</v>
      </c>
      <c r="I128" s="59" t="s">
        <v>14</v>
      </c>
      <c r="J128" s="60" t="s">
        <v>82</v>
      </c>
      <c r="K128" s="60"/>
    </row>
    <row r="129" spans="1:11" ht="32" x14ac:dyDescent="0.2">
      <c r="A129" s="379"/>
      <c r="B129" s="382"/>
      <c r="C129" s="370"/>
      <c r="D129" s="432"/>
      <c r="E129" s="390"/>
      <c r="F129" s="390"/>
      <c r="G129" s="390" t="s">
        <v>73</v>
      </c>
      <c r="H129" s="274">
        <f>H126*H127</f>
        <v>30.458399999999997</v>
      </c>
      <c r="I129" s="59" t="s">
        <v>14</v>
      </c>
      <c r="J129" s="60" t="s">
        <v>82</v>
      </c>
      <c r="K129" s="68" t="s">
        <v>87</v>
      </c>
    </row>
    <row r="130" spans="1:11" ht="16" thickBot="1" x14ac:dyDescent="0.25">
      <c r="A130" s="379"/>
      <c r="B130" s="382"/>
      <c r="C130" s="370"/>
      <c r="D130" s="386"/>
      <c r="E130" s="363"/>
      <c r="F130" s="363"/>
      <c r="G130" s="363"/>
      <c r="H130" s="275">
        <f>H129</f>
        <v>30.458399999999997</v>
      </c>
      <c r="I130" s="75" t="s">
        <v>32</v>
      </c>
      <c r="J130" s="76" t="s">
        <v>83</v>
      </c>
      <c r="K130" s="76" t="s">
        <v>78</v>
      </c>
    </row>
    <row r="131" spans="1:11" x14ac:dyDescent="0.2">
      <c r="A131" s="379"/>
      <c r="B131" s="382"/>
      <c r="C131" s="370"/>
      <c r="D131" s="382" t="s">
        <v>60</v>
      </c>
      <c r="E131" s="370" t="s">
        <v>61</v>
      </c>
      <c r="F131" s="370" t="s">
        <v>269</v>
      </c>
      <c r="G131" s="6" t="s">
        <v>55</v>
      </c>
      <c r="H131" s="3">
        <v>3.94</v>
      </c>
      <c r="I131" s="3" t="s">
        <v>74</v>
      </c>
      <c r="J131" s="5" t="s">
        <v>85</v>
      </c>
      <c r="K131" s="5"/>
    </row>
    <row r="132" spans="1:11" x14ac:dyDescent="0.2">
      <c r="A132" s="379"/>
      <c r="B132" s="382"/>
      <c r="C132" s="370"/>
      <c r="D132" s="382"/>
      <c r="E132" s="370"/>
      <c r="F132" s="370"/>
      <c r="G132" s="6" t="s">
        <v>72</v>
      </c>
      <c r="H132" s="3">
        <v>9.8800000000000008</v>
      </c>
      <c r="I132" s="3" t="s">
        <v>14</v>
      </c>
      <c r="J132" s="5" t="s">
        <v>85</v>
      </c>
      <c r="K132" s="5"/>
    </row>
    <row r="133" spans="1:11" x14ac:dyDescent="0.2">
      <c r="A133" s="379"/>
      <c r="B133" s="382"/>
      <c r="C133" s="370"/>
      <c r="D133" s="382"/>
      <c r="E133" s="370"/>
      <c r="F133" s="370"/>
      <c r="G133" s="6" t="s">
        <v>57</v>
      </c>
      <c r="H133" s="3">
        <v>10.4</v>
      </c>
      <c r="I133" s="3" t="s">
        <v>74</v>
      </c>
      <c r="J133" s="5" t="s">
        <v>82</v>
      </c>
      <c r="K133" s="5"/>
    </row>
    <row r="134" spans="1:11" x14ac:dyDescent="0.2">
      <c r="A134" s="379"/>
      <c r="B134" s="382"/>
      <c r="C134" s="370"/>
      <c r="D134" s="382"/>
      <c r="E134" s="370"/>
      <c r="F134" s="370"/>
      <c r="G134" s="6" t="s">
        <v>72</v>
      </c>
      <c r="H134" s="3">
        <v>74.900000000000006</v>
      </c>
      <c r="I134" s="3" t="s">
        <v>14</v>
      </c>
      <c r="J134" s="5" t="s">
        <v>82</v>
      </c>
      <c r="K134" s="5"/>
    </row>
    <row r="135" spans="1:11" x14ac:dyDescent="0.2">
      <c r="A135" s="379"/>
      <c r="B135" s="382"/>
      <c r="C135" s="370"/>
      <c r="D135" s="382"/>
      <c r="E135" s="370"/>
      <c r="F135" s="370"/>
      <c r="G135" s="370" t="s">
        <v>73</v>
      </c>
      <c r="H135" s="3">
        <f>(H132*H133)+H134</f>
        <v>177.65200000000002</v>
      </c>
      <c r="I135" s="3" t="s">
        <v>14</v>
      </c>
      <c r="J135" s="5" t="s">
        <v>82</v>
      </c>
      <c r="K135" s="5"/>
    </row>
    <row r="136" spans="1:11" ht="16" thickBot="1" x14ac:dyDescent="0.25">
      <c r="A136" s="380"/>
      <c r="B136" s="417"/>
      <c r="C136" s="389"/>
      <c r="D136" s="417"/>
      <c r="E136" s="389"/>
      <c r="F136" s="389"/>
      <c r="G136" s="389"/>
      <c r="H136" s="11">
        <f>H135</f>
        <v>177.65200000000002</v>
      </c>
      <c r="I136" s="11" t="s">
        <v>32</v>
      </c>
      <c r="J136" s="29" t="s">
        <v>83</v>
      </c>
      <c r="K136" s="29" t="s">
        <v>78</v>
      </c>
    </row>
    <row r="137" spans="1:11" ht="16" customHeight="1" x14ac:dyDescent="0.2"/>
    <row r="138" spans="1:11" ht="16" thickBot="1" x14ac:dyDescent="0.25">
      <c r="A138" s="1" t="s">
        <v>415</v>
      </c>
    </row>
    <row r="139" spans="1:11" ht="16" thickBot="1" x14ac:dyDescent="0.25">
      <c r="A139" s="169" t="s">
        <v>0</v>
      </c>
      <c r="B139" s="173" t="s">
        <v>1</v>
      </c>
      <c r="C139" s="172" t="s">
        <v>2</v>
      </c>
      <c r="D139" s="173" t="s">
        <v>3</v>
      </c>
      <c r="E139" s="172" t="s">
        <v>37</v>
      </c>
      <c r="F139" s="166" t="s">
        <v>249</v>
      </c>
      <c r="G139" s="174" t="s">
        <v>63</v>
      </c>
      <c r="H139" s="175" t="s">
        <v>64</v>
      </c>
      <c r="I139" s="175" t="s">
        <v>65</v>
      </c>
      <c r="J139" s="176" t="s">
        <v>66</v>
      </c>
      <c r="K139" s="171" t="s">
        <v>7</v>
      </c>
    </row>
    <row r="140" spans="1:11" x14ac:dyDescent="0.2">
      <c r="A140" s="345" t="s">
        <v>27</v>
      </c>
      <c r="B140" s="360" t="s">
        <v>28</v>
      </c>
      <c r="C140" s="360">
        <v>2024</v>
      </c>
      <c r="D140" s="348" t="s">
        <v>92</v>
      </c>
      <c r="E140" s="348" t="s">
        <v>29</v>
      </c>
      <c r="F140" s="348" t="s">
        <v>30</v>
      </c>
      <c r="G140" s="20" t="s">
        <v>31</v>
      </c>
      <c r="H140" s="20">
        <v>38.85</v>
      </c>
      <c r="I140" s="20" t="s">
        <v>32</v>
      </c>
      <c r="J140" s="21" t="s">
        <v>68</v>
      </c>
      <c r="K140" s="21" t="s">
        <v>88</v>
      </c>
    </row>
    <row r="141" spans="1:11" x14ac:dyDescent="0.2">
      <c r="A141" s="346"/>
      <c r="B141" s="377"/>
      <c r="C141" s="377"/>
      <c r="D141" s="349"/>
      <c r="E141" s="349"/>
      <c r="F141" s="349"/>
      <c r="G141" s="3" t="s">
        <v>72</v>
      </c>
      <c r="H141" s="3">
        <v>95.07</v>
      </c>
      <c r="I141" s="3" t="s">
        <v>32</v>
      </c>
      <c r="J141" s="22" t="s">
        <v>68</v>
      </c>
      <c r="K141" s="22" t="s">
        <v>88</v>
      </c>
    </row>
    <row r="142" spans="1:11" ht="16" thickBot="1" x14ac:dyDescent="0.25">
      <c r="A142" s="346"/>
      <c r="B142" s="377"/>
      <c r="C142" s="377"/>
      <c r="D142" s="350"/>
      <c r="E142" s="350"/>
      <c r="F142" s="350"/>
      <c r="G142" s="24" t="s">
        <v>73</v>
      </c>
      <c r="H142" s="24">
        <f>H141</f>
        <v>95.07</v>
      </c>
      <c r="I142" s="24" t="s">
        <v>32</v>
      </c>
      <c r="J142" s="28" t="s">
        <v>68</v>
      </c>
      <c r="K142" s="28"/>
    </row>
    <row r="143" spans="1:11" x14ac:dyDescent="0.2">
      <c r="A143" s="346"/>
      <c r="B143" s="377"/>
      <c r="C143" s="377"/>
      <c r="D143" s="352" t="s">
        <v>90</v>
      </c>
      <c r="E143" s="352" t="s">
        <v>29</v>
      </c>
      <c r="F143" s="352" t="s">
        <v>269</v>
      </c>
      <c r="G143" s="59" t="s">
        <v>31</v>
      </c>
      <c r="H143" s="59">
        <v>97.54</v>
      </c>
      <c r="I143" s="59" t="s">
        <v>32</v>
      </c>
      <c r="J143" s="80" t="s">
        <v>68</v>
      </c>
      <c r="K143" s="80" t="s">
        <v>91</v>
      </c>
    </row>
    <row r="144" spans="1:11" x14ac:dyDescent="0.2">
      <c r="A144" s="346"/>
      <c r="B144" s="377"/>
      <c r="C144" s="377"/>
      <c r="D144" s="352"/>
      <c r="E144" s="352"/>
      <c r="F144" s="352"/>
      <c r="G144" s="59" t="s">
        <v>72</v>
      </c>
      <c r="H144" s="59">
        <v>100.1</v>
      </c>
      <c r="I144" s="59" t="s">
        <v>32</v>
      </c>
      <c r="J144" s="80" t="s">
        <v>68</v>
      </c>
      <c r="K144" s="80" t="s">
        <v>91</v>
      </c>
    </row>
    <row r="145" spans="1:11" ht="16" thickBot="1" x14ac:dyDescent="0.25">
      <c r="A145" s="347"/>
      <c r="B145" s="361"/>
      <c r="C145" s="361"/>
      <c r="D145" s="353"/>
      <c r="E145" s="353"/>
      <c r="F145" s="353"/>
      <c r="G145" s="77" t="s">
        <v>73</v>
      </c>
      <c r="H145" s="77">
        <f>H144</f>
        <v>100.1</v>
      </c>
      <c r="I145" s="77" t="s">
        <v>32</v>
      </c>
      <c r="J145" s="79" t="s">
        <v>68</v>
      </c>
      <c r="K145" s="79"/>
    </row>
    <row r="146" spans="1:11" x14ac:dyDescent="0.2">
      <c r="A146" s="354" t="s">
        <v>232</v>
      </c>
      <c r="B146" s="348" t="s">
        <v>34</v>
      </c>
      <c r="C146" s="360">
        <v>2024</v>
      </c>
      <c r="D146" s="348" t="s">
        <v>217</v>
      </c>
      <c r="E146" s="433" t="s">
        <v>35</v>
      </c>
      <c r="F146" s="418" t="s">
        <v>333</v>
      </c>
      <c r="G146" s="41" t="s">
        <v>233</v>
      </c>
      <c r="H146" s="20">
        <v>11.07</v>
      </c>
      <c r="I146" s="20" t="s">
        <v>32</v>
      </c>
      <c r="J146" s="21" t="s">
        <v>76</v>
      </c>
      <c r="K146" s="21"/>
    </row>
    <row r="147" spans="1:11" x14ac:dyDescent="0.2">
      <c r="A147" s="355"/>
      <c r="B147" s="349"/>
      <c r="C147" s="377"/>
      <c r="D147" s="349"/>
      <c r="E147" s="434"/>
      <c r="F147" s="419"/>
      <c r="G147" s="42" t="s">
        <v>72</v>
      </c>
      <c r="H147" s="3">
        <f>54.29*1000</f>
        <v>54290</v>
      </c>
      <c r="I147" s="3" t="s">
        <v>32</v>
      </c>
      <c r="J147" s="22" t="s">
        <v>76</v>
      </c>
      <c r="K147" s="22"/>
    </row>
    <row r="148" spans="1:11" x14ac:dyDescent="0.2">
      <c r="A148" s="355"/>
      <c r="B148" s="349"/>
      <c r="C148" s="377"/>
      <c r="D148" s="349"/>
      <c r="E148" s="434"/>
      <c r="F148" s="419"/>
      <c r="G148" s="406" t="s">
        <v>73</v>
      </c>
      <c r="H148" s="47">
        <f>SUM(H146:H147)</f>
        <v>54301.07</v>
      </c>
      <c r="I148" s="3" t="s">
        <v>32</v>
      </c>
      <c r="J148" s="22" t="s">
        <v>76</v>
      </c>
      <c r="K148" s="22"/>
    </row>
    <row r="149" spans="1:11" ht="16" thickBot="1" x14ac:dyDescent="0.25">
      <c r="A149" s="355"/>
      <c r="B149" s="349"/>
      <c r="C149" s="377"/>
      <c r="D149" s="350"/>
      <c r="E149" s="435"/>
      <c r="F149" s="420"/>
      <c r="G149" s="373"/>
      <c r="H149" s="48">
        <f>H148/1000</f>
        <v>54.301070000000003</v>
      </c>
      <c r="I149" s="24" t="s">
        <v>32</v>
      </c>
      <c r="J149" s="28" t="s">
        <v>68</v>
      </c>
      <c r="K149" s="28"/>
    </row>
    <row r="150" spans="1:11" x14ac:dyDescent="0.2">
      <c r="A150" s="355"/>
      <c r="B150" s="349"/>
      <c r="C150" s="377"/>
      <c r="D150" s="351" t="s">
        <v>218</v>
      </c>
      <c r="E150" s="351" t="s">
        <v>219</v>
      </c>
      <c r="F150" s="421" t="s">
        <v>333</v>
      </c>
      <c r="G150" s="155" t="s">
        <v>233</v>
      </c>
      <c r="H150" s="151">
        <v>65.19</v>
      </c>
      <c r="I150" s="151" t="s">
        <v>32</v>
      </c>
      <c r="J150" s="152" t="s">
        <v>76</v>
      </c>
      <c r="K150" s="152"/>
    </row>
    <row r="151" spans="1:11" x14ac:dyDescent="0.2">
      <c r="A151" s="355"/>
      <c r="B151" s="349"/>
      <c r="C151" s="377"/>
      <c r="D151" s="352"/>
      <c r="E151" s="352"/>
      <c r="F151" s="422"/>
      <c r="G151" s="149" t="s">
        <v>72</v>
      </c>
      <c r="H151" s="59">
        <f>87.47*1000</f>
        <v>87470</v>
      </c>
      <c r="I151" s="59" t="s">
        <v>32</v>
      </c>
      <c r="J151" s="80" t="s">
        <v>76</v>
      </c>
      <c r="K151" s="80"/>
    </row>
    <row r="152" spans="1:11" x14ac:dyDescent="0.2">
      <c r="A152" s="355"/>
      <c r="B152" s="349"/>
      <c r="C152" s="377"/>
      <c r="D152" s="352"/>
      <c r="E152" s="352"/>
      <c r="F152" s="422"/>
      <c r="G152" s="428" t="s">
        <v>73</v>
      </c>
      <c r="H152" s="157">
        <f>SUM(H150:H151)</f>
        <v>87535.19</v>
      </c>
      <c r="I152" s="59" t="s">
        <v>32</v>
      </c>
      <c r="J152" s="80" t="s">
        <v>76</v>
      </c>
      <c r="K152" s="80"/>
    </row>
    <row r="153" spans="1:11" ht="16" thickBot="1" x14ac:dyDescent="0.25">
      <c r="A153" s="355"/>
      <c r="B153" s="349"/>
      <c r="C153" s="377"/>
      <c r="D153" s="353"/>
      <c r="E153" s="353"/>
      <c r="F153" s="423"/>
      <c r="G153" s="429"/>
      <c r="H153" s="154">
        <f>H152/1000</f>
        <v>87.53519</v>
      </c>
      <c r="I153" s="77" t="s">
        <v>32</v>
      </c>
      <c r="J153" s="79" t="s">
        <v>68</v>
      </c>
      <c r="K153" s="79"/>
    </row>
    <row r="154" spans="1:11" x14ac:dyDescent="0.2">
      <c r="A154" s="355"/>
      <c r="B154" s="349"/>
      <c r="C154" s="377"/>
      <c r="D154" s="348" t="s">
        <v>220</v>
      </c>
      <c r="E154" s="348" t="s">
        <v>29</v>
      </c>
      <c r="F154" s="360" t="s">
        <v>333</v>
      </c>
      <c r="G154" s="41" t="s">
        <v>233</v>
      </c>
      <c r="H154" s="20">
        <v>12.93</v>
      </c>
      <c r="I154" s="20" t="s">
        <v>32</v>
      </c>
      <c r="J154" s="21" t="s">
        <v>76</v>
      </c>
      <c r="K154" s="25"/>
    </row>
    <row r="155" spans="1:11" x14ac:dyDescent="0.2">
      <c r="A155" s="355"/>
      <c r="B155" s="349"/>
      <c r="C155" s="377"/>
      <c r="D155" s="349"/>
      <c r="E155" s="349"/>
      <c r="F155" s="377"/>
      <c r="G155" s="42" t="s">
        <v>72</v>
      </c>
      <c r="H155" s="3">
        <f>151.91*1000</f>
        <v>151910</v>
      </c>
      <c r="I155" s="3" t="s">
        <v>32</v>
      </c>
      <c r="J155" s="22" t="s">
        <v>76</v>
      </c>
      <c r="K155" s="26"/>
    </row>
    <row r="156" spans="1:11" x14ac:dyDescent="0.2">
      <c r="A156" s="355"/>
      <c r="B156" s="349"/>
      <c r="C156" s="377"/>
      <c r="D156" s="349"/>
      <c r="E156" s="349"/>
      <c r="F156" s="377"/>
      <c r="G156" s="406" t="s">
        <v>73</v>
      </c>
      <c r="H156" s="47">
        <f>SUM(H154:H155)</f>
        <v>151922.93</v>
      </c>
      <c r="I156" s="3" t="s">
        <v>32</v>
      </c>
      <c r="J156" s="22" t="s">
        <v>76</v>
      </c>
      <c r="K156" s="26"/>
    </row>
    <row r="157" spans="1:11" ht="16" thickBot="1" x14ac:dyDescent="0.25">
      <c r="A157" s="355"/>
      <c r="B157" s="349"/>
      <c r="C157" s="377"/>
      <c r="D157" s="349"/>
      <c r="E157" s="349"/>
      <c r="F157" s="377"/>
      <c r="G157" s="406"/>
      <c r="H157" s="47">
        <f>H156/1000</f>
        <v>151.92292999999998</v>
      </c>
      <c r="I157" s="3" t="s">
        <v>32</v>
      </c>
      <c r="J157" s="22" t="s">
        <v>68</v>
      </c>
      <c r="K157" s="27"/>
    </row>
    <row r="158" spans="1:11" x14ac:dyDescent="0.2">
      <c r="A158" s="345" t="s">
        <v>234</v>
      </c>
      <c r="B158" s="360" t="s">
        <v>228</v>
      </c>
      <c r="C158" s="360">
        <v>2025</v>
      </c>
      <c r="D158" s="351" t="s">
        <v>231</v>
      </c>
      <c r="E158" s="351" t="s">
        <v>29</v>
      </c>
      <c r="F158" s="421" t="s">
        <v>333</v>
      </c>
      <c r="G158" s="151" t="s">
        <v>235</v>
      </c>
      <c r="H158" s="276">
        <v>103.8</v>
      </c>
      <c r="I158" s="151" t="s">
        <v>13</v>
      </c>
      <c r="J158" s="152" t="s">
        <v>76</v>
      </c>
      <c r="K158" s="72"/>
    </row>
    <row r="159" spans="1:11" x14ac:dyDescent="0.2">
      <c r="A159" s="346"/>
      <c r="B159" s="377"/>
      <c r="C159" s="377"/>
      <c r="D159" s="352"/>
      <c r="E159" s="352"/>
      <c r="F159" s="422"/>
      <c r="G159" s="430" t="s">
        <v>73</v>
      </c>
      <c r="H159" s="59">
        <v>130</v>
      </c>
      <c r="I159" s="59" t="s">
        <v>14</v>
      </c>
      <c r="J159" s="80" t="s">
        <v>76</v>
      </c>
      <c r="K159" s="71" t="s">
        <v>236</v>
      </c>
    </row>
    <row r="160" spans="1:11" ht="16" thickBot="1" x14ac:dyDescent="0.25">
      <c r="A160" s="347"/>
      <c r="B160" s="361"/>
      <c r="C160" s="361"/>
      <c r="D160" s="353"/>
      <c r="E160" s="353"/>
      <c r="F160" s="423"/>
      <c r="G160" s="431"/>
      <c r="H160" s="77">
        <f>H159</f>
        <v>130</v>
      </c>
      <c r="I160" s="77" t="s">
        <v>32</v>
      </c>
      <c r="J160" s="79" t="s">
        <v>68</v>
      </c>
      <c r="K160" s="78"/>
    </row>
    <row r="162" spans="1:11" ht="16" thickBot="1" x14ac:dyDescent="0.25">
      <c r="A162" s="1" t="s">
        <v>514</v>
      </c>
    </row>
    <row r="163" spans="1:11" ht="16" thickBot="1" x14ac:dyDescent="0.25">
      <c r="A163" s="169" t="s">
        <v>0</v>
      </c>
      <c r="B163" s="173" t="s">
        <v>1</v>
      </c>
      <c r="C163" s="172" t="s">
        <v>2</v>
      </c>
      <c r="D163" s="173" t="s">
        <v>3</v>
      </c>
      <c r="E163" s="172" t="s">
        <v>37</v>
      </c>
      <c r="F163" s="170" t="s">
        <v>249</v>
      </c>
      <c r="G163" s="169" t="s">
        <v>63</v>
      </c>
      <c r="H163" s="172" t="s">
        <v>64</v>
      </c>
      <c r="I163" s="172" t="s">
        <v>65</v>
      </c>
      <c r="J163" s="171" t="s">
        <v>66</v>
      </c>
      <c r="K163" s="171" t="s">
        <v>7</v>
      </c>
    </row>
    <row r="164" spans="1:11" x14ac:dyDescent="0.2">
      <c r="A164" s="345" t="s">
        <v>515</v>
      </c>
      <c r="B164" s="348" t="s">
        <v>20</v>
      </c>
      <c r="C164" s="348">
        <v>2024</v>
      </c>
      <c r="D164" s="372" t="s">
        <v>193</v>
      </c>
      <c r="E164" s="348" t="s">
        <v>29</v>
      </c>
      <c r="F164" s="348" t="s">
        <v>240</v>
      </c>
      <c r="G164" s="41" t="s">
        <v>516</v>
      </c>
      <c r="H164" s="277">
        <v>1.0960000000000001</v>
      </c>
      <c r="I164" s="20" t="s">
        <v>32</v>
      </c>
      <c r="J164" s="21" t="s">
        <v>68</v>
      </c>
      <c r="K164" s="21" t="s">
        <v>523</v>
      </c>
    </row>
    <row r="165" spans="1:11" x14ac:dyDescent="0.2">
      <c r="A165" s="346"/>
      <c r="B165" s="349"/>
      <c r="C165" s="349"/>
      <c r="D165" s="406"/>
      <c r="E165" s="349"/>
      <c r="F165" s="349"/>
      <c r="G165" s="42" t="s">
        <v>517</v>
      </c>
      <c r="H165" s="278">
        <v>195.5772</v>
      </c>
      <c r="I165" s="3" t="s">
        <v>32</v>
      </c>
      <c r="J165" s="22" t="s">
        <v>68</v>
      </c>
      <c r="K165" s="22" t="s">
        <v>523</v>
      </c>
    </row>
    <row r="166" spans="1:11" x14ac:dyDescent="0.2">
      <c r="A166" s="346"/>
      <c r="B166" s="349"/>
      <c r="C166" s="349"/>
      <c r="D166" s="406"/>
      <c r="E166" s="349"/>
      <c r="F166" s="349"/>
      <c r="G166" s="42" t="s">
        <v>518</v>
      </c>
      <c r="H166" s="278">
        <f>0.0002+0.1158</f>
        <v>0.11600000000000001</v>
      </c>
      <c r="I166" s="3" t="s">
        <v>32</v>
      </c>
      <c r="J166" s="22" t="s">
        <v>68</v>
      </c>
      <c r="K166" s="22" t="s">
        <v>523</v>
      </c>
    </row>
    <row r="167" spans="1:11" x14ac:dyDescent="0.2">
      <c r="A167" s="346"/>
      <c r="B167" s="349"/>
      <c r="C167" s="349"/>
      <c r="D167" s="406"/>
      <c r="E167" s="349"/>
      <c r="F167" s="349"/>
      <c r="G167" s="42" t="s">
        <v>519</v>
      </c>
      <c r="H167" s="278">
        <v>2583.0855999999999</v>
      </c>
      <c r="I167" s="3" t="s">
        <v>32</v>
      </c>
      <c r="J167" s="22" t="s">
        <v>68</v>
      </c>
      <c r="K167" s="22" t="s">
        <v>523</v>
      </c>
    </row>
    <row r="168" spans="1:11" x14ac:dyDescent="0.2">
      <c r="A168" s="346"/>
      <c r="B168" s="349"/>
      <c r="C168" s="349"/>
      <c r="D168" s="406"/>
      <c r="E168" s="349"/>
      <c r="F168" s="349"/>
      <c r="G168" s="42" t="s">
        <v>520</v>
      </c>
      <c r="H168" s="278">
        <v>4</v>
      </c>
      <c r="I168" s="3" t="s">
        <v>32</v>
      </c>
      <c r="J168" s="22" t="s">
        <v>68</v>
      </c>
      <c r="K168" s="22" t="s">
        <v>523</v>
      </c>
    </row>
    <row r="169" spans="1:11" x14ac:dyDescent="0.2">
      <c r="A169" s="346"/>
      <c r="B169" s="349"/>
      <c r="C169" s="349"/>
      <c r="D169" s="406"/>
      <c r="E169" s="349"/>
      <c r="F169" s="349"/>
      <c r="G169" s="42" t="s">
        <v>522</v>
      </c>
      <c r="H169" s="278">
        <v>19.230799999999999</v>
      </c>
      <c r="I169" s="3" t="s">
        <v>32</v>
      </c>
      <c r="J169" s="22" t="s">
        <v>68</v>
      </c>
      <c r="K169" s="22" t="s">
        <v>523</v>
      </c>
    </row>
    <row r="170" spans="1:11" x14ac:dyDescent="0.2">
      <c r="A170" s="346"/>
      <c r="B170" s="349"/>
      <c r="C170" s="349"/>
      <c r="D170" s="406"/>
      <c r="E170" s="349"/>
      <c r="F170" s="349"/>
      <c r="G170" s="42" t="s">
        <v>521</v>
      </c>
      <c r="H170" s="278">
        <v>703.33789999999999</v>
      </c>
      <c r="I170" s="3" t="s">
        <v>32</v>
      </c>
      <c r="J170" s="22" t="s">
        <v>68</v>
      </c>
      <c r="K170" s="22" t="s">
        <v>523</v>
      </c>
    </row>
    <row r="171" spans="1:11" ht="16" thickBot="1" x14ac:dyDescent="0.25">
      <c r="A171" s="346"/>
      <c r="B171" s="349"/>
      <c r="C171" s="349"/>
      <c r="D171" s="373"/>
      <c r="E171" s="350"/>
      <c r="F171" s="350"/>
      <c r="G171" s="159" t="s">
        <v>73</v>
      </c>
      <c r="H171" s="279">
        <f>SUM(H164:H170)</f>
        <v>3506.4434999999999</v>
      </c>
      <c r="I171" s="24" t="s">
        <v>32</v>
      </c>
      <c r="J171" s="28" t="s">
        <v>68</v>
      </c>
      <c r="K171" s="28" t="s">
        <v>586</v>
      </c>
    </row>
    <row r="172" spans="1:11" x14ac:dyDescent="0.2">
      <c r="A172" s="346"/>
      <c r="B172" s="349"/>
      <c r="C172" s="349"/>
      <c r="D172" s="430" t="s">
        <v>356</v>
      </c>
      <c r="E172" s="352" t="s">
        <v>357</v>
      </c>
      <c r="F172" s="352" t="s">
        <v>240</v>
      </c>
      <c r="G172" s="149" t="s">
        <v>516</v>
      </c>
      <c r="H172" s="274">
        <v>0.05</v>
      </c>
      <c r="I172" s="59" t="s">
        <v>32</v>
      </c>
      <c r="J172" s="80" t="s">
        <v>68</v>
      </c>
      <c r="K172" s="80" t="s">
        <v>523</v>
      </c>
    </row>
    <row r="173" spans="1:11" x14ac:dyDescent="0.2">
      <c r="A173" s="346"/>
      <c r="B173" s="349"/>
      <c r="C173" s="349"/>
      <c r="D173" s="430"/>
      <c r="E173" s="352"/>
      <c r="F173" s="352"/>
      <c r="G173" s="149" t="s">
        <v>517</v>
      </c>
      <c r="H173" s="274">
        <v>195.66</v>
      </c>
      <c r="I173" s="59" t="s">
        <v>32</v>
      </c>
      <c r="J173" s="80" t="s">
        <v>68</v>
      </c>
      <c r="K173" s="80" t="s">
        <v>523</v>
      </c>
    </row>
    <row r="174" spans="1:11" x14ac:dyDescent="0.2">
      <c r="A174" s="346"/>
      <c r="B174" s="349"/>
      <c r="C174" s="349"/>
      <c r="D174" s="430"/>
      <c r="E174" s="352"/>
      <c r="F174" s="352"/>
      <c r="G174" s="149" t="s">
        <v>518</v>
      </c>
      <c r="H174" s="274">
        <f>0.0001+0.023</f>
        <v>2.3099999999999999E-2</v>
      </c>
      <c r="I174" s="59" t="s">
        <v>32</v>
      </c>
      <c r="J174" s="80" t="s">
        <v>68</v>
      </c>
      <c r="K174" s="80" t="s">
        <v>523</v>
      </c>
    </row>
    <row r="175" spans="1:11" x14ac:dyDescent="0.2">
      <c r="A175" s="346"/>
      <c r="B175" s="349"/>
      <c r="C175" s="349"/>
      <c r="D175" s="430"/>
      <c r="E175" s="352"/>
      <c r="F175" s="352"/>
      <c r="G175" s="149" t="s">
        <v>519</v>
      </c>
      <c r="H175" s="274">
        <v>2582.9899999999998</v>
      </c>
      <c r="I175" s="59" t="s">
        <v>32</v>
      </c>
      <c r="J175" s="80" t="s">
        <v>68</v>
      </c>
      <c r="K175" s="80" t="s">
        <v>523</v>
      </c>
    </row>
    <row r="176" spans="1:11" x14ac:dyDescent="0.2">
      <c r="A176" s="346"/>
      <c r="B176" s="349"/>
      <c r="C176" s="349"/>
      <c r="D176" s="430"/>
      <c r="E176" s="352"/>
      <c r="F176" s="352"/>
      <c r="G176" s="149" t="s">
        <v>520</v>
      </c>
      <c r="H176" s="274">
        <v>4</v>
      </c>
      <c r="I176" s="59" t="s">
        <v>32</v>
      </c>
      <c r="J176" s="80" t="s">
        <v>68</v>
      </c>
      <c r="K176" s="80" t="s">
        <v>523</v>
      </c>
    </row>
    <row r="177" spans="1:11" x14ac:dyDescent="0.2">
      <c r="A177" s="346"/>
      <c r="B177" s="349"/>
      <c r="C177" s="349"/>
      <c r="D177" s="430"/>
      <c r="E177" s="352"/>
      <c r="F177" s="352"/>
      <c r="G177" s="149" t="s">
        <v>522</v>
      </c>
      <c r="H177" s="274">
        <v>19.23</v>
      </c>
      <c r="I177" s="59" t="s">
        <v>32</v>
      </c>
      <c r="J177" s="80" t="s">
        <v>68</v>
      </c>
      <c r="K177" s="80" t="s">
        <v>523</v>
      </c>
    </row>
    <row r="178" spans="1:11" x14ac:dyDescent="0.2">
      <c r="A178" s="346"/>
      <c r="B178" s="349"/>
      <c r="C178" s="349"/>
      <c r="D178" s="430"/>
      <c r="E178" s="352"/>
      <c r="F178" s="352"/>
      <c r="G178" s="149" t="s">
        <v>521</v>
      </c>
      <c r="H178" s="274">
        <v>703.05</v>
      </c>
      <c r="I178" s="59" t="s">
        <v>32</v>
      </c>
      <c r="J178" s="80" t="s">
        <v>68</v>
      </c>
      <c r="K178" s="80" t="s">
        <v>523</v>
      </c>
    </row>
    <row r="179" spans="1:11" ht="16" thickBot="1" x14ac:dyDescent="0.25">
      <c r="A179" s="347"/>
      <c r="B179" s="350"/>
      <c r="C179" s="350"/>
      <c r="D179" s="431"/>
      <c r="E179" s="353"/>
      <c r="F179" s="353"/>
      <c r="G179" s="150" t="s">
        <v>73</v>
      </c>
      <c r="H179" s="280">
        <f>SUM(H172:H178)</f>
        <v>3505.0030999999999</v>
      </c>
      <c r="I179" s="77" t="s">
        <v>32</v>
      </c>
      <c r="J179" s="79" t="s">
        <v>68</v>
      </c>
      <c r="K179" s="79" t="s">
        <v>586</v>
      </c>
    </row>
    <row r="180" spans="1:11" x14ac:dyDescent="0.2">
      <c r="A180" s="354" t="s">
        <v>532</v>
      </c>
      <c r="B180" s="348" t="s">
        <v>531</v>
      </c>
      <c r="C180" s="348">
        <v>2021</v>
      </c>
      <c r="D180" s="348" t="s">
        <v>193</v>
      </c>
      <c r="E180" s="348" t="s">
        <v>29</v>
      </c>
      <c r="F180" s="348" t="s">
        <v>240</v>
      </c>
      <c r="G180" s="41" t="s">
        <v>72</v>
      </c>
      <c r="H180" s="277">
        <v>70</v>
      </c>
      <c r="I180" s="20" t="s">
        <v>211</v>
      </c>
      <c r="J180" s="21" t="s">
        <v>524</v>
      </c>
      <c r="K180" s="21" t="s">
        <v>528</v>
      </c>
    </row>
    <row r="181" spans="1:11" x14ac:dyDescent="0.2">
      <c r="A181" s="355"/>
      <c r="B181" s="349"/>
      <c r="C181" s="349"/>
      <c r="D181" s="349"/>
      <c r="E181" s="349"/>
      <c r="F181" s="349"/>
      <c r="G181" s="42" t="s">
        <v>525</v>
      </c>
      <c r="H181" s="278">
        <f>1/1.71</f>
        <v>0.58479532163742687</v>
      </c>
      <c r="I181" s="3" t="s">
        <v>211</v>
      </c>
      <c r="J181" s="22" t="s">
        <v>524</v>
      </c>
      <c r="K181" s="22" t="s">
        <v>529</v>
      </c>
    </row>
    <row r="182" spans="1:11" x14ac:dyDescent="0.2">
      <c r="A182" s="355"/>
      <c r="B182" s="349"/>
      <c r="C182" s="349"/>
      <c r="D182" s="349"/>
      <c r="E182" s="349"/>
      <c r="F182" s="349"/>
      <c r="G182" s="42" t="s">
        <v>526</v>
      </c>
      <c r="H182" s="278">
        <f>1/1.54</f>
        <v>0.64935064935064934</v>
      </c>
      <c r="I182" s="3" t="s">
        <v>211</v>
      </c>
      <c r="J182" s="22" t="s">
        <v>527</v>
      </c>
      <c r="K182" s="22"/>
    </row>
    <row r="183" spans="1:11" x14ac:dyDescent="0.2">
      <c r="A183" s="355"/>
      <c r="B183" s="349"/>
      <c r="C183" s="349"/>
      <c r="D183" s="349"/>
      <c r="E183" s="349"/>
      <c r="F183" s="349"/>
      <c r="G183" s="42" t="s">
        <v>526</v>
      </c>
      <c r="H183" s="278">
        <v>1.63927</v>
      </c>
      <c r="I183" s="3" t="s">
        <v>32</v>
      </c>
      <c r="J183" s="22" t="s">
        <v>68</v>
      </c>
      <c r="K183" s="404" t="s">
        <v>530</v>
      </c>
    </row>
    <row r="184" spans="1:11" ht="16" thickBot="1" x14ac:dyDescent="0.25">
      <c r="A184" s="403"/>
      <c r="B184" s="350"/>
      <c r="C184" s="350"/>
      <c r="D184" s="350"/>
      <c r="E184" s="350"/>
      <c r="F184" s="350"/>
      <c r="G184" s="159" t="s">
        <v>73</v>
      </c>
      <c r="H184" s="279">
        <f>H180*(1/H181)*(1/H182)*(H183/1.08)</f>
        <v>279.79606783333332</v>
      </c>
      <c r="I184" s="24" t="s">
        <v>32</v>
      </c>
      <c r="J184" s="28" t="s">
        <v>68</v>
      </c>
      <c r="K184" s="405"/>
    </row>
    <row r="185" spans="1:11" x14ac:dyDescent="0.2">
      <c r="A185" s="354" t="s">
        <v>534</v>
      </c>
      <c r="B185" s="348" t="s">
        <v>533</v>
      </c>
      <c r="C185" s="348">
        <v>2024</v>
      </c>
      <c r="D185" s="351" t="s">
        <v>193</v>
      </c>
      <c r="E185" s="351" t="s">
        <v>29</v>
      </c>
      <c r="F185" s="351" t="s">
        <v>240</v>
      </c>
      <c r="G185" s="155" t="s">
        <v>73</v>
      </c>
      <c r="H185" s="156">
        <v>183</v>
      </c>
      <c r="I185" s="151" t="s">
        <v>32</v>
      </c>
      <c r="J185" s="152" t="s">
        <v>68</v>
      </c>
      <c r="K185" s="152" t="s">
        <v>535</v>
      </c>
    </row>
    <row r="186" spans="1:11" x14ac:dyDescent="0.2">
      <c r="A186" s="355"/>
      <c r="B186" s="349"/>
      <c r="C186" s="349"/>
      <c r="D186" s="352"/>
      <c r="E186" s="352"/>
      <c r="F186" s="352"/>
      <c r="G186" s="149" t="s">
        <v>73</v>
      </c>
      <c r="H186" s="157">
        <v>274</v>
      </c>
      <c r="I186" s="59" t="s">
        <v>32</v>
      </c>
      <c r="J186" s="80" t="s">
        <v>68</v>
      </c>
      <c r="K186" s="80" t="s">
        <v>536</v>
      </c>
    </row>
    <row r="187" spans="1:11" ht="31" customHeight="1" thickBot="1" x14ac:dyDescent="0.25">
      <c r="A187" s="403"/>
      <c r="B187" s="350"/>
      <c r="C187" s="350"/>
      <c r="D187" s="353"/>
      <c r="E187" s="353"/>
      <c r="F187" s="353"/>
      <c r="G187" s="150" t="s">
        <v>73</v>
      </c>
      <c r="H187" s="154">
        <v>548</v>
      </c>
      <c r="I187" s="77" t="s">
        <v>32</v>
      </c>
      <c r="J187" s="79" t="s">
        <v>68</v>
      </c>
      <c r="K187" s="79" t="s">
        <v>537</v>
      </c>
    </row>
    <row r="190" spans="1:11" ht="16" thickBot="1" x14ac:dyDescent="0.25">
      <c r="A190" s="1" t="s">
        <v>513</v>
      </c>
    </row>
    <row r="191" spans="1:11" ht="16" thickBot="1" x14ac:dyDescent="0.25">
      <c r="A191" s="482"/>
      <c r="B191" s="482"/>
      <c r="C191" s="490" t="s">
        <v>384</v>
      </c>
      <c r="D191" s="491"/>
      <c r="E191" s="492"/>
      <c r="F191" s="491" t="s">
        <v>389</v>
      </c>
      <c r="G191" s="491"/>
      <c r="H191" s="492"/>
    </row>
    <row r="192" spans="1:11" ht="16" thickBot="1" x14ac:dyDescent="0.25">
      <c r="A192" s="177" t="s">
        <v>118</v>
      </c>
      <c r="B192" s="167" t="s">
        <v>249</v>
      </c>
      <c r="C192" s="177" t="s">
        <v>381</v>
      </c>
      <c r="D192" s="167" t="s">
        <v>382</v>
      </c>
      <c r="E192" s="168" t="s">
        <v>383</v>
      </c>
      <c r="F192" s="167" t="s">
        <v>381</v>
      </c>
      <c r="G192" s="167" t="s">
        <v>382</v>
      </c>
      <c r="H192" s="168" t="s">
        <v>383</v>
      </c>
      <c r="I192" s="2" t="s">
        <v>380</v>
      </c>
    </row>
    <row r="193" spans="1:9" x14ac:dyDescent="0.2">
      <c r="A193" s="42" t="s">
        <v>12</v>
      </c>
      <c r="B193" s="482" t="s">
        <v>11</v>
      </c>
      <c r="C193" s="487">
        <f>AVERAGE(H9,H16,H23,H31,H38,H45,H46,H47,H48,H49,H50,H51,H52,H53,H54,H55,H56,H57,H58,H59,H61,H64,H62,H63)</f>
        <v>130.15703214433333</v>
      </c>
      <c r="D193" s="483">
        <f>MIN(H9,H16,H23,H31,H38,H45,H46,H47,H48,H49,H50,H51,H52,H53,H54,H55,H56,H57,H58,H59,H61,H64,H62,H63)</f>
        <v>6.5546010469999993</v>
      </c>
      <c r="E193" s="247">
        <f>MAX(H9,H16,H23,H31,H38,H45,H46,H47,H48,H49,H50,H51,H52,H53,H54,H55,H56,H57,H58,H59,H61,H64,H62,H63)</f>
        <v>474</v>
      </c>
      <c r="F193" s="483">
        <f>AVERAGE(H9,H16,H23,H31,H38,H45,H46,H47,H48,H49,H50,H51,H52,H53,H54,H55,H56,H57,H58,H59,H61,H64,H62,H63,'6. Proposed Mine LCI Values'!H53)</f>
        <v>136.54963617075239</v>
      </c>
      <c r="G193" s="483">
        <f>MIN(H9,H16,H23,H31,H38,H45,H46,H47,H48,H49,H50,H51,H52,H53,H54,H55,H56,H57,H58,H59,H61,H64,H62,H63,'6. Proposed Mine LCI Values'!H53)</f>
        <v>6.5546010469999993</v>
      </c>
      <c r="H193" s="247">
        <f>MAX(H9,H16,H23,H31,H38,H45,H46,H47,H48,H49,H50,H51,H52,H53,H54,H55,H56,H57,H58,H59,H61,H64,H62,H63,'6. Proposed Mine LCI Values'!H53)</f>
        <v>474</v>
      </c>
    </row>
    <row r="194" spans="1:9" x14ac:dyDescent="0.2">
      <c r="A194" s="42" t="s">
        <v>12</v>
      </c>
      <c r="B194" s="482" t="s">
        <v>240</v>
      </c>
      <c r="C194" s="487">
        <f>AVERAGE(H69:H72,H74,H75,H76,H77,H78,H79,H80,H81,H82,H83,H84,H85,H86,H87:H94)</f>
        <v>228.3364</v>
      </c>
      <c r="D194" s="483">
        <f>MIN(H69:H72,H74,H75,H76,H77,H78,H79,H80,H81,H82,H83,H84,H85,H86,H87:H94)</f>
        <v>0.08</v>
      </c>
      <c r="E194" s="247">
        <f>MAX(H69:H72,H74,H75,H76,H77,H78,H79,H80,H81,H82,H83,H84,H85,H86,H87:H94)</f>
        <v>757.5</v>
      </c>
      <c r="F194" s="483">
        <f>AVERAGE(H69:H72,H74,H75,H76,H77,H78,H79,H80,H81,H82,H83,H84,H85,H86,H87:H94,'6. Proposed Mine LCI Values'!H47,'6. Proposed Mine LCI Values'!H48)</f>
        <v>222.30178699059996</v>
      </c>
      <c r="G194" s="483">
        <f>MIN(H69:H72,H74,H75,H76,H77,H78,H79,H80,H81,H82,H83,H84,H85,H86,H87:H94,'6. Proposed Mine LCI Values'!H47,'6. Proposed Mine LCI Values'!H48)</f>
        <v>0.08</v>
      </c>
      <c r="H194" s="247">
        <f>MAX(H69:H72,H74,H75,H76,H77,H78,H79,H80,H81,H82,H83,H84,H85,H86,H87:H94,'6. Proposed Mine LCI Values'!H47,'6. Proposed Mine LCI Values'!H48)</f>
        <v>757.5</v>
      </c>
    </row>
    <row r="195" spans="1:9" x14ac:dyDescent="0.2">
      <c r="A195" s="42" t="s">
        <v>386</v>
      </c>
      <c r="B195" s="482" t="s">
        <v>269</v>
      </c>
      <c r="C195" s="42">
        <f>AVERAGE(H124,H130,H136)*(lhe/lce)</f>
        <v>51.520361901183549</v>
      </c>
      <c r="D195" s="482">
        <f>MIN(H124,H130,H136)*(lhe/lce)</f>
        <v>19.729581664474917</v>
      </c>
      <c r="E195" s="22">
        <f>MAX(H124,H130,H136)*(lhe/lce)</f>
        <v>115.07497576554574</v>
      </c>
      <c r="F195" s="482">
        <f>AVERAGE(H124,H130,H136,'6. Proposed Mine LCI Values'!H51)*(lhe/lce)</f>
        <v>42.412413929260673</v>
      </c>
      <c r="G195" s="482">
        <f>MIN(H124,H130,H136,'6. Proposed Mine LCI Values'!H51)*(lhe/lce)</f>
        <v>15.088570013492047</v>
      </c>
      <c r="H195" s="22">
        <f>MAX(H124,H130,H136,'6. Proposed Mine LCI Values'!H51)*(lhe/lce)</f>
        <v>115.07497576554574</v>
      </c>
    </row>
    <row r="196" spans="1:9" x14ac:dyDescent="0.2">
      <c r="A196" s="42" t="s">
        <v>388</v>
      </c>
      <c r="B196" s="482" t="s">
        <v>269</v>
      </c>
      <c r="C196" s="488">
        <f>AVERAGE(H145,H149,H153,H157,H160)</f>
        <v>104.771838</v>
      </c>
      <c r="D196" s="484">
        <f>MIN(H145,H149,H153,H157,H160)</f>
        <v>54.301070000000003</v>
      </c>
      <c r="E196" s="486">
        <f>MAX(H145,H149,H153,H157,H160)</f>
        <v>151.92292999999998</v>
      </c>
      <c r="F196" s="482">
        <f>AVERAGE(H145,H149,H153,H157,H160,'6. Proposed Mine LCI Values'!H49,'6. Proposed Mine LCI Values'!H52,'6. Proposed Mine LCI Values'!H55,'6. Proposed Mine LCI Values'!H56*(lhe/lce),'6. Proposed Mine LCI Values'!H46)</f>
        <v>119.11760623068463</v>
      </c>
      <c r="G196" s="482">
        <f>MIN(H145,H149,H153,H157,H160,'6. Proposed Mine LCI Values'!H49,'6. Proposed Mine LCI Values'!H52,'6. Proposed Mine LCI Values'!H55,'6. Proposed Mine LCI Values'!H56*(lhe/lce),'6. Proposed Mine LCI Values'!H46)</f>
        <v>54.301070000000003</v>
      </c>
      <c r="H196" s="22">
        <f>MAX(H145,H149,H153,H157,H160,'6. Proposed Mine LCI Values'!H49,'6. Proposed Mine LCI Values'!H52,'6. Proposed Mine LCI Values'!H55,'6. Proposed Mine LCI Values'!H56*(lhe/lce),'6. Proposed Mine LCI Values'!H46)</f>
        <v>194.84775827869717</v>
      </c>
    </row>
    <row r="197" spans="1:9" x14ac:dyDescent="0.2">
      <c r="A197" s="42" t="s">
        <v>387</v>
      </c>
      <c r="B197" s="482" t="s">
        <v>240</v>
      </c>
      <c r="C197" s="406" t="s">
        <v>395</v>
      </c>
      <c r="D197" s="485"/>
      <c r="E197" s="434"/>
      <c r="F197" s="484">
        <f>AVERAGE('6. Proposed Mine LCI Values'!H54,'6. Proposed Mine LCI Values'!H50)</f>
        <v>70.911933664395463</v>
      </c>
      <c r="G197" s="484">
        <f>MIN('6. Proposed Mine LCI Values'!H54,'6. Proposed Mine LCI Values'!H50)</f>
        <v>21.227867328790907</v>
      </c>
      <c r="H197" s="486">
        <f>MAX('6. Proposed Mine LCI Values'!H54,'6. Proposed Mine LCI Values'!H50)</f>
        <v>120.596</v>
      </c>
      <c r="I197" s="2" t="s">
        <v>394</v>
      </c>
    </row>
    <row r="198" spans="1:9" ht="16" thickBot="1" x14ac:dyDescent="0.25">
      <c r="A198" s="159" t="s">
        <v>512</v>
      </c>
      <c r="B198" s="24" t="s">
        <v>240</v>
      </c>
      <c r="C198" s="489">
        <f>AVERAGE(H93,H94,H185:H187,H184)</f>
        <v>332.96601130555558</v>
      </c>
      <c r="D198" s="48">
        <f>MIN(H93,H94,H185:H187,H184)</f>
        <v>183</v>
      </c>
      <c r="E198" s="248">
        <f>MAX(H93,H94,H185:H187,H184)</f>
        <v>548</v>
      </c>
      <c r="F198" s="48">
        <f>AVERAGE(H93,H94,H185:H187,H184,'6. Proposed Mine LCI Values'!H45,'6. Proposed Mine LCI Values'!H48)</f>
        <v>298.24563990957915</v>
      </c>
      <c r="G198" s="48">
        <f>MIN(H93,H94,H185:H187,H184,'6. Proposed Mine LCI Values'!H45,'6. Proposed Mine LCI Values'!H48)</f>
        <v>180.43080269710129</v>
      </c>
      <c r="H198" s="248">
        <f>MAX(H93,H94,H185:H187,H184,'6. Proposed Mine LCI Values'!H45,'6. Proposed Mine LCI Values'!H48)</f>
        <v>548</v>
      </c>
    </row>
  </sheetData>
  <mergeCells count="166">
    <mergeCell ref="B185:B187"/>
    <mergeCell ref="A185:A187"/>
    <mergeCell ref="B164:B179"/>
    <mergeCell ref="A164:A179"/>
    <mergeCell ref="K183:K184"/>
    <mergeCell ref="F180:F184"/>
    <mergeCell ref="E180:E184"/>
    <mergeCell ref="D180:D184"/>
    <mergeCell ref="A180:A184"/>
    <mergeCell ref="B180:B184"/>
    <mergeCell ref="C180:C184"/>
    <mergeCell ref="F191:H191"/>
    <mergeCell ref="C191:E191"/>
    <mergeCell ref="C197:E197"/>
    <mergeCell ref="D150:D153"/>
    <mergeCell ref="F154:F157"/>
    <mergeCell ref="D158:D160"/>
    <mergeCell ref="E158:E160"/>
    <mergeCell ref="G159:G160"/>
    <mergeCell ref="G156:G157"/>
    <mergeCell ref="D154:D157"/>
    <mergeCell ref="E154:E157"/>
    <mergeCell ref="F158:F160"/>
    <mergeCell ref="F164:F171"/>
    <mergeCell ref="F172:F179"/>
    <mergeCell ref="D172:D179"/>
    <mergeCell ref="E172:E179"/>
    <mergeCell ref="E164:E171"/>
    <mergeCell ref="D164:D171"/>
    <mergeCell ref="C164:C179"/>
    <mergeCell ref="F185:F187"/>
    <mergeCell ref="E185:E187"/>
    <mergeCell ref="D185:D187"/>
    <mergeCell ref="C185:C187"/>
    <mergeCell ref="A158:A160"/>
    <mergeCell ref="B158:B160"/>
    <mergeCell ref="C158:C160"/>
    <mergeCell ref="G129:G130"/>
    <mergeCell ref="G135:G136"/>
    <mergeCell ref="D131:D136"/>
    <mergeCell ref="E131:E136"/>
    <mergeCell ref="D125:D130"/>
    <mergeCell ref="E125:E130"/>
    <mergeCell ref="B140:B145"/>
    <mergeCell ref="A140:A145"/>
    <mergeCell ref="D140:D142"/>
    <mergeCell ref="E140:E142"/>
    <mergeCell ref="D143:D145"/>
    <mergeCell ref="E143:E145"/>
    <mergeCell ref="C140:C145"/>
    <mergeCell ref="A146:A157"/>
    <mergeCell ref="B146:B157"/>
    <mergeCell ref="C146:C157"/>
    <mergeCell ref="G148:G149"/>
    <mergeCell ref="D146:D149"/>
    <mergeCell ref="E146:E149"/>
    <mergeCell ref="G152:G153"/>
    <mergeCell ref="E150:E153"/>
    <mergeCell ref="G117:G118"/>
    <mergeCell ref="G119:G120"/>
    <mergeCell ref="G121:G124"/>
    <mergeCell ref="E115:E124"/>
    <mergeCell ref="G106:G107"/>
    <mergeCell ref="G110:G111"/>
    <mergeCell ref="D115:D124"/>
    <mergeCell ref="C115:C124"/>
    <mergeCell ref="B115:B124"/>
    <mergeCell ref="C24:C31"/>
    <mergeCell ref="A46:A50"/>
    <mergeCell ref="B46:B50"/>
    <mergeCell ref="C46:C50"/>
    <mergeCell ref="C32:C45"/>
    <mergeCell ref="A24:A31"/>
    <mergeCell ref="A104:A111"/>
    <mergeCell ref="B104:B111"/>
    <mergeCell ref="G5:G6"/>
    <mergeCell ref="A32:A45"/>
    <mergeCell ref="B32:B45"/>
    <mergeCell ref="G19:G20"/>
    <mergeCell ref="A4:A23"/>
    <mergeCell ref="B4:B23"/>
    <mergeCell ref="C4:C23"/>
    <mergeCell ref="D10:D16"/>
    <mergeCell ref="E10:E16"/>
    <mergeCell ref="G12:G13"/>
    <mergeCell ref="D17:D23"/>
    <mergeCell ref="B24:B31"/>
    <mergeCell ref="G102:G103"/>
    <mergeCell ref="E17:E23"/>
    <mergeCell ref="D104:D107"/>
    <mergeCell ref="E104:E107"/>
    <mergeCell ref="G40:G42"/>
    <mergeCell ref="G44:G45"/>
    <mergeCell ref="E39:E45"/>
    <mergeCell ref="D39:D45"/>
    <mergeCell ref="D32:D38"/>
    <mergeCell ref="E32:E38"/>
    <mergeCell ref="F39:F45"/>
    <mergeCell ref="G7:G8"/>
    <mergeCell ref="G14:G15"/>
    <mergeCell ref="G21:G22"/>
    <mergeCell ref="G33:G35"/>
    <mergeCell ref="G37:G38"/>
    <mergeCell ref="G30:G31"/>
    <mergeCell ref="G26:G28"/>
    <mergeCell ref="G24:G25"/>
    <mergeCell ref="D4:D9"/>
    <mergeCell ref="E4:E9"/>
    <mergeCell ref="E24:E31"/>
    <mergeCell ref="D24:D31"/>
    <mergeCell ref="F146:F149"/>
    <mergeCell ref="F150:F153"/>
    <mergeCell ref="F100:F103"/>
    <mergeCell ref="F104:F107"/>
    <mergeCell ref="F108:F111"/>
    <mergeCell ref="F115:F124"/>
    <mergeCell ref="F125:F130"/>
    <mergeCell ref="F4:F9"/>
    <mergeCell ref="F10:F16"/>
    <mergeCell ref="F17:F23"/>
    <mergeCell ref="F24:F31"/>
    <mergeCell ref="F32:F38"/>
    <mergeCell ref="F65:F68"/>
    <mergeCell ref="A51:A59"/>
    <mergeCell ref="B51:B59"/>
    <mergeCell ref="C51:C59"/>
    <mergeCell ref="A79:A94"/>
    <mergeCell ref="B79:B94"/>
    <mergeCell ref="C79:C94"/>
    <mergeCell ref="F131:F136"/>
    <mergeCell ref="F140:F142"/>
    <mergeCell ref="F143:F145"/>
    <mergeCell ref="C100:C103"/>
    <mergeCell ref="B100:B103"/>
    <mergeCell ref="D108:D111"/>
    <mergeCell ref="E108:E111"/>
    <mergeCell ref="C104:C111"/>
    <mergeCell ref="A100:A103"/>
    <mergeCell ref="E100:E103"/>
    <mergeCell ref="D100:D103"/>
    <mergeCell ref="A115:A124"/>
    <mergeCell ref="C125:C136"/>
    <mergeCell ref="B125:B136"/>
    <mergeCell ref="A125:A136"/>
    <mergeCell ref="E65:E68"/>
    <mergeCell ref="D65:D68"/>
    <mergeCell ref="C65:C68"/>
    <mergeCell ref="G60:G61"/>
    <mergeCell ref="F60:F61"/>
    <mergeCell ref="E60:E61"/>
    <mergeCell ref="D60:D61"/>
    <mergeCell ref="C60:C61"/>
    <mergeCell ref="B60:B61"/>
    <mergeCell ref="A60:A61"/>
    <mergeCell ref="A69:A77"/>
    <mergeCell ref="B69:B77"/>
    <mergeCell ref="C69:C77"/>
    <mergeCell ref="F62:F64"/>
    <mergeCell ref="E62:E64"/>
    <mergeCell ref="D62:D64"/>
    <mergeCell ref="A62:A64"/>
    <mergeCell ref="B62:B64"/>
    <mergeCell ref="C62:C64"/>
    <mergeCell ref="G67:G68"/>
    <mergeCell ref="B65:B68"/>
    <mergeCell ref="A65:A68"/>
  </mergeCells>
  <phoneticPr fontId="10" type="noConversion"/>
  <hyperlinks>
    <hyperlink ref="A4" r:id="rId1" xr:uid="{E174E539-4D88-40A2-BD19-9905FE16C0D3}"/>
    <hyperlink ref="A32:A45" r:id="rId2" display="Life cycle environmental impacts of current and future battery-grade lithium supply from brine and spodumene" xr:uid="{D42B13E2-B464-41E0-AF5B-0126EB93702B}"/>
    <hyperlink ref="A24:A31" r:id="rId3" location="bib0033" display="Energy, greenhouse gas, and water life cycle analysis of lithium carbonate and lithium hydroxide monohydrate from brine and ore resources and their use in lithium ion battery cathodes and lithium ion batteries" xr:uid="{079C439C-7976-411B-906A-E3C56A48260D}"/>
    <hyperlink ref="A46:A50" r:id="rId4" location="tbl0002" display="Regionalized life cycle assessment of present and future lithium production for Li-ion batteries" xr:uid="{445DF13C-BDEB-47E7-B283-405E244CB1DF}"/>
    <hyperlink ref="A140:A143" r:id="rId5" display="Lithium from clay: Assessing the environmental impacts of extraction" xr:uid="{ADF6689F-2D98-F64B-8EBE-FA09FDA2290B}"/>
    <hyperlink ref="A140:A145" r:id="rId6" display="Lithium from clay: Assessing the environmental impacts of extraction" xr:uid="{02BB9AEA-B3FC-1F4D-A5AB-43341EBE59BF}"/>
    <hyperlink ref="A146" r:id="rId7" xr:uid="{3A07244F-3E00-0E40-BA03-02977367E2E6}"/>
    <hyperlink ref="A158" r:id="rId8" location="sec0018" xr:uid="{7DA35943-3277-6A40-872B-660C858D8C0A}"/>
    <hyperlink ref="A4:A23" r:id="rId9" display="Extended life cycle assessment reveals the spatially-explicit water scarcity footprint of a lithium-ion battery storage" xr:uid="{6C905F4A-A797-3749-BBF1-EAA0240BB9DE}"/>
    <hyperlink ref="A146:A157" r:id="rId10" display="Life cycle assessment of lithium carbonate production: Comparing sedimentary deposits" xr:uid="{013B7F70-9A90-B940-8174-ABB1999C0042}"/>
    <hyperlink ref="A158:A160" r:id="rId11" location="sec0018" display="Sustainable lithium production from sedimentary rock deposits: Carbon reduction and EV synergies" xr:uid="{E36066B1-8330-F54B-B559-A3880A89222A}"/>
    <hyperlink ref="A104:A111" r:id="rId12" display="Life cycle environmental impacts of current and future battery-grade lithium supply from brine and spodumene" xr:uid="{3750AD73-3195-CE4A-AF8C-F0761EAA2A8C}"/>
    <hyperlink ref="A51" r:id="rId13" xr:uid="{2F5FFBAA-EF4F-9243-915B-2E956A8902EB}"/>
    <hyperlink ref="A69" r:id="rId14" xr:uid="{6B1C2300-62C1-2E4C-9AE7-9701C185D216}"/>
    <hyperlink ref="A78" r:id="rId15" xr:uid="{70DDD6EF-9EE1-F340-9E49-28EC99B6D185}"/>
    <hyperlink ref="A79" r:id="rId16" xr:uid="{6F537E21-C9F5-614C-B2F3-05B731DB737B}"/>
    <hyperlink ref="A62:A64" r:id="rId17" display="Carbon and water footprint of battery-grade lithium from brine and spodumene: A simulation-based LCA" xr:uid="{721BE30F-686B-9943-80C2-564B4106C927}"/>
    <hyperlink ref="A164" r:id="rId18" xr:uid="{8800396E-BDB4-144B-9BFD-529023D32D34}"/>
    <hyperlink ref="K183:K184" r:id="rId19" display="Assume brine density if 1.08 kg/m3, (17.4% LiCl is roughly 0.4 mol/kg H2O)" xr:uid="{08A3677D-9E0C-8143-8415-9ABF7EB7432F}"/>
    <hyperlink ref="A180:A184" r:id="rId20" display="Life Cycle Assessment and Techno-Economic Assessment of Lithium Recovery from Geothermal Brine" xr:uid="{10F19C3F-7636-C446-BB40-E16EAABB29F3}"/>
    <hyperlink ref="A185:A187" r:id="rId21" display="Impact of geothermal expansion and lithium extraction in the Salton Sea known geothermal resource area (SS-KGRA) on local water resources" xr:uid="{12178465-4444-EB4F-A57C-9CEB5B3A7390}"/>
    <hyperlink ref="A65" r:id="rId22" xr:uid="{CBFDC216-95CE-ED40-801E-CD68E956E72F}"/>
    <hyperlink ref="A51:A59" r:id="rId23" display="Current and Future Impacts of Lithium Carbonate from Brines: A Global Regionalized Life Cycle Assessment Model" xr:uid="{974E6C24-C9BD-124E-AF43-3F0C804FDFDA}"/>
    <hyperlink ref="A60:A61" r:id="rId24" display="Carbon footprint and water inventory of the production of lithium in the Atacama Salt Flat, Chile" xr:uid="{AB2A5B0B-1186-3A4C-82EE-3FFB32B4A6CF}"/>
    <hyperlink ref="A65:A68" r:id="rId25" display="Water footprint of battery-grade lithium production in the Salar de Atacama, Chile" xr:uid="{CA577AF9-2ADB-B445-B6E7-036122744D77}"/>
    <hyperlink ref="A79:A94" r:id="rId26" display="Current and Future Impacts of Lithium Carbonate from Brines: A Global Regionalized Life Cycle Assessment Model" xr:uid="{FC7ACCDF-8643-294E-AFB7-D8AB6C3B60F0}"/>
    <hyperlink ref="A164:A179" r:id="rId27" display="Is lithium from geothermal brines the sustainable solution for Li-ion batteries?" xr:uid="{79DB8D00-0D99-7B4B-BCCD-FFFEE2942A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A0A0-FA21-B742-B421-B53CA59EE79E}">
  <dimension ref="A2:AH60"/>
  <sheetViews>
    <sheetView workbookViewId="0">
      <selection activeCell="B24" sqref="B24"/>
    </sheetView>
  </sheetViews>
  <sheetFormatPr baseColWidth="10" defaultRowHeight="15" x14ac:dyDescent="0.2"/>
  <cols>
    <col min="1" max="1" width="36" customWidth="1"/>
    <col min="2" max="2" width="18.6640625" bestFit="1" customWidth="1"/>
    <col min="3" max="3" width="23" bestFit="1" customWidth="1"/>
    <col min="4" max="4" width="32" bestFit="1" customWidth="1"/>
    <col min="5" max="5" width="40" bestFit="1" customWidth="1"/>
    <col min="6" max="6" width="31.6640625" bestFit="1" customWidth="1"/>
    <col min="7" max="7" width="34.83203125" customWidth="1"/>
    <col min="8" max="8" width="21.6640625" customWidth="1"/>
    <col min="9" max="9" width="8.6640625" customWidth="1"/>
    <col min="10" max="10" width="8.5" bestFit="1" customWidth="1"/>
    <col min="11" max="11" width="18.6640625" bestFit="1" customWidth="1"/>
    <col min="12" max="12" width="7.6640625" bestFit="1" customWidth="1"/>
    <col min="13" max="13" width="9.5" bestFit="1" customWidth="1"/>
    <col min="14" max="14" width="8.83203125" bestFit="1" customWidth="1"/>
    <col min="15" max="15" width="19.1640625" bestFit="1" customWidth="1"/>
    <col min="16" max="16" width="8" bestFit="1" customWidth="1"/>
    <col min="17" max="17" width="7.33203125" bestFit="1" customWidth="1"/>
    <col min="18" max="18" width="9" bestFit="1" customWidth="1"/>
    <col min="19" max="19" width="8.5" bestFit="1" customWidth="1"/>
    <col min="20" max="20" width="18.6640625" bestFit="1" customWidth="1"/>
    <col min="21" max="21" width="7.5" bestFit="1" customWidth="1"/>
    <col min="22" max="22" width="18.33203125" bestFit="1" customWidth="1"/>
    <col min="23" max="23" width="6.6640625" bestFit="1" customWidth="1"/>
    <col min="24" max="24" width="8.1640625" bestFit="1" customWidth="1"/>
    <col min="25" max="25" width="6.6640625" bestFit="1" customWidth="1"/>
    <col min="26" max="28" width="13.83203125" customWidth="1"/>
    <col min="29" max="29" width="6.6640625" bestFit="1" customWidth="1"/>
    <col min="30" max="30" width="8.1640625" bestFit="1" customWidth="1"/>
    <col min="31" max="31" width="5" bestFit="1" customWidth="1"/>
    <col min="32" max="32" width="32.83203125" bestFit="1" customWidth="1"/>
    <col min="33" max="33" width="30.5" bestFit="1" customWidth="1"/>
    <col min="34" max="34" width="45" bestFit="1" customWidth="1"/>
  </cols>
  <sheetData>
    <row r="2" spans="1:34" ht="16" thickBot="1" x14ac:dyDescent="0.25">
      <c r="A2" s="32" t="s">
        <v>155</v>
      </c>
      <c r="B2" s="32"/>
      <c r="C2" s="32"/>
      <c r="D2" s="32"/>
      <c r="E2" s="32"/>
    </row>
    <row r="3" spans="1:34" ht="16" thickBot="1" x14ac:dyDescent="0.25">
      <c r="I3" s="364" t="s">
        <v>309</v>
      </c>
      <c r="J3" s="365"/>
      <c r="K3" s="365"/>
      <c r="L3" s="366"/>
      <c r="M3" s="364" t="s">
        <v>305</v>
      </c>
      <c r="N3" s="365"/>
      <c r="O3" s="365"/>
      <c r="P3" s="366"/>
      <c r="Q3" s="364" t="s">
        <v>126</v>
      </c>
      <c r="R3" s="365"/>
      <c r="S3" s="365"/>
      <c r="T3" s="365"/>
      <c r="U3" s="365"/>
      <c r="V3" s="366"/>
      <c r="W3" s="364" t="s">
        <v>310</v>
      </c>
      <c r="X3" s="365"/>
      <c r="Y3" s="366"/>
      <c r="Z3" s="364" t="s">
        <v>306</v>
      </c>
      <c r="AA3" s="365"/>
      <c r="AB3" s="366"/>
      <c r="AC3" s="364" t="s">
        <v>295</v>
      </c>
      <c r="AD3" s="365"/>
      <c r="AE3" s="366"/>
    </row>
    <row r="4" spans="1:34" ht="16" thickBot="1" x14ac:dyDescent="0.25">
      <c r="A4" s="193" t="s">
        <v>117</v>
      </c>
      <c r="B4" s="325" t="s">
        <v>135</v>
      </c>
      <c r="C4" s="325" t="s">
        <v>136</v>
      </c>
      <c r="D4" s="326" t="s">
        <v>137</v>
      </c>
      <c r="E4" s="325" t="s">
        <v>138</v>
      </c>
      <c r="F4" s="195" t="s">
        <v>118</v>
      </c>
      <c r="G4" s="195" t="s">
        <v>132</v>
      </c>
      <c r="H4" s="195" t="s">
        <v>249</v>
      </c>
      <c r="I4" s="217" t="s">
        <v>123</v>
      </c>
      <c r="J4" s="325" t="s">
        <v>124</v>
      </c>
      <c r="K4" s="325" t="s">
        <v>129</v>
      </c>
      <c r="L4" s="326" t="s">
        <v>125</v>
      </c>
      <c r="M4" s="194" t="s">
        <v>298</v>
      </c>
      <c r="N4" s="195" t="s">
        <v>299</v>
      </c>
      <c r="O4" s="195" t="s">
        <v>300</v>
      </c>
      <c r="P4" s="196" t="s">
        <v>301</v>
      </c>
      <c r="Q4" s="217" t="s">
        <v>127</v>
      </c>
      <c r="R4" s="325" t="s">
        <v>123</v>
      </c>
      <c r="S4" s="325" t="s">
        <v>124</v>
      </c>
      <c r="T4" s="325" t="s">
        <v>129</v>
      </c>
      <c r="U4" s="325" t="s">
        <v>125</v>
      </c>
      <c r="V4" s="326" t="s">
        <v>128</v>
      </c>
      <c r="W4" s="217" t="s">
        <v>296</v>
      </c>
      <c r="X4" s="325" t="s">
        <v>297</v>
      </c>
      <c r="Y4" s="326" t="s">
        <v>128</v>
      </c>
      <c r="Z4" s="194" t="s">
        <v>302</v>
      </c>
      <c r="AA4" s="195" t="s">
        <v>303</v>
      </c>
      <c r="AB4" s="196" t="s">
        <v>304</v>
      </c>
      <c r="AC4" s="217" t="s">
        <v>296</v>
      </c>
      <c r="AD4" s="325" t="s">
        <v>297</v>
      </c>
      <c r="AE4" s="292" t="s">
        <v>128</v>
      </c>
      <c r="AF4" s="436" t="s">
        <v>154</v>
      </c>
      <c r="AG4" s="437"/>
      <c r="AH4" s="292" t="s">
        <v>7</v>
      </c>
    </row>
    <row r="5" spans="1:34" x14ac:dyDescent="0.2">
      <c r="A5" s="136" t="s">
        <v>93</v>
      </c>
      <c r="B5" s="36" t="s">
        <v>139</v>
      </c>
      <c r="C5" s="36">
        <v>37.743400000000001</v>
      </c>
      <c r="D5" s="231">
        <v>-117.52684000000001</v>
      </c>
      <c r="E5" s="36" t="s">
        <v>140</v>
      </c>
      <c r="F5" s="36" t="s">
        <v>31</v>
      </c>
      <c r="G5" s="36" t="s">
        <v>133</v>
      </c>
      <c r="H5" s="36" t="s">
        <v>240</v>
      </c>
      <c r="I5" s="312">
        <v>858.26</v>
      </c>
      <c r="J5" s="293">
        <v>280.33</v>
      </c>
      <c r="K5" s="293">
        <f>SUM(I5:J5)</f>
        <v>1138.5899999999999</v>
      </c>
      <c r="L5" s="304">
        <v>187.28</v>
      </c>
      <c r="M5" s="306">
        <v>990</v>
      </c>
      <c r="N5" s="294">
        <v>891</v>
      </c>
      <c r="O5" s="294">
        <v>966</v>
      </c>
      <c r="P5" s="139">
        <v>820</v>
      </c>
      <c r="Q5" s="224" t="s">
        <v>130</v>
      </c>
      <c r="R5" s="293">
        <v>4.53</v>
      </c>
      <c r="S5" s="293">
        <v>1.329</v>
      </c>
      <c r="T5" s="293">
        <f>SUM(R5:S5)</f>
        <v>5.859</v>
      </c>
      <c r="U5" s="293">
        <v>0.81699999999999995</v>
      </c>
      <c r="V5" s="304">
        <f>SUM(R5,S5,U5)</f>
        <v>6.6760000000000002</v>
      </c>
      <c r="W5" s="312">
        <v>266.39</v>
      </c>
      <c r="X5" s="293">
        <v>21.26</v>
      </c>
      <c r="Y5" s="304">
        <f>SUM(W5:X5)</f>
        <v>287.64999999999998</v>
      </c>
      <c r="Z5" s="316">
        <v>1147</v>
      </c>
      <c r="AA5" s="295">
        <v>1174</v>
      </c>
      <c r="AB5" s="310">
        <v>1149</v>
      </c>
      <c r="AC5" s="312">
        <v>1.6259999999999999</v>
      </c>
      <c r="AD5" s="293">
        <v>0.13300000000000001</v>
      </c>
      <c r="AE5" s="304">
        <f>SUM(AC5:AD5)</f>
        <v>1.7589999999999999</v>
      </c>
      <c r="AF5" s="319" t="s">
        <v>156</v>
      </c>
      <c r="AG5" s="139"/>
      <c r="AH5" s="139"/>
    </row>
    <row r="6" spans="1:34" x14ac:dyDescent="0.2">
      <c r="A6" s="136" t="s">
        <v>94</v>
      </c>
      <c r="B6" s="36" t="s">
        <v>141</v>
      </c>
      <c r="C6" s="36">
        <v>34.566879999999998</v>
      </c>
      <c r="D6" s="231">
        <v>-113.33924</v>
      </c>
      <c r="E6" s="36" t="s">
        <v>142</v>
      </c>
      <c r="F6" s="36" t="s">
        <v>31</v>
      </c>
      <c r="G6" s="36" t="s">
        <v>133</v>
      </c>
      <c r="I6" s="312">
        <v>20</v>
      </c>
      <c r="J6" s="293">
        <v>122</v>
      </c>
      <c r="K6" s="293">
        <f t="shared" ref="K6:K28" si="0">SUM(I6:J6)</f>
        <v>142</v>
      </c>
      <c r="L6" s="304">
        <v>506</v>
      </c>
      <c r="M6" s="307">
        <v>929</v>
      </c>
      <c r="N6" s="296">
        <v>860</v>
      </c>
      <c r="O6" s="296"/>
      <c r="P6" s="231">
        <v>810</v>
      </c>
      <c r="Q6" s="224" t="s">
        <v>130</v>
      </c>
      <c r="R6" s="293">
        <v>9.9000000000000005E-2</v>
      </c>
      <c r="S6" s="293">
        <v>0.56000000000000005</v>
      </c>
      <c r="T6" s="293">
        <f t="shared" ref="T6:T28" si="1">SUM(R6:S6)</f>
        <v>0.65900000000000003</v>
      </c>
      <c r="U6" s="293">
        <v>2.1749999999999998</v>
      </c>
      <c r="V6" s="304">
        <f t="shared" ref="V6:V28" si="2">SUM(R6,S6,U6)</f>
        <v>2.8339999999999996</v>
      </c>
      <c r="W6" s="312"/>
      <c r="X6" s="293"/>
      <c r="Y6" s="304"/>
      <c r="Z6" s="316"/>
      <c r="AA6" s="295"/>
      <c r="AB6" s="310"/>
      <c r="AC6" s="211"/>
      <c r="AE6" s="139"/>
      <c r="AF6" s="320" t="s">
        <v>158</v>
      </c>
      <c r="AG6" s="139"/>
      <c r="AH6" s="139"/>
    </row>
    <row r="7" spans="1:34" x14ac:dyDescent="0.2">
      <c r="A7" s="136" t="s">
        <v>95</v>
      </c>
      <c r="B7" s="36" t="s">
        <v>141</v>
      </c>
      <c r="C7" s="36">
        <v>34.709220000000002</v>
      </c>
      <c r="D7" s="231">
        <v>-113.56947</v>
      </c>
      <c r="E7" s="36" t="s">
        <v>143</v>
      </c>
      <c r="F7" s="36" t="s">
        <v>119</v>
      </c>
      <c r="G7" s="36" t="s">
        <v>133</v>
      </c>
      <c r="I7" s="312"/>
      <c r="J7" s="293">
        <v>14.6</v>
      </c>
      <c r="K7" s="293">
        <f>SUM(I7:J7)</f>
        <v>14.6</v>
      </c>
      <c r="L7" s="304">
        <v>32.5</v>
      </c>
      <c r="M7" s="307"/>
      <c r="N7" s="296">
        <v>1940</v>
      </c>
      <c r="O7" s="296"/>
      <c r="P7" s="231">
        <v>178</v>
      </c>
      <c r="Q7" s="224" t="s">
        <v>130</v>
      </c>
      <c r="R7" s="293"/>
      <c r="S7" s="293">
        <v>0.15090000000000001</v>
      </c>
      <c r="T7" s="293">
        <f t="shared" si="1"/>
        <v>0.15090000000000001</v>
      </c>
      <c r="U7" s="293">
        <v>0.1699</v>
      </c>
      <c r="V7" s="304">
        <f t="shared" si="2"/>
        <v>0.32079999999999997</v>
      </c>
      <c r="W7" s="312"/>
      <c r="X7" s="293"/>
      <c r="Y7" s="304"/>
      <c r="Z7" s="316"/>
      <c r="AA7" s="295"/>
      <c r="AB7" s="310"/>
      <c r="AC7" s="211"/>
      <c r="AE7" s="139"/>
      <c r="AF7" s="320" t="s">
        <v>159</v>
      </c>
      <c r="AG7" s="139"/>
      <c r="AH7" s="139"/>
    </row>
    <row r="8" spans="1:34" x14ac:dyDescent="0.2">
      <c r="A8" s="136" t="s">
        <v>504</v>
      </c>
      <c r="B8" s="36" t="s">
        <v>146</v>
      </c>
      <c r="C8" s="297">
        <v>33.168306200000004</v>
      </c>
      <c r="D8" s="314">
        <v>-115.6253871</v>
      </c>
      <c r="E8" s="36" t="s">
        <v>142</v>
      </c>
      <c r="F8" s="36" t="s">
        <v>344</v>
      </c>
      <c r="G8" s="36" t="s">
        <v>248</v>
      </c>
      <c r="H8" s="36" t="s">
        <v>240</v>
      </c>
      <c r="I8" s="312"/>
      <c r="J8" s="293"/>
      <c r="K8" s="293"/>
      <c r="L8" s="304"/>
      <c r="M8" s="307"/>
      <c r="N8" s="296"/>
      <c r="O8" s="296"/>
      <c r="P8" s="231"/>
      <c r="Q8" s="224"/>
      <c r="R8" s="293"/>
      <c r="S8" s="293"/>
      <c r="T8" s="293"/>
      <c r="U8" s="293"/>
      <c r="V8" s="304"/>
      <c r="W8" s="312"/>
      <c r="X8" s="293"/>
      <c r="Y8" s="304"/>
      <c r="Z8" s="316"/>
      <c r="AA8" s="295"/>
      <c r="AB8" s="310"/>
      <c r="AC8" s="211"/>
      <c r="AE8" s="139"/>
      <c r="AF8" s="320" t="s">
        <v>505</v>
      </c>
      <c r="AG8" s="321" t="s">
        <v>509</v>
      </c>
      <c r="AH8" s="139" t="s">
        <v>510</v>
      </c>
    </row>
    <row r="9" spans="1:34" x14ac:dyDescent="0.2">
      <c r="A9" s="136" t="s">
        <v>96</v>
      </c>
      <c r="B9" s="36" t="s">
        <v>139</v>
      </c>
      <c r="C9" s="36">
        <v>37.217030000000001</v>
      </c>
      <c r="D9" s="231">
        <v>-117.03489999999999</v>
      </c>
      <c r="E9" s="36" t="s">
        <v>144</v>
      </c>
      <c r="F9" s="36" t="s">
        <v>119</v>
      </c>
      <c r="G9" s="36" t="s">
        <v>133</v>
      </c>
      <c r="H9" s="49" t="s">
        <v>252</v>
      </c>
      <c r="I9" s="312"/>
      <c r="J9" s="293">
        <v>188.08</v>
      </c>
      <c r="K9" s="293">
        <f t="shared" si="0"/>
        <v>188.08</v>
      </c>
      <c r="L9" s="304">
        <v>451.1</v>
      </c>
      <c r="M9" s="307"/>
      <c r="N9" s="296">
        <v>1074</v>
      </c>
      <c r="O9" s="296"/>
      <c r="P9" s="231">
        <v>1106</v>
      </c>
      <c r="Q9" s="224" t="s">
        <v>130</v>
      </c>
      <c r="R9" s="293"/>
      <c r="S9" s="293">
        <v>1.075</v>
      </c>
      <c r="T9" s="293">
        <f t="shared" si="1"/>
        <v>1.075</v>
      </c>
      <c r="U9" s="293">
        <v>2.6549999999999998</v>
      </c>
      <c r="V9" s="304">
        <f t="shared" si="2"/>
        <v>3.7299999999999995</v>
      </c>
      <c r="W9" s="312"/>
      <c r="X9" s="293"/>
      <c r="Y9" s="304"/>
      <c r="Z9" s="316"/>
      <c r="AA9" s="295"/>
      <c r="AB9" s="310"/>
      <c r="AC9" s="211"/>
      <c r="AE9" s="139"/>
      <c r="AF9" s="320" t="s">
        <v>158</v>
      </c>
      <c r="AG9" s="139"/>
      <c r="AH9" s="139"/>
    </row>
    <row r="10" spans="1:34" x14ac:dyDescent="0.2">
      <c r="A10" s="136" t="s">
        <v>97</v>
      </c>
      <c r="B10" s="36" t="s">
        <v>139</v>
      </c>
      <c r="C10" s="36">
        <v>37.217030000000001</v>
      </c>
      <c r="D10" s="231">
        <v>-117.03489999999999</v>
      </c>
      <c r="E10" s="36" t="s">
        <v>144</v>
      </c>
      <c r="F10" s="36" t="s">
        <v>119</v>
      </c>
      <c r="G10" s="36" t="s">
        <v>134</v>
      </c>
      <c r="H10" s="49" t="s">
        <v>252</v>
      </c>
      <c r="I10" s="312"/>
      <c r="J10" s="293">
        <v>275.85000000000002</v>
      </c>
      <c r="K10" s="293">
        <f t="shared" si="0"/>
        <v>275.85000000000002</v>
      </c>
      <c r="L10" s="304">
        <v>1561.06</v>
      </c>
      <c r="M10" s="307"/>
      <c r="N10" s="296">
        <v>3519</v>
      </c>
      <c r="O10" s="296"/>
      <c r="P10" s="231">
        <v>3085</v>
      </c>
      <c r="Q10" s="224" t="s">
        <v>130</v>
      </c>
      <c r="R10" s="293"/>
      <c r="S10" s="293">
        <v>5.1669999999999998</v>
      </c>
      <c r="T10" s="293">
        <f t="shared" si="1"/>
        <v>5.1669999999999998</v>
      </c>
      <c r="U10" s="293">
        <v>25.634</v>
      </c>
      <c r="V10" s="304">
        <f t="shared" si="2"/>
        <v>30.801000000000002</v>
      </c>
      <c r="W10" s="312"/>
      <c r="X10" s="293"/>
      <c r="Y10" s="304"/>
      <c r="Z10" s="316"/>
      <c r="AA10" s="295"/>
      <c r="AB10" s="310"/>
      <c r="AC10" s="211"/>
      <c r="AE10" s="139"/>
      <c r="AF10" s="320" t="s">
        <v>158</v>
      </c>
      <c r="AG10" s="139"/>
      <c r="AH10" s="139"/>
    </row>
    <row r="11" spans="1:34" x14ac:dyDescent="0.2">
      <c r="A11" s="136" t="s">
        <v>98</v>
      </c>
      <c r="B11" s="36" t="s">
        <v>139</v>
      </c>
      <c r="C11" s="36">
        <v>37.734540000000003</v>
      </c>
      <c r="D11" s="231">
        <v>-117.61009</v>
      </c>
      <c r="E11" s="36" t="s">
        <v>145</v>
      </c>
      <c r="F11" s="36" t="s">
        <v>12</v>
      </c>
      <c r="G11" s="36" t="s">
        <v>248</v>
      </c>
      <c r="H11" s="36" t="s">
        <v>240</v>
      </c>
      <c r="I11" s="312"/>
      <c r="J11" s="36"/>
      <c r="K11" s="36"/>
      <c r="L11" s="231">
        <f>5524000000/1000000</f>
        <v>5524</v>
      </c>
      <c r="M11" s="308"/>
      <c r="N11" s="298"/>
      <c r="O11" s="299"/>
      <c r="P11" s="231">
        <v>123</v>
      </c>
      <c r="Q11" s="224" t="s">
        <v>130</v>
      </c>
      <c r="R11" s="293"/>
      <c r="S11" s="293"/>
      <c r="T11" s="293"/>
      <c r="U11" s="293">
        <v>0.2177</v>
      </c>
      <c r="V11" s="304">
        <f t="shared" si="2"/>
        <v>0.2177</v>
      </c>
      <c r="W11" s="312"/>
      <c r="X11" s="293"/>
      <c r="Y11" s="304"/>
      <c r="Z11" s="316"/>
      <c r="AA11" s="295"/>
      <c r="AB11" s="310"/>
      <c r="AC11" s="211"/>
      <c r="AE11" s="139"/>
      <c r="AF11" s="322" t="s">
        <v>161</v>
      </c>
      <c r="AG11" s="139"/>
      <c r="AH11" s="231" t="s">
        <v>162</v>
      </c>
    </row>
    <row r="12" spans="1:34" x14ac:dyDescent="0.2">
      <c r="A12" s="136" t="s">
        <v>99</v>
      </c>
      <c r="B12" s="36" t="s">
        <v>139</v>
      </c>
      <c r="C12" s="36">
        <v>37.776670000000003</v>
      </c>
      <c r="D12" s="231">
        <v>-117.47683000000001</v>
      </c>
      <c r="E12" s="36" t="s">
        <v>142</v>
      </c>
      <c r="F12" s="36" t="s">
        <v>31</v>
      </c>
      <c r="G12" s="36" t="s">
        <v>133</v>
      </c>
      <c r="I12" s="312">
        <v>379.14473600000002</v>
      </c>
      <c r="J12" s="293">
        <v>141.32541699999999</v>
      </c>
      <c r="K12" s="293">
        <f t="shared" si="0"/>
        <v>520.47015299999998</v>
      </c>
      <c r="L12" s="304">
        <v>70.455712000000005</v>
      </c>
      <c r="M12" s="307"/>
      <c r="N12" s="296"/>
      <c r="O12" s="294">
        <v>1000</v>
      </c>
      <c r="P12" s="139"/>
      <c r="Q12" s="224" t="s">
        <v>130</v>
      </c>
      <c r="R12" s="293">
        <v>1.645</v>
      </c>
      <c r="S12" s="293">
        <v>0.60284400000000005</v>
      </c>
      <c r="T12" s="293">
        <f t="shared" si="1"/>
        <v>2.2478440000000002</v>
      </c>
      <c r="U12" s="293">
        <v>0.29932500000000001</v>
      </c>
      <c r="V12" s="304">
        <f t="shared" si="2"/>
        <v>2.5471690000000002</v>
      </c>
      <c r="W12" s="312"/>
      <c r="X12" s="293"/>
      <c r="Y12" s="304"/>
      <c r="Z12" s="316"/>
      <c r="AA12" s="295"/>
      <c r="AB12" s="310"/>
      <c r="AC12" s="211"/>
      <c r="AE12" s="139"/>
      <c r="AF12" s="320" t="s">
        <v>163</v>
      </c>
      <c r="AG12" s="139"/>
      <c r="AH12" s="139"/>
    </row>
    <row r="13" spans="1:34" x14ac:dyDescent="0.2">
      <c r="A13" s="136" t="s">
        <v>501</v>
      </c>
      <c r="B13" s="36" t="s">
        <v>146</v>
      </c>
      <c r="C13" s="297">
        <v>33.227315040000001</v>
      </c>
      <c r="D13" s="315">
        <v>-115.5807114</v>
      </c>
      <c r="E13" s="36" t="s">
        <v>147</v>
      </c>
      <c r="F13" s="36" t="s">
        <v>344</v>
      </c>
      <c r="G13" s="36" t="s">
        <v>248</v>
      </c>
      <c r="H13" t="s">
        <v>240</v>
      </c>
      <c r="I13" s="312"/>
      <c r="J13" s="293"/>
      <c r="K13" s="293"/>
      <c r="L13" s="304"/>
      <c r="M13" s="307">
        <v>219</v>
      </c>
      <c r="N13" s="296">
        <v>219</v>
      </c>
      <c r="O13" s="294"/>
      <c r="P13" s="139"/>
      <c r="Q13" s="224" t="s">
        <v>131</v>
      </c>
      <c r="R13" s="293">
        <v>0.6</v>
      </c>
      <c r="S13" s="293">
        <v>1.1000000000000001</v>
      </c>
      <c r="T13" s="293">
        <f t="shared" si="1"/>
        <v>1.7000000000000002</v>
      </c>
      <c r="U13" s="293"/>
      <c r="V13" s="304">
        <f t="shared" si="2"/>
        <v>1.7000000000000002</v>
      </c>
      <c r="W13" s="312"/>
      <c r="Y13" s="139"/>
      <c r="Z13" s="316"/>
      <c r="AA13" s="295">
        <v>217</v>
      </c>
      <c r="AB13" s="310">
        <v>1149</v>
      </c>
      <c r="AC13" s="211"/>
      <c r="AD13" s="293">
        <v>0.9</v>
      </c>
      <c r="AE13" s="304">
        <f>SUM(AC13:AD13)</f>
        <v>0.9</v>
      </c>
      <c r="AF13" s="320" t="s">
        <v>502</v>
      </c>
      <c r="AG13" s="321" t="s">
        <v>503</v>
      </c>
      <c r="AH13" s="139" t="s">
        <v>508</v>
      </c>
    </row>
    <row r="14" spans="1:34" x14ac:dyDescent="0.2">
      <c r="A14" s="136" t="s">
        <v>102</v>
      </c>
      <c r="B14" s="36" t="s">
        <v>139</v>
      </c>
      <c r="C14" s="36">
        <v>38.055709999999998</v>
      </c>
      <c r="D14" s="231">
        <v>-117.35221</v>
      </c>
      <c r="E14" s="36" t="s">
        <v>142</v>
      </c>
      <c r="F14" s="36" t="s">
        <v>31</v>
      </c>
      <c r="G14" s="36"/>
      <c r="I14" s="312"/>
      <c r="J14" s="293">
        <v>372.84500000000003</v>
      </c>
      <c r="K14" s="293">
        <f t="shared" si="0"/>
        <v>372.84500000000003</v>
      </c>
      <c r="L14" s="304">
        <v>2453.9630000000002</v>
      </c>
      <c r="M14" s="307"/>
      <c r="N14" s="296">
        <v>669</v>
      </c>
      <c r="O14" s="294"/>
      <c r="P14" s="231">
        <v>680</v>
      </c>
      <c r="Q14" s="224" t="s">
        <v>130</v>
      </c>
      <c r="R14" s="293"/>
      <c r="S14" s="293">
        <v>1.32</v>
      </c>
      <c r="T14" s="293">
        <f t="shared" si="1"/>
        <v>1.32</v>
      </c>
      <c r="U14" s="293">
        <v>8.8789999999999996</v>
      </c>
      <c r="V14" s="304">
        <f t="shared" si="2"/>
        <v>10.199</v>
      </c>
      <c r="W14" s="312"/>
      <c r="X14" s="293"/>
      <c r="Y14" s="304"/>
      <c r="Z14" s="316"/>
      <c r="AA14" s="295"/>
      <c r="AB14" s="310"/>
      <c r="AC14" s="211"/>
      <c r="AE14" s="139"/>
      <c r="AF14" s="320" t="s">
        <v>158</v>
      </c>
      <c r="AG14" s="139"/>
      <c r="AH14" s="139"/>
    </row>
    <row r="15" spans="1:34" x14ac:dyDescent="0.2">
      <c r="A15" s="136" t="s">
        <v>103</v>
      </c>
      <c r="B15" s="36" t="s">
        <v>148</v>
      </c>
      <c r="C15" s="36">
        <v>35.223610000000001</v>
      </c>
      <c r="D15" s="231">
        <v>-81.34778</v>
      </c>
      <c r="E15" s="36" t="s">
        <v>144</v>
      </c>
      <c r="F15" s="36" t="s">
        <v>120</v>
      </c>
      <c r="G15" s="36" t="s">
        <v>133</v>
      </c>
      <c r="H15" s="36" t="s">
        <v>269</v>
      </c>
      <c r="I15" s="312"/>
      <c r="J15" s="293">
        <v>46.816000000000003</v>
      </c>
      <c r="K15" s="293">
        <f t="shared" si="0"/>
        <v>46.816000000000003</v>
      </c>
      <c r="L15" s="304">
        <v>42.869</v>
      </c>
      <c r="M15" s="307"/>
      <c r="N15" s="296">
        <v>1.37</v>
      </c>
      <c r="O15" s="296">
        <v>1.37</v>
      </c>
      <c r="P15" s="231">
        <v>1.1000000000000001</v>
      </c>
      <c r="Q15" s="224" t="s">
        <v>131</v>
      </c>
      <c r="R15" s="293"/>
      <c r="S15" s="293">
        <f>K15*(O15/100)*(lhe/li2o)</f>
        <v>1.0271600007431492</v>
      </c>
      <c r="T15" s="293">
        <f t="shared" si="1"/>
        <v>1.0271600007431492</v>
      </c>
      <c r="U15" s="293">
        <f>(L15*(P15/100)*(lhe/li2o))</f>
        <v>0.75519527728750591</v>
      </c>
      <c r="V15" s="304">
        <f t="shared" si="2"/>
        <v>1.7823552780306551</v>
      </c>
      <c r="W15" s="312"/>
      <c r="X15" s="293"/>
      <c r="Y15" s="304"/>
      <c r="Z15" s="316"/>
      <c r="AA15" s="295"/>
      <c r="AB15" s="310"/>
      <c r="AC15" s="211"/>
      <c r="AE15" s="139"/>
      <c r="AF15" s="320" t="s">
        <v>164</v>
      </c>
      <c r="AG15" s="139"/>
      <c r="AH15" s="139" t="s">
        <v>165</v>
      </c>
    </row>
    <row r="16" spans="1:34" x14ac:dyDescent="0.2">
      <c r="A16" s="136" t="s">
        <v>166</v>
      </c>
      <c r="B16" s="36" t="s">
        <v>139</v>
      </c>
      <c r="C16" s="36">
        <v>41.708829999999999</v>
      </c>
      <c r="D16" s="231">
        <v>-118.06977999999999</v>
      </c>
      <c r="E16" s="36" t="s">
        <v>147</v>
      </c>
      <c r="F16" s="36" t="s">
        <v>119</v>
      </c>
      <c r="G16" s="36" t="s">
        <v>259</v>
      </c>
      <c r="H16" s="36" t="s">
        <v>260</v>
      </c>
      <c r="I16" s="312"/>
      <c r="J16" s="293">
        <v>534.70000000000005</v>
      </c>
      <c r="K16" s="293">
        <f t="shared" si="0"/>
        <v>534.70000000000005</v>
      </c>
      <c r="L16" s="304">
        <v>992.5</v>
      </c>
      <c r="M16" s="307">
        <v>2450</v>
      </c>
      <c r="N16" s="296">
        <v>1850</v>
      </c>
      <c r="O16" s="294">
        <v>2070</v>
      </c>
      <c r="P16" s="231">
        <v>1870</v>
      </c>
      <c r="Q16" s="224" t="s">
        <v>130</v>
      </c>
      <c r="R16" s="293">
        <v>7</v>
      </c>
      <c r="S16" s="293">
        <v>9.1</v>
      </c>
      <c r="T16" s="293">
        <f t="shared" si="1"/>
        <v>16.100000000000001</v>
      </c>
      <c r="U16" s="293">
        <v>3</v>
      </c>
      <c r="V16" s="304">
        <f t="shared" si="2"/>
        <v>19.100000000000001</v>
      </c>
      <c r="W16" s="312">
        <v>192.9</v>
      </c>
      <c r="X16" s="293">
        <v>24.4</v>
      </c>
      <c r="Y16" s="304">
        <f>SUM(W16:X16)</f>
        <v>217.3</v>
      </c>
      <c r="Z16" s="316">
        <v>3180</v>
      </c>
      <c r="AA16" s="295">
        <v>3010</v>
      </c>
      <c r="AB16" s="310">
        <v>3160</v>
      </c>
      <c r="AC16" s="312">
        <v>3.3</v>
      </c>
      <c r="AD16" s="293">
        <v>0.4</v>
      </c>
      <c r="AE16" s="304">
        <f>SUM(AC16:AD16)</f>
        <v>3.6999999999999997</v>
      </c>
      <c r="AF16" s="320" t="s">
        <v>167</v>
      </c>
      <c r="AG16" s="139"/>
      <c r="AH16" s="139"/>
    </row>
    <row r="17" spans="1:34" x14ac:dyDescent="0.2">
      <c r="A17" s="136" t="s">
        <v>104</v>
      </c>
      <c r="B17" s="36" t="s">
        <v>139</v>
      </c>
      <c r="C17" s="36">
        <v>38.121229999999997</v>
      </c>
      <c r="D17" s="231">
        <v>-117.42631</v>
      </c>
      <c r="E17" s="36" t="s">
        <v>143</v>
      </c>
      <c r="F17" s="36" t="s">
        <v>31</v>
      </c>
      <c r="G17" s="36"/>
      <c r="I17" s="312"/>
      <c r="J17" s="293">
        <v>638</v>
      </c>
      <c r="K17" s="293">
        <f t="shared" si="0"/>
        <v>638</v>
      </c>
      <c r="L17" s="304">
        <v>857</v>
      </c>
      <c r="M17" s="307"/>
      <c r="N17" s="296">
        <v>774</v>
      </c>
      <c r="O17" s="296">
        <v>789</v>
      </c>
      <c r="P17" s="231">
        <v>783</v>
      </c>
      <c r="Q17" s="224" t="s">
        <v>130</v>
      </c>
      <c r="R17" s="293"/>
      <c r="S17" s="293">
        <v>2.6269999999999998</v>
      </c>
      <c r="T17" s="293">
        <f t="shared" si="1"/>
        <v>2.6269999999999998</v>
      </c>
      <c r="U17" s="293">
        <v>3.597</v>
      </c>
      <c r="V17" s="304">
        <f t="shared" si="2"/>
        <v>6.2240000000000002</v>
      </c>
      <c r="W17" s="312"/>
      <c r="X17" s="293"/>
      <c r="Y17" s="304"/>
      <c r="Z17" s="316"/>
      <c r="AA17" s="295"/>
      <c r="AB17" s="310"/>
      <c r="AC17" s="211"/>
      <c r="AE17" s="139"/>
      <c r="AF17" s="320" t="s">
        <v>168</v>
      </c>
      <c r="AG17" s="321" t="s">
        <v>314</v>
      </c>
      <c r="AH17" s="139"/>
    </row>
    <row r="18" spans="1:34" x14ac:dyDescent="0.2">
      <c r="A18" s="136" t="s">
        <v>105</v>
      </c>
      <c r="B18" s="36" t="s">
        <v>149</v>
      </c>
      <c r="C18" s="36">
        <v>42.041620000000002</v>
      </c>
      <c r="D18" s="231">
        <v>-118.05924</v>
      </c>
      <c r="E18" s="36" t="s">
        <v>144</v>
      </c>
      <c r="F18" s="36" t="s">
        <v>31</v>
      </c>
      <c r="G18" s="36" t="s">
        <v>133</v>
      </c>
      <c r="I18" s="312"/>
      <c r="J18" s="293">
        <v>1470</v>
      </c>
      <c r="K18" s="293">
        <f t="shared" si="0"/>
        <v>1470</v>
      </c>
      <c r="L18" s="304">
        <v>1540</v>
      </c>
      <c r="M18" s="307"/>
      <c r="N18" s="296">
        <v>1420</v>
      </c>
      <c r="O18" s="296"/>
      <c r="P18" s="231">
        <v>1270</v>
      </c>
      <c r="Q18" s="224" t="s">
        <v>130</v>
      </c>
      <c r="R18" s="293"/>
      <c r="S18" s="293">
        <v>11.1</v>
      </c>
      <c r="T18" s="293">
        <f t="shared" si="1"/>
        <v>11.1</v>
      </c>
      <c r="U18" s="293">
        <v>10.4</v>
      </c>
      <c r="V18" s="304">
        <f t="shared" si="2"/>
        <v>21.5</v>
      </c>
      <c r="W18" s="312"/>
      <c r="X18" s="293"/>
      <c r="Y18" s="304"/>
      <c r="Z18" s="316"/>
      <c r="AA18" s="295"/>
      <c r="AB18" s="310"/>
      <c r="AC18" s="211"/>
      <c r="AE18" s="139"/>
      <c r="AF18" s="320" t="s">
        <v>169</v>
      </c>
      <c r="AG18" s="139"/>
      <c r="AH18" s="139"/>
    </row>
    <row r="19" spans="1:34" x14ac:dyDescent="0.2">
      <c r="A19" s="136" t="s">
        <v>106</v>
      </c>
      <c r="B19" s="36" t="s">
        <v>139</v>
      </c>
      <c r="C19" s="36">
        <v>37.71199</v>
      </c>
      <c r="D19" s="231">
        <v>-117.54459</v>
      </c>
      <c r="E19" s="36" t="s">
        <v>142</v>
      </c>
      <c r="F19" s="36" t="s">
        <v>31</v>
      </c>
      <c r="G19" s="36"/>
      <c r="H19" t="s">
        <v>269</v>
      </c>
      <c r="I19" s="312"/>
      <c r="J19" s="293">
        <v>320</v>
      </c>
      <c r="K19" s="293">
        <f t="shared" si="0"/>
        <v>320</v>
      </c>
      <c r="L19" s="304">
        <v>157</v>
      </c>
      <c r="M19" s="307"/>
      <c r="N19" s="296">
        <v>803</v>
      </c>
      <c r="O19" s="296"/>
      <c r="P19" s="231">
        <v>865</v>
      </c>
      <c r="Q19" s="224" t="s">
        <v>130</v>
      </c>
      <c r="R19" s="293"/>
      <c r="S19" s="293">
        <v>1.369</v>
      </c>
      <c r="T19" s="293">
        <f t="shared" si="1"/>
        <v>1.369</v>
      </c>
      <c r="U19" s="293">
        <v>0.72299999999999998</v>
      </c>
      <c r="V19" s="304">
        <f t="shared" si="2"/>
        <v>2.0920000000000001</v>
      </c>
      <c r="W19" s="312"/>
      <c r="X19" s="293"/>
      <c r="Y19" s="304"/>
      <c r="Z19" s="316"/>
      <c r="AA19" s="295"/>
      <c r="AB19" s="310"/>
      <c r="AC19" s="211"/>
      <c r="AE19" s="139"/>
      <c r="AF19" s="320" t="s">
        <v>160</v>
      </c>
      <c r="AG19" s="139"/>
      <c r="AH19" s="139"/>
    </row>
    <row r="20" spans="1:34" x14ac:dyDescent="0.2">
      <c r="A20" s="136" t="s">
        <v>108</v>
      </c>
      <c r="B20" s="36" t="s">
        <v>150</v>
      </c>
      <c r="C20" s="36">
        <v>38.5685</v>
      </c>
      <c r="D20" s="231">
        <v>-109.73452</v>
      </c>
      <c r="E20" s="36" t="s">
        <v>140</v>
      </c>
      <c r="F20" s="36" t="s">
        <v>121</v>
      </c>
      <c r="G20" s="36" t="s">
        <v>248</v>
      </c>
      <c r="H20" s="36" t="s">
        <v>240</v>
      </c>
      <c r="I20" s="312"/>
      <c r="J20" s="293">
        <v>562</v>
      </c>
      <c r="K20" s="293">
        <f t="shared" si="0"/>
        <v>562</v>
      </c>
      <c r="L20" s="304">
        <v>1954</v>
      </c>
      <c r="M20" s="307"/>
      <c r="N20" s="296">
        <v>123</v>
      </c>
      <c r="O20" s="296"/>
      <c r="P20" s="231">
        <v>109</v>
      </c>
      <c r="Q20" s="224" t="s">
        <v>130</v>
      </c>
      <c r="R20" s="293"/>
      <c r="S20" s="293">
        <v>0.36699999999999999</v>
      </c>
      <c r="T20" s="293">
        <f t="shared" si="1"/>
        <v>0.36699999999999999</v>
      </c>
      <c r="U20" s="293">
        <v>1.1379999999999999</v>
      </c>
      <c r="V20" s="304">
        <f t="shared" si="2"/>
        <v>1.5049999999999999</v>
      </c>
      <c r="W20" s="312"/>
      <c r="X20" s="293"/>
      <c r="Y20" s="304"/>
      <c r="Z20" s="316"/>
      <c r="AA20" s="295"/>
      <c r="AB20" s="310"/>
      <c r="AC20" s="211"/>
      <c r="AE20" s="139"/>
      <c r="AF20" s="320" t="s">
        <v>170</v>
      </c>
      <c r="AG20" s="139"/>
      <c r="AH20" s="139" t="s">
        <v>171</v>
      </c>
    </row>
    <row r="21" spans="1:34" x14ac:dyDescent="0.2">
      <c r="A21" s="136" t="s">
        <v>109</v>
      </c>
      <c r="B21" s="36" t="s">
        <v>148</v>
      </c>
      <c r="C21" s="36">
        <v>35.394460000000002</v>
      </c>
      <c r="D21" s="231">
        <v>-81.284750000000003</v>
      </c>
      <c r="E21" s="36" t="s">
        <v>140</v>
      </c>
      <c r="F21" s="36" t="s">
        <v>120</v>
      </c>
      <c r="G21" s="36" t="s">
        <v>133</v>
      </c>
      <c r="H21" s="36" t="s">
        <v>264</v>
      </c>
      <c r="I21" s="312"/>
      <c r="J21" s="293">
        <v>28.2</v>
      </c>
      <c r="K21" s="293">
        <f t="shared" si="0"/>
        <v>28.2</v>
      </c>
      <c r="L21" s="304">
        <v>15.9</v>
      </c>
      <c r="M21" s="307"/>
      <c r="N21" s="296">
        <v>1.1100000000000001</v>
      </c>
      <c r="O21" s="296"/>
      <c r="P21" s="231">
        <v>1.02</v>
      </c>
      <c r="Q21" s="224" t="s">
        <v>130</v>
      </c>
      <c r="R21" s="293"/>
      <c r="S21" s="293">
        <v>0.77400000000000002</v>
      </c>
      <c r="T21" s="293">
        <f t="shared" si="1"/>
        <v>0.77400000000000002</v>
      </c>
      <c r="U21" s="293">
        <v>0.40100000000000002</v>
      </c>
      <c r="V21" s="304">
        <f t="shared" si="2"/>
        <v>1.175</v>
      </c>
      <c r="W21" s="312"/>
      <c r="X21" s="293">
        <v>18.260000000000002</v>
      </c>
      <c r="Y21" s="304">
        <f>SUM(W21:X21)</f>
        <v>18.260000000000002</v>
      </c>
      <c r="Z21" s="316"/>
      <c r="AA21" s="293">
        <v>1.1000000000000001</v>
      </c>
      <c r="AB21" s="310"/>
      <c r="AC21" s="211"/>
      <c r="AD21">
        <v>0.495</v>
      </c>
      <c r="AE21" s="139"/>
      <c r="AF21" s="320" t="s">
        <v>172</v>
      </c>
      <c r="AG21" s="139"/>
      <c r="AH21" s="139" t="s">
        <v>165</v>
      </c>
    </row>
    <row r="22" spans="1:34" x14ac:dyDescent="0.2">
      <c r="A22" s="136" t="s">
        <v>110</v>
      </c>
      <c r="B22" s="36" t="s">
        <v>139</v>
      </c>
      <c r="C22" s="36">
        <v>37.814909999999998</v>
      </c>
      <c r="D22" s="231">
        <v>-117.85253</v>
      </c>
      <c r="E22" s="36" t="s">
        <v>151</v>
      </c>
      <c r="F22" s="36" t="s">
        <v>31</v>
      </c>
      <c r="G22" s="36" t="s">
        <v>133</v>
      </c>
      <c r="H22" s="36" t="s">
        <v>269</v>
      </c>
      <c r="I22" s="312">
        <f>64.38+68.713+19.191</f>
        <v>152.28399999999999</v>
      </c>
      <c r="J22" s="293">
        <f>87.372+145.061+29.066</f>
        <v>261.49899999999997</v>
      </c>
      <c r="K22" s="293">
        <f t="shared" si="0"/>
        <v>413.78299999999996</v>
      </c>
      <c r="L22" s="304">
        <f>26.873+60.199+9.518</f>
        <v>96.59</v>
      </c>
      <c r="M22" s="309">
        <f>AVERAGE(1752,1257,2203)</f>
        <v>1737.3333333333333</v>
      </c>
      <c r="N22" s="300">
        <f>AVERAGE(1551,1196,2112)</f>
        <v>1619.6666666666667</v>
      </c>
      <c r="O22" s="300">
        <f>AVERAGE(M22:N22)</f>
        <v>1678.5</v>
      </c>
      <c r="P22" s="310">
        <f>AVERAGE(1554,1249,1789)</f>
        <v>1530.6666666666667</v>
      </c>
      <c r="Q22" s="224" t="s">
        <v>130</v>
      </c>
      <c r="R22" s="293">
        <f>0.6+0.46+0.225</f>
        <v>1.2850000000000001</v>
      </c>
      <c r="S22" s="293">
        <f>0.721+0.923+0.327</f>
        <v>1.9710000000000001</v>
      </c>
      <c r="T22" s="293">
        <f t="shared" si="1"/>
        <v>3.2560000000000002</v>
      </c>
      <c r="U22" s="293">
        <f>0.222+0.4+0.091</f>
        <v>0.71299999999999997</v>
      </c>
      <c r="V22" s="304">
        <f t="shared" si="2"/>
        <v>3.9690000000000003</v>
      </c>
      <c r="W22" s="312">
        <f>(39.428+46.321)*(ton/ston)</f>
        <v>77.790276782393335</v>
      </c>
      <c r="X22" s="293">
        <f>(51.812+109.065)*(ton/ston)</f>
        <v>145.94533298255485</v>
      </c>
      <c r="Y22" s="304">
        <f>SUM(W22:X22)</f>
        <v>223.73560976494818</v>
      </c>
      <c r="Z22" s="316">
        <f>AVERAGE(1823,1358)</f>
        <v>1590.5</v>
      </c>
      <c r="AA22" s="295">
        <f>AVERAGE(1632,1425)</f>
        <v>1528.5</v>
      </c>
      <c r="AB22" s="310">
        <v>1465</v>
      </c>
      <c r="AC22" s="200">
        <f>(0.383+0.335)*(ton/ston)</f>
        <v>0.65135941794957863</v>
      </c>
      <c r="AD22" s="51">
        <f>(0.45+0.755)*(ton/ston)</f>
        <v>1.0931589117398919</v>
      </c>
      <c r="AE22" s="139">
        <f>SUM(AC22:AD22)</f>
        <v>1.7445183296894706</v>
      </c>
      <c r="AF22" s="320" t="s">
        <v>172</v>
      </c>
      <c r="AG22" s="321" t="s">
        <v>308</v>
      </c>
      <c r="AH22" s="139"/>
    </row>
    <row r="23" spans="1:34" x14ac:dyDescent="0.2">
      <c r="A23" s="136" t="s">
        <v>111</v>
      </c>
      <c r="B23" s="36" t="s">
        <v>139</v>
      </c>
      <c r="C23" s="36">
        <v>37.775440000000003</v>
      </c>
      <c r="D23" s="231">
        <v>-117.57931000000001</v>
      </c>
      <c r="E23" s="36" t="s">
        <v>152</v>
      </c>
      <c r="F23" s="36" t="s">
        <v>12</v>
      </c>
      <c r="G23" s="36" t="s">
        <v>248</v>
      </c>
      <c r="H23" s="36" t="s">
        <v>11</v>
      </c>
      <c r="I23" s="312">
        <v>10</v>
      </c>
      <c r="J23" s="293">
        <v>25</v>
      </c>
      <c r="K23" s="293">
        <f t="shared" si="0"/>
        <v>35</v>
      </c>
      <c r="L23" s="304">
        <v>63</v>
      </c>
      <c r="M23" s="307">
        <v>153</v>
      </c>
      <c r="N23" s="296">
        <v>144</v>
      </c>
      <c r="O23" s="296">
        <v>146</v>
      </c>
      <c r="P23" s="231">
        <v>121</v>
      </c>
      <c r="Q23" s="224" t="s">
        <v>130</v>
      </c>
      <c r="R23" s="293"/>
      <c r="S23" s="293"/>
      <c r="T23" s="293"/>
      <c r="U23" s="293">
        <v>0.19162799999999999</v>
      </c>
      <c r="V23" s="304">
        <f t="shared" si="2"/>
        <v>0.19162799999999999</v>
      </c>
      <c r="W23" s="211"/>
      <c r="Y23" s="139"/>
      <c r="Z23" s="316">
        <v>94</v>
      </c>
      <c r="AA23" s="295">
        <v>95</v>
      </c>
      <c r="AB23" s="310">
        <v>95</v>
      </c>
      <c r="AC23" s="312">
        <f>0.12*(lce/li)</f>
        <v>0.63875999999999999</v>
      </c>
      <c r="AD23" s="293">
        <f>0.563*(lce/li)</f>
        <v>2.9968490000000001</v>
      </c>
      <c r="AE23" s="304">
        <f>SUM(AC23:AD23)</f>
        <v>3.6356090000000001</v>
      </c>
      <c r="AF23" s="320" t="s">
        <v>157</v>
      </c>
      <c r="AG23" s="321" t="s">
        <v>164</v>
      </c>
      <c r="AH23" s="139" t="s">
        <v>313</v>
      </c>
    </row>
    <row r="24" spans="1:34" x14ac:dyDescent="0.2">
      <c r="A24" s="136" t="s">
        <v>112</v>
      </c>
      <c r="B24" s="36" t="s">
        <v>153</v>
      </c>
      <c r="C24" s="36">
        <v>33.232410000000002</v>
      </c>
      <c r="D24" s="231">
        <v>-93.551479999999998</v>
      </c>
      <c r="E24" s="36" t="s">
        <v>140</v>
      </c>
      <c r="F24" s="36" t="s">
        <v>121</v>
      </c>
      <c r="G24" s="36" t="s">
        <v>248</v>
      </c>
      <c r="H24" s="36" t="s">
        <v>240</v>
      </c>
      <c r="I24" s="312"/>
      <c r="J24" s="36"/>
      <c r="K24" s="36"/>
      <c r="L24" s="304">
        <v>343</v>
      </c>
      <c r="M24" s="307"/>
      <c r="N24" s="296">
        <v>4460</v>
      </c>
      <c r="O24" s="296"/>
      <c r="P24" s="231">
        <v>4050</v>
      </c>
      <c r="Q24" s="224" t="s">
        <v>131</v>
      </c>
      <c r="R24" s="293"/>
      <c r="S24" s="293">
        <v>1.43</v>
      </c>
      <c r="T24" s="293">
        <f t="shared" si="1"/>
        <v>1.43</v>
      </c>
      <c r="U24" s="293">
        <v>0.39200000000000002</v>
      </c>
      <c r="V24" s="304">
        <f t="shared" si="2"/>
        <v>1.8220000000000001</v>
      </c>
      <c r="W24" s="312"/>
      <c r="X24" s="293"/>
      <c r="Y24" s="304"/>
      <c r="Z24" s="316"/>
      <c r="AA24" s="295"/>
      <c r="AB24" s="310"/>
      <c r="AC24" s="211"/>
      <c r="AE24" s="139"/>
      <c r="AF24" s="320" t="s">
        <v>173</v>
      </c>
      <c r="AG24" s="321" t="s">
        <v>174</v>
      </c>
      <c r="AH24" s="139"/>
    </row>
    <row r="25" spans="1:34" x14ac:dyDescent="0.2">
      <c r="A25" s="136" t="s">
        <v>113</v>
      </c>
      <c r="B25" s="36" t="s">
        <v>139</v>
      </c>
      <c r="C25" s="36">
        <v>38.154119999999999</v>
      </c>
      <c r="D25" s="231">
        <v>-117.27217</v>
      </c>
      <c r="E25" s="36" t="s">
        <v>144</v>
      </c>
      <c r="F25" s="36" t="s">
        <v>31</v>
      </c>
      <c r="G25" s="36" t="s">
        <v>133</v>
      </c>
      <c r="H25" s="36" t="s">
        <v>269</v>
      </c>
      <c r="I25" s="312">
        <v>426.37700000000001</v>
      </c>
      <c r="J25" s="293">
        <v>1105.8581999999999</v>
      </c>
      <c r="K25" s="293">
        <f t="shared" si="0"/>
        <v>1532.2351999999998</v>
      </c>
      <c r="L25" s="304">
        <v>362.87400000000002</v>
      </c>
      <c r="M25" s="307">
        <v>932</v>
      </c>
      <c r="N25" s="296">
        <v>898</v>
      </c>
      <c r="O25" s="296">
        <v>919</v>
      </c>
      <c r="P25" s="231">
        <v>912</v>
      </c>
      <c r="Q25" s="224" t="s">
        <v>130</v>
      </c>
      <c r="R25" s="293">
        <v>3.374727</v>
      </c>
      <c r="S25" s="293">
        <v>2.0230220000000001</v>
      </c>
      <c r="T25" s="293">
        <f t="shared" si="1"/>
        <v>5.3977490000000001</v>
      </c>
      <c r="U25" s="293">
        <v>1.741795</v>
      </c>
      <c r="V25" s="304">
        <f t="shared" si="2"/>
        <v>7.1395439999999999</v>
      </c>
      <c r="W25" s="312"/>
      <c r="X25" s="293"/>
      <c r="Y25" s="304"/>
      <c r="Z25" s="316"/>
      <c r="AA25" s="295"/>
      <c r="AB25" s="310"/>
      <c r="AC25" s="211"/>
      <c r="AE25" s="139"/>
      <c r="AF25" s="320" t="s">
        <v>175</v>
      </c>
      <c r="AG25" s="139"/>
      <c r="AH25" s="139"/>
    </row>
    <row r="26" spans="1:34" x14ac:dyDescent="0.2">
      <c r="A26" s="136" t="s">
        <v>114</v>
      </c>
      <c r="B26" s="36" t="s">
        <v>139</v>
      </c>
      <c r="C26" s="36">
        <v>38.109900000000003</v>
      </c>
      <c r="D26" s="231">
        <v>-117.3479</v>
      </c>
      <c r="E26" s="36" t="s">
        <v>143</v>
      </c>
      <c r="F26" s="36" t="s">
        <v>31</v>
      </c>
      <c r="G26" s="36" t="s">
        <v>133</v>
      </c>
      <c r="H26" s="36" t="s">
        <v>269</v>
      </c>
      <c r="I26" s="312">
        <v>721</v>
      </c>
      <c r="J26" s="293">
        <v>2439</v>
      </c>
      <c r="K26" s="293">
        <f t="shared" si="0"/>
        <v>3160</v>
      </c>
      <c r="L26" s="304">
        <v>3160</v>
      </c>
      <c r="M26" s="307">
        <v>720</v>
      </c>
      <c r="N26" s="296">
        <v>565</v>
      </c>
      <c r="O26" s="296">
        <v>596</v>
      </c>
      <c r="P26" s="231">
        <v>550</v>
      </c>
      <c r="Q26" s="224" t="s">
        <v>131</v>
      </c>
      <c r="R26" s="293">
        <v>3.06</v>
      </c>
      <c r="S26" s="293">
        <v>8.34</v>
      </c>
      <c r="T26" s="293">
        <f t="shared" si="1"/>
        <v>11.4</v>
      </c>
      <c r="U26" s="293">
        <v>9.75</v>
      </c>
      <c r="V26" s="304">
        <f t="shared" si="2"/>
        <v>21.15</v>
      </c>
      <c r="W26" s="312"/>
      <c r="X26" s="293"/>
      <c r="Y26" s="304"/>
      <c r="Z26" s="316"/>
      <c r="AA26" s="295"/>
      <c r="AB26" s="310"/>
      <c r="AC26" s="211"/>
      <c r="AE26" s="139"/>
      <c r="AF26" s="320" t="s">
        <v>176</v>
      </c>
      <c r="AG26" s="139"/>
      <c r="AH26" s="139"/>
    </row>
    <row r="27" spans="1:34" x14ac:dyDescent="0.2">
      <c r="A27" s="136" t="s">
        <v>115</v>
      </c>
      <c r="B27" s="36" t="s">
        <v>139</v>
      </c>
      <c r="C27" s="36">
        <v>38.098889999999997</v>
      </c>
      <c r="D27" s="231">
        <v>-117.3087</v>
      </c>
      <c r="E27" s="36" t="s">
        <v>142</v>
      </c>
      <c r="F27" s="36" t="s">
        <v>31</v>
      </c>
      <c r="G27" s="36" t="s">
        <v>133</v>
      </c>
      <c r="I27" s="312"/>
      <c r="J27" s="293">
        <v>65.3</v>
      </c>
      <c r="K27" s="293">
        <f t="shared" si="0"/>
        <v>65.3</v>
      </c>
      <c r="L27" s="304">
        <v>118.67400000000001</v>
      </c>
      <c r="M27" s="307">
        <v>609</v>
      </c>
      <c r="N27" s="296"/>
      <c r="O27" s="296"/>
      <c r="P27" s="231">
        <v>709</v>
      </c>
      <c r="Q27" s="224" t="s">
        <v>130</v>
      </c>
      <c r="R27" s="293"/>
      <c r="S27" s="293">
        <v>0.21199999999999999</v>
      </c>
      <c r="T27" s="293">
        <f t="shared" si="1"/>
        <v>0.21199999999999999</v>
      </c>
      <c r="U27" s="293">
        <v>0.44500000000000001</v>
      </c>
      <c r="V27" s="304">
        <f t="shared" si="2"/>
        <v>0.65700000000000003</v>
      </c>
      <c r="W27" s="312"/>
      <c r="X27" s="293"/>
      <c r="Y27" s="304"/>
      <c r="Z27" s="316"/>
      <c r="AA27" s="295"/>
      <c r="AB27" s="310"/>
      <c r="AC27" s="211"/>
      <c r="AE27" s="139"/>
      <c r="AF27" s="320" t="s">
        <v>157</v>
      </c>
      <c r="AG27" s="139"/>
      <c r="AH27" s="139" t="s">
        <v>177</v>
      </c>
    </row>
    <row r="28" spans="1:34" ht="16" thickBot="1" x14ac:dyDescent="0.25">
      <c r="A28" s="137" t="s">
        <v>116</v>
      </c>
      <c r="B28" s="230" t="s">
        <v>139</v>
      </c>
      <c r="C28" s="230">
        <v>37.774850000000001</v>
      </c>
      <c r="D28" s="232">
        <v>-117.50933999999999</v>
      </c>
      <c r="E28" s="230" t="s">
        <v>144</v>
      </c>
      <c r="F28" s="230" t="s">
        <v>31</v>
      </c>
      <c r="G28" s="230" t="s">
        <v>133</v>
      </c>
      <c r="H28" s="230" t="s">
        <v>269</v>
      </c>
      <c r="I28" s="313"/>
      <c r="J28" s="301">
        <v>564</v>
      </c>
      <c r="K28" s="301">
        <f t="shared" si="0"/>
        <v>564</v>
      </c>
      <c r="L28" s="305">
        <v>287</v>
      </c>
      <c r="M28" s="311">
        <v>860</v>
      </c>
      <c r="N28" s="302">
        <v>957</v>
      </c>
      <c r="O28" s="302"/>
      <c r="P28" s="232">
        <v>861</v>
      </c>
      <c r="Q28" s="226" t="s">
        <v>130</v>
      </c>
      <c r="R28" s="301">
        <v>0.53200000000000003</v>
      </c>
      <c r="S28" s="301">
        <v>4.63</v>
      </c>
      <c r="T28" s="301">
        <f t="shared" si="1"/>
        <v>5.1619999999999999</v>
      </c>
      <c r="U28" s="301">
        <v>1.86</v>
      </c>
      <c r="V28" s="305">
        <f t="shared" si="2"/>
        <v>7.0220000000000002</v>
      </c>
      <c r="W28" s="313"/>
      <c r="X28" s="301"/>
      <c r="Y28" s="305"/>
      <c r="Z28" s="317"/>
      <c r="AA28" s="303"/>
      <c r="AB28" s="318"/>
      <c r="AC28" s="212"/>
      <c r="AD28" s="210"/>
      <c r="AE28" s="142"/>
      <c r="AF28" s="323" t="s">
        <v>158</v>
      </c>
      <c r="AG28" s="324" t="s">
        <v>315</v>
      </c>
      <c r="AH28" s="142"/>
    </row>
    <row r="30" spans="1:34" ht="16" customHeight="1" thickBot="1" x14ac:dyDescent="0.25">
      <c r="A30" s="37" t="s">
        <v>435</v>
      </c>
    </row>
    <row r="31" spans="1:34" ht="16" thickBot="1" x14ac:dyDescent="0.25">
      <c r="A31" s="193" t="s">
        <v>117</v>
      </c>
      <c r="B31" s="195" t="s">
        <v>127</v>
      </c>
      <c r="C31" s="195" t="s">
        <v>317</v>
      </c>
      <c r="D31" s="193" t="s">
        <v>154</v>
      </c>
    </row>
    <row r="32" spans="1:34" x14ac:dyDescent="0.2">
      <c r="A32" s="205" t="s">
        <v>93</v>
      </c>
      <c r="B32" t="s">
        <v>130</v>
      </c>
      <c r="C32">
        <v>34000</v>
      </c>
      <c r="D32" s="327" t="s">
        <v>156</v>
      </c>
      <c r="E32" s="38"/>
    </row>
    <row r="33" spans="1:5" x14ac:dyDescent="0.2">
      <c r="A33" s="205" t="s">
        <v>504</v>
      </c>
      <c r="B33" t="s">
        <v>130</v>
      </c>
      <c r="C33">
        <v>90000</v>
      </c>
      <c r="D33" s="328" t="s">
        <v>505</v>
      </c>
      <c r="E33" s="38"/>
    </row>
    <row r="34" spans="1:5" x14ac:dyDescent="0.2">
      <c r="A34" s="205" t="s">
        <v>253</v>
      </c>
      <c r="B34" t="s">
        <v>130</v>
      </c>
      <c r="C34">
        <v>32300</v>
      </c>
      <c r="D34" s="329" t="s">
        <v>250</v>
      </c>
      <c r="E34" s="38"/>
    </row>
    <row r="35" spans="1:5" x14ac:dyDescent="0.2">
      <c r="A35" s="205" t="s">
        <v>98</v>
      </c>
      <c r="B35" t="s">
        <v>130</v>
      </c>
      <c r="C35">
        <v>10000</v>
      </c>
      <c r="D35" s="330" t="s">
        <v>161</v>
      </c>
    </row>
    <row r="36" spans="1:5" x14ac:dyDescent="0.2">
      <c r="A36" s="205" t="s">
        <v>501</v>
      </c>
      <c r="B36" t="s">
        <v>131</v>
      </c>
      <c r="C36">
        <v>25000</v>
      </c>
      <c r="D36" s="328" t="s">
        <v>503</v>
      </c>
    </row>
    <row r="37" spans="1:5" x14ac:dyDescent="0.2">
      <c r="A37" s="205" t="s">
        <v>103</v>
      </c>
      <c r="B37" t="s">
        <v>307</v>
      </c>
      <c r="C37">
        <v>381018</v>
      </c>
      <c r="D37" s="328" t="s">
        <v>164</v>
      </c>
      <c r="E37" s="38"/>
    </row>
    <row r="38" spans="1:5" x14ac:dyDescent="0.2">
      <c r="A38" s="205" t="s">
        <v>166</v>
      </c>
      <c r="B38" t="s">
        <v>130</v>
      </c>
      <c r="C38">
        <v>160000</v>
      </c>
      <c r="D38" s="328" t="s">
        <v>256</v>
      </c>
      <c r="E38" s="38"/>
    </row>
    <row r="39" spans="1:5" x14ac:dyDescent="0.2">
      <c r="A39" s="205" t="s">
        <v>105</v>
      </c>
      <c r="B39" t="s">
        <v>130</v>
      </c>
      <c r="C39">
        <v>44300</v>
      </c>
      <c r="D39" s="328" t="s">
        <v>169</v>
      </c>
      <c r="E39" s="38"/>
    </row>
    <row r="40" spans="1:5" x14ac:dyDescent="0.2">
      <c r="A40" s="205" t="s">
        <v>108</v>
      </c>
      <c r="B40" t="s">
        <v>130</v>
      </c>
      <c r="C40">
        <v>13074</v>
      </c>
      <c r="D40" s="328" t="s">
        <v>170</v>
      </c>
      <c r="E40" s="38"/>
    </row>
    <row r="41" spans="1:5" x14ac:dyDescent="0.2">
      <c r="A41" s="205" t="s">
        <v>109</v>
      </c>
      <c r="B41" t="s">
        <v>131</v>
      </c>
      <c r="C41">
        <v>33000</v>
      </c>
      <c r="D41" s="328" t="s">
        <v>172</v>
      </c>
      <c r="E41" s="38"/>
    </row>
    <row r="42" spans="1:5" x14ac:dyDescent="0.2">
      <c r="A42" s="205" t="s">
        <v>110</v>
      </c>
      <c r="B42" t="s">
        <v>131</v>
      </c>
      <c r="C42" s="39">
        <v>21953.896816684963</v>
      </c>
      <c r="D42" s="328" t="s">
        <v>172</v>
      </c>
    </row>
    <row r="43" spans="1:5" x14ac:dyDescent="0.2">
      <c r="A43" s="205" t="s">
        <v>111</v>
      </c>
      <c r="B43" t="s">
        <v>130</v>
      </c>
      <c r="C43">
        <v>6000</v>
      </c>
      <c r="D43" s="328" t="s">
        <v>157</v>
      </c>
    </row>
    <row r="44" spans="1:5" x14ac:dyDescent="0.2">
      <c r="A44" s="205" t="s">
        <v>112</v>
      </c>
      <c r="B44" t="s">
        <v>131</v>
      </c>
      <c r="C44">
        <v>30000</v>
      </c>
      <c r="D44" s="328" t="s">
        <v>173</v>
      </c>
      <c r="E44" s="38"/>
    </row>
    <row r="45" spans="1:5" x14ac:dyDescent="0.2">
      <c r="A45" s="205" t="s">
        <v>113</v>
      </c>
      <c r="B45" t="s">
        <v>130</v>
      </c>
      <c r="C45">
        <v>48000</v>
      </c>
      <c r="D45" s="328" t="s">
        <v>175</v>
      </c>
    </row>
    <row r="46" spans="1:5" x14ac:dyDescent="0.2">
      <c r="A46" s="205" t="s">
        <v>114</v>
      </c>
      <c r="B46" t="s">
        <v>131</v>
      </c>
      <c r="C46">
        <v>33000</v>
      </c>
      <c r="D46" s="328" t="s">
        <v>176</v>
      </c>
      <c r="E46" s="38"/>
    </row>
    <row r="47" spans="1:5" ht="16" thickBot="1" x14ac:dyDescent="0.25">
      <c r="A47" s="206" t="s">
        <v>116</v>
      </c>
      <c r="B47" s="210" t="s">
        <v>130</v>
      </c>
      <c r="C47" s="210">
        <v>31900</v>
      </c>
      <c r="D47" s="331" t="s">
        <v>178</v>
      </c>
      <c r="E47" s="38"/>
    </row>
    <row r="49" spans="1:6" ht="16" thickBot="1" x14ac:dyDescent="0.25">
      <c r="A49" s="32" t="s">
        <v>434</v>
      </c>
    </row>
    <row r="50" spans="1:6" ht="16" thickBot="1" x14ac:dyDescent="0.25">
      <c r="A50" s="193" t="s">
        <v>117</v>
      </c>
      <c r="B50" s="229" t="s">
        <v>127</v>
      </c>
      <c r="C50" s="195" t="s">
        <v>316</v>
      </c>
      <c r="D50" s="195" t="s">
        <v>318</v>
      </c>
      <c r="E50" s="195" t="s">
        <v>319</v>
      </c>
      <c r="F50" s="193" t="s">
        <v>7</v>
      </c>
    </row>
    <row r="51" spans="1:6" x14ac:dyDescent="0.2">
      <c r="A51" s="205" t="s">
        <v>94</v>
      </c>
      <c r="B51" s="205" t="s">
        <v>130</v>
      </c>
      <c r="C51" s="241">
        <v>0.65900000000000003</v>
      </c>
      <c r="D51" s="51">
        <f t="shared" ref="D51:D60" si="3">EXP(1.687+0.923*LN(C51*1000000))/1000000</f>
        <v>1.2690713174560342</v>
      </c>
      <c r="E51" s="242">
        <f>EXP(4.439+0.374*LN(D51*1000000))</f>
        <v>16238.16611477996</v>
      </c>
      <c r="F51" s="377" t="s">
        <v>320</v>
      </c>
    </row>
    <row r="52" spans="1:6" x14ac:dyDescent="0.2">
      <c r="A52" s="205" t="s">
        <v>95</v>
      </c>
      <c r="B52" s="205" t="s">
        <v>130</v>
      </c>
      <c r="C52" s="241">
        <v>0.15090000000000001</v>
      </c>
      <c r="D52" s="51">
        <f t="shared" si="3"/>
        <v>0.32552545850645381</v>
      </c>
      <c r="E52" s="242">
        <f t="shared" ref="E52:E60" si="4">EXP(4.439+0.374*LN(D52*1000000))</f>
        <v>9762.0264479095458</v>
      </c>
      <c r="F52" s="377"/>
    </row>
    <row r="53" spans="1:6" x14ac:dyDescent="0.2">
      <c r="A53" s="205" t="s">
        <v>99</v>
      </c>
      <c r="B53" s="205" t="s">
        <v>130</v>
      </c>
      <c r="C53" s="241">
        <v>2.2478440000000002</v>
      </c>
      <c r="D53" s="51">
        <f t="shared" si="3"/>
        <v>3.9385373108340636</v>
      </c>
      <c r="E53" s="242">
        <f t="shared" si="4"/>
        <v>24802.101570762778</v>
      </c>
      <c r="F53" s="377"/>
    </row>
    <row r="54" spans="1:6" x14ac:dyDescent="0.2">
      <c r="A54" s="205" t="s">
        <v>100</v>
      </c>
      <c r="B54" s="205" t="s">
        <v>130</v>
      </c>
      <c r="C54" s="241">
        <v>2.2478440000000002</v>
      </c>
      <c r="D54" s="51">
        <f t="shared" si="3"/>
        <v>3.9385373108340636</v>
      </c>
      <c r="E54" s="242">
        <f t="shared" si="4"/>
        <v>24802.101570762778</v>
      </c>
      <c r="F54" s="377"/>
    </row>
    <row r="55" spans="1:6" x14ac:dyDescent="0.2">
      <c r="A55" s="205" t="s">
        <v>101</v>
      </c>
      <c r="B55" s="205" t="s">
        <v>130</v>
      </c>
      <c r="C55" s="241">
        <v>0.127913049</v>
      </c>
      <c r="D55" s="51">
        <f t="shared" si="3"/>
        <v>0.27947128934431914</v>
      </c>
      <c r="E55" s="242">
        <f t="shared" si="4"/>
        <v>9220.6877953306648</v>
      </c>
      <c r="F55" s="377"/>
    </row>
    <row r="56" spans="1:6" x14ac:dyDescent="0.2">
      <c r="A56" s="205" t="s">
        <v>102</v>
      </c>
      <c r="B56" s="205" t="s">
        <v>130</v>
      </c>
      <c r="C56" s="241">
        <v>1.32</v>
      </c>
      <c r="D56" s="51">
        <f t="shared" si="3"/>
        <v>2.4095976417100338</v>
      </c>
      <c r="E56" s="242">
        <f t="shared" si="4"/>
        <v>20638.610701735382</v>
      </c>
      <c r="F56" s="377"/>
    </row>
    <row r="57" spans="1:6" x14ac:dyDescent="0.2">
      <c r="A57" s="205" t="s">
        <v>104</v>
      </c>
      <c r="B57" s="205" t="s">
        <v>130</v>
      </c>
      <c r="C57" s="241">
        <v>2.6269999999999998</v>
      </c>
      <c r="D57" s="51">
        <f t="shared" si="3"/>
        <v>4.5479579244986219</v>
      </c>
      <c r="E57" s="242">
        <f t="shared" si="4"/>
        <v>26173.183682177336</v>
      </c>
      <c r="F57" s="377"/>
    </row>
    <row r="58" spans="1:6" x14ac:dyDescent="0.2">
      <c r="A58" s="205" t="s">
        <v>106</v>
      </c>
      <c r="B58" s="205" t="s">
        <v>130</v>
      </c>
      <c r="C58" s="241">
        <v>1.369</v>
      </c>
      <c r="D58" s="51">
        <f t="shared" si="3"/>
        <v>2.492040944774224</v>
      </c>
      <c r="E58" s="242">
        <f t="shared" si="4"/>
        <v>20899.930411967252</v>
      </c>
      <c r="F58" s="377"/>
    </row>
    <row r="59" spans="1:6" x14ac:dyDescent="0.2">
      <c r="A59" s="205" t="s">
        <v>107</v>
      </c>
      <c r="B59" s="205" t="s">
        <v>130</v>
      </c>
      <c r="C59" s="241">
        <v>1.369</v>
      </c>
      <c r="D59" s="51">
        <f t="shared" si="3"/>
        <v>2.492040944774224</v>
      </c>
      <c r="E59" s="242">
        <f t="shared" si="4"/>
        <v>20899.930411967252</v>
      </c>
      <c r="F59" s="377"/>
    </row>
    <row r="60" spans="1:6" ht="16" thickBot="1" x14ac:dyDescent="0.25">
      <c r="A60" s="206" t="s">
        <v>115</v>
      </c>
      <c r="B60" s="206" t="s">
        <v>130</v>
      </c>
      <c r="C60" s="243">
        <v>0.21199999999999999</v>
      </c>
      <c r="D60" s="203">
        <f t="shared" si="3"/>
        <v>0.44551547165046579</v>
      </c>
      <c r="E60" s="244">
        <f t="shared" si="4"/>
        <v>10977.612306641799</v>
      </c>
      <c r="F60" s="361"/>
    </row>
  </sheetData>
  <mergeCells count="8">
    <mergeCell ref="F51:F60"/>
    <mergeCell ref="AF4:AG4"/>
    <mergeCell ref="M3:P3"/>
    <mergeCell ref="Q3:V3"/>
    <mergeCell ref="I3:L3"/>
    <mergeCell ref="Z3:AB3"/>
    <mergeCell ref="AC3:AE3"/>
    <mergeCell ref="W3:Y3"/>
  </mergeCells>
  <hyperlinks>
    <hyperlink ref="AF5" r:id="rId1" xr:uid="{9D136280-1661-1247-B494-D0CCD8269E7E}"/>
    <hyperlink ref="AF6" r:id="rId2" xr:uid="{99EE9522-75F0-A24A-956D-5F746E979209}"/>
    <hyperlink ref="AF7" r:id="rId3" xr:uid="{771CE46C-6C86-BC47-B064-6F579AFE2524}"/>
    <hyperlink ref="AF9" r:id="rId4" xr:uid="{43ADE1FC-C47E-8F40-BC1B-3D3E9177F88E}"/>
    <hyperlink ref="AF10" r:id="rId5" xr:uid="{4F0F314E-0C0E-AA4E-BD67-7B0C3AA92D4B}"/>
    <hyperlink ref="AF11" r:id="rId6" xr:uid="{1DC0EB22-218A-8B47-8FA2-5A8215DB27B5}"/>
    <hyperlink ref="AF12" r:id="rId7" xr:uid="{FE90874E-84B0-9B44-8DA9-5AE8A0F9F450}"/>
    <hyperlink ref="AF14" r:id="rId8" xr:uid="{E14C0FE2-DA74-DE49-A5BA-02511E35A7B1}"/>
    <hyperlink ref="AF15" r:id="rId9" xr:uid="{857421B7-B52A-6D43-9ACD-75551B79C6AC}"/>
    <hyperlink ref="AF16" r:id="rId10" xr:uid="{14A1D324-9574-D540-84F6-912D557459C7}"/>
    <hyperlink ref="AF17" r:id="rId11" xr:uid="{8355C3A7-681E-F94A-901B-985955A893D8}"/>
    <hyperlink ref="AF18" r:id="rId12" xr:uid="{265DF21C-F93F-DE4B-A110-9EDA2A9EF71B}"/>
    <hyperlink ref="AF19" r:id="rId13" xr:uid="{70EAA708-DE0B-0C43-B65E-32D951AE1511}"/>
    <hyperlink ref="AF20" r:id="rId14" xr:uid="{18A8AF0C-3E19-3747-80A5-022A72801C8B}"/>
    <hyperlink ref="AF21" r:id="rId15" xr:uid="{3AD726D2-2180-634D-BA71-637EE95EF0F8}"/>
    <hyperlink ref="AF22" r:id="rId16" xr:uid="{6854E21D-44EB-2348-BF9A-908AF82B4BB6}"/>
    <hyperlink ref="AF23" r:id="rId17" xr:uid="{D7EFF465-DA31-D243-B264-7A9EAF1A7D7D}"/>
    <hyperlink ref="AF24" r:id="rId18" xr:uid="{94C03B74-AEAD-5E45-8621-7DD1F64B738C}"/>
    <hyperlink ref="AG24" r:id="rId19" xr:uid="{451C8074-6CEB-3043-9CA3-BFE655AB804F}"/>
    <hyperlink ref="AF25" r:id="rId20" xr:uid="{DD8D5405-2C85-EF41-B2D6-71138CBE99A3}"/>
    <hyperlink ref="AF26" r:id="rId21" xr:uid="{DF32D41B-1745-4F4D-95F2-88DB6E056359}"/>
    <hyperlink ref="AF27" r:id="rId22" xr:uid="{012C9CD0-7738-3B44-9022-602065B374CE}"/>
    <hyperlink ref="AF28" r:id="rId23" xr:uid="{CC1B05B0-65D2-7042-8ADE-416D6C349396}"/>
    <hyperlink ref="AG22" r:id="rId24" xr:uid="{BCC39FA1-B3BC-EC48-9C14-8B7BFC621F46}"/>
    <hyperlink ref="AG23" r:id="rId25" xr:uid="{63718328-9326-2049-A790-FC07DB39DECB}"/>
    <hyperlink ref="AG17" r:id="rId26" xr:uid="{2EB3CD04-97F1-2C46-9DA6-5FD1CB88CD67}"/>
    <hyperlink ref="AG28" r:id="rId27" xr:uid="{AA5D5F9E-EB75-1E43-93BE-DCFC44F4F4F6}"/>
    <hyperlink ref="D34" r:id="rId28" xr:uid="{9BDCE523-A49B-F64F-B783-D54368E3EB7E}"/>
    <hyperlink ref="D47" r:id="rId29" xr:uid="{AE26F7A8-C4F4-4048-9DF4-9FB3165DD6E1}"/>
    <hyperlink ref="D45" r:id="rId30" xr:uid="{E96C05D0-346A-F847-B260-51070948A3D1}"/>
    <hyperlink ref="D40" r:id="rId31" xr:uid="{AAAEDB7C-946F-6E49-840C-0D51DDBEECB3}"/>
    <hyperlink ref="D46" r:id="rId32" xr:uid="{CE3F8505-B2E6-D24A-B1EB-49A98A00C294}"/>
    <hyperlink ref="D44" r:id="rId33" xr:uid="{E9ED009A-31E0-DE4D-A2F1-C4EAA69CC3FD}"/>
    <hyperlink ref="D43" r:id="rId34" xr:uid="{44C458AE-A6A2-FD4D-BC8F-E64B3B76D025}"/>
    <hyperlink ref="D42" r:id="rId35" xr:uid="{58B8B367-AEAB-CE47-87E9-802ADBC1F9FD}"/>
    <hyperlink ref="D39" r:id="rId36" xr:uid="{E3FB8614-D190-B84C-B54F-0845404BCCD9}"/>
    <hyperlink ref="D38" r:id="rId37" xr:uid="{7DC6C186-D1E1-1947-B68D-42264725E95E}"/>
    <hyperlink ref="D37" r:id="rId38" xr:uid="{0DC027CF-1089-ED4F-9F26-FD2B85A993F6}"/>
    <hyperlink ref="D35" r:id="rId39" xr:uid="{E8EF771E-F6C0-4541-9067-AE96B9E19F1B}"/>
    <hyperlink ref="D32" r:id="rId40" xr:uid="{73157FB1-B503-AB47-8D4D-7EA55087B8C9}"/>
    <hyperlink ref="AF13" r:id="rId41" xr:uid="{3ECEEF71-00B6-1D43-B9F9-157E7152D9BA}"/>
    <hyperlink ref="D36" r:id="rId42" xr:uid="{2E549293-1A20-2249-9C19-4F9E667105CE}"/>
    <hyperlink ref="AG13" r:id="rId43" xr:uid="{2CE995B5-C546-9F40-99F5-E91DC4EC1F53}"/>
    <hyperlink ref="D41" r:id="rId44" xr:uid="{0162D1D8-FF4C-084A-B511-2531EF85ACE0}"/>
    <hyperlink ref="AF8" r:id="rId45" xr:uid="{67E99604-EB0F-BB41-AFE0-93F20529968D}"/>
    <hyperlink ref="D33" r:id="rId46" xr:uid="{1783198E-2FC2-2741-B410-63EFB8340D96}"/>
    <hyperlink ref="AG8" r:id="rId47" xr:uid="{79EBF81D-2F9B-6E48-9726-F34150123D96}"/>
  </hyperlinks>
  <pageMargins left="0.7" right="0.7" top="0.75" bottom="0.75" header="0.3" footer="0.3"/>
  <ignoredErrors>
    <ignoredError sqref="AE16 AE5"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EFE31-45B0-E64B-BDFA-20AD8E2556DF}">
  <dimension ref="A1:J28"/>
  <sheetViews>
    <sheetView workbookViewId="0">
      <selection activeCell="A31" sqref="A31"/>
    </sheetView>
  </sheetViews>
  <sheetFormatPr baseColWidth="10" defaultRowHeight="15" x14ac:dyDescent="0.2"/>
  <cols>
    <col min="1" max="1" width="35" customWidth="1"/>
    <col min="2" max="2" width="17" bestFit="1" customWidth="1"/>
    <col min="3" max="3" width="30.5" bestFit="1" customWidth="1"/>
    <col min="4" max="5" width="34.5" bestFit="1" customWidth="1"/>
    <col min="6" max="6" width="33.5" style="40" bestFit="1" customWidth="1"/>
    <col min="7" max="7" width="28.33203125" bestFit="1" customWidth="1"/>
    <col min="8" max="8" width="28.33203125" customWidth="1"/>
    <col min="9" max="9" width="38.83203125" bestFit="1" customWidth="1"/>
    <col min="10" max="10" width="42.1640625" bestFit="1" customWidth="1"/>
    <col min="11" max="12" width="14" bestFit="1" customWidth="1"/>
    <col min="13" max="13" width="26" bestFit="1" customWidth="1"/>
  </cols>
  <sheetData>
    <row r="1" spans="1:10" x14ac:dyDescent="0.2">
      <c r="F1"/>
    </row>
    <row r="2" spans="1:10" ht="16" thickBot="1" x14ac:dyDescent="0.25">
      <c r="A2" s="32" t="s">
        <v>194</v>
      </c>
      <c r="F2"/>
    </row>
    <row r="3" spans="1:10" ht="16" thickBot="1" x14ac:dyDescent="0.25">
      <c r="A3" s="193" t="s">
        <v>117</v>
      </c>
      <c r="B3" s="195" t="s">
        <v>118</v>
      </c>
      <c r="C3" s="195" t="s">
        <v>132</v>
      </c>
      <c r="D3" s="195" t="s">
        <v>249</v>
      </c>
      <c r="E3" s="194" t="s">
        <v>195</v>
      </c>
      <c r="F3" s="195" t="s">
        <v>6</v>
      </c>
      <c r="G3" s="195" t="s">
        <v>213</v>
      </c>
      <c r="H3" s="196" t="s">
        <v>588</v>
      </c>
      <c r="I3" s="195" t="s">
        <v>154</v>
      </c>
      <c r="J3" s="196" t="s">
        <v>7</v>
      </c>
    </row>
    <row r="4" spans="1:10" x14ac:dyDescent="0.2">
      <c r="A4" s="136" t="s">
        <v>93</v>
      </c>
      <c r="B4" s="36" t="s">
        <v>31</v>
      </c>
      <c r="C4" s="36" t="s">
        <v>133</v>
      </c>
      <c r="D4" s="36" t="s">
        <v>240</v>
      </c>
      <c r="E4" s="224">
        <v>224.1</v>
      </c>
      <c r="F4" s="36" t="s">
        <v>196</v>
      </c>
      <c r="G4">
        <f>E4*(hr/yr)</f>
        <v>1963116</v>
      </c>
      <c r="H4" s="239">
        <f>G4/1000000</f>
        <v>1.9631160000000001</v>
      </c>
      <c r="I4" s="138" t="s">
        <v>156</v>
      </c>
      <c r="J4" s="139"/>
    </row>
    <row r="5" spans="1:10" x14ac:dyDescent="0.2">
      <c r="A5" s="136" t="s">
        <v>94</v>
      </c>
      <c r="B5" s="36" t="s">
        <v>31</v>
      </c>
      <c r="C5" s="36" t="s">
        <v>133</v>
      </c>
      <c r="E5" s="211"/>
      <c r="F5"/>
      <c r="H5" s="239">
        <f t="shared" ref="H5:H27" si="0">G5/1000000</f>
        <v>0</v>
      </c>
      <c r="I5" s="140"/>
      <c r="J5" s="139"/>
    </row>
    <row r="6" spans="1:10" x14ac:dyDescent="0.2">
      <c r="A6" s="136" t="s">
        <v>95</v>
      </c>
      <c r="B6" s="36" t="s">
        <v>119</v>
      </c>
      <c r="C6" s="36" t="s">
        <v>133</v>
      </c>
      <c r="E6" s="211"/>
      <c r="F6"/>
      <c r="H6" s="239">
        <f t="shared" si="0"/>
        <v>0</v>
      </c>
      <c r="I6" s="140"/>
      <c r="J6" s="139"/>
    </row>
    <row r="7" spans="1:10" x14ac:dyDescent="0.2">
      <c r="A7" s="136" t="s">
        <v>504</v>
      </c>
      <c r="B7" s="36" t="s">
        <v>344</v>
      </c>
      <c r="C7" s="36" t="s">
        <v>248</v>
      </c>
      <c r="D7" s="36" t="s">
        <v>240</v>
      </c>
      <c r="E7" s="211">
        <v>13165</v>
      </c>
      <c r="F7" s="36" t="s">
        <v>390</v>
      </c>
      <c r="G7" s="39">
        <f>E7*(cubicm/acreft)</f>
        <v>16238772.242739115</v>
      </c>
      <c r="H7" s="239">
        <f t="shared" si="0"/>
        <v>16.238772242739113</v>
      </c>
      <c r="I7" s="140" t="s">
        <v>506</v>
      </c>
      <c r="J7" s="139" t="s">
        <v>507</v>
      </c>
    </row>
    <row r="8" spans="1:10" x14ac:dyDescent="0.2">
      <c r="A8" s="136" t="s">
        <v>96</v>
      </c>
      <c r="B8" s="36" t="s">
        <v>119</v>
      </c>
      <c r="C8" s="36" t="s">
        <v>133</v>
      </c>
      <c r="D8" s="49" t="s">
        <v>252</v>
      </c>
      <c r="E8" s="439">
        <v>5382497</v>
      </c>
      <c r="F8" s="440" t="s">
        <v>196</v>
      </c>
      <c r="G8" s="441">
        <v>5382497</v>
      </c>
      <c r="H8" s="239">
        <f t="shared" si="0"/>
        <v>5.3824969999999999</v>
      </c>
      <c r="I8" s="438" t="s">
        <v>250</v>
      </c>
      <c r="J8" s="139" t="s">
        <v>251</v>
      </c>
    </row>
    <row r="9" spans="1:10" x14ac:dyDescent="0.2">
      <c r="A9" s="136" t="s">
        <v>97</v>
      </c>
      <c r="B9" s="36" t="s">
        <v>119</v>
      </c>
      <c r="C9" s="36" t="s">
        <v>134</v>
      </c>
      <c r="D9" s="49" t="s">
        <v>252</v>
      </c>
      <c r="E9" s="439"/>
      <c r="F9" s="440"/>
      <c r="G9" s="441"/>
      <c r="H9" s="239">
        <f t="shared" si="0"/>
        <v>0</v>
      </c>
      <c r="I9" s="438"/>
      <c r="J9" s="139"/>
    </row>
    <row r="10" spans="1:10" x14ac:dyDescent="0.2">
      <c r="A10" s="136" t="s">
        <v>98</v>
      </c>
      <c r="B10" s="36" t="s">
        <v>12</v>
      </c>
      <c r="C10" s="36" t="s">
        <v>248</v>
      </c>
      <c r="D10" s="36" t="s">
        <v>240</v>
      </c>
      <c r="E10" s="211">
        <f>860000</f>
        <v>860000</v>
      </c>
      <c r="F10" t="s">
        <v>197</v>
      </c>
      <c r="G10">
        <f>E10</f>
        <v>860000</v>
      </c>
      <c r="H10" s="239">
        <f t="shared" si="0"/>
        <v>0.86</v>
      </c>
      <c r="I10" s="140" t="s">
        <v>161</v>
      </c>
      <c r="J10" s="139"/>
    </row>
    <row r="11" spans="1:10" x14ac:dyDescent="0.2">
      <c r="A11" s="136" t="s">
        <v>99</v>
      </c>
      <c r="B11" s="36" t="s">
        <v>31</v>
      </c>
      <c r="C11" s="36" t="s">
        <v>133</v>
      </c>
      <c r="E11" s="211"/>
      <c r="F11"/>
      <c r="H11" s="239">
        <f t="shared" si="0"/>
        <v>0</v>
      </c>
      <c r="I11" s="140"/>
      <c r="J11" s="139"/>
    </row>
    <row r="12" spans="1:10" x14ac:dyDescent="0.2">
      <c r="A12" s="136" t="s">
        <v>501</v>
      </c>
      <c r="B12" s="36" t="s">
        <v>344</v>
      </c>
      <c r="C12" s="36" t="s">
        <v>248</v>
      </c>
      <c r="D12" s="36" t="s">
        <v>240</v>
      </c>
      <c r="E12" s="211">
        <v>6500</v>
      </c>
      <c r="F12" s="36" t="s">
        <v>390</v>
      </c>
      <c r="G12" s="39">
        <f>E12*(cubicm/acreft)</f>
        <v>8017623.9709687997</v>
      </c>
      <c r="H12" s="239">
        <f t="shared" si="0"/>
        <v>8.0176239709687991</v>
      </c>
      <c r="I12" s="140" t="s">
        <v>506</v>
      </c>
      <c r="J12" s="139"/>
    </row>
    <row r="13" spans="1:10" x14ac:dyDescent="0.2">
      <c r="A13" s="136" t="s">
        <v>102</v>
      </c>
      <c r="B13" s="36" t="s">
        <v>31</v>
      </c>
      <c r="C13" s="36"/>
      <c r="E13" s="211"/>
      <c r="F13"/>
      <c r="H13" s="239">
        <f t="shared" si="0"/>
        <v>0</v>
      </c>
      <c r="I13" s="140"/>
      <c r="J13" s="139"/>
    </row>
    <row r="14" spans="1:10" x14ac:dyDescent="0.2">
      <c r="A14" s="136" t="s">
        <v>103</v>
      </c>
      <c r="B14" s="36" t="s">
        <v>120</v>
      </c>
      <c r="C14" s="36" t="s">
        <v>133</v>
      </c>
      <c r="D14" s="36" t="s">
        <v>269</v>
      </c>
      <c r="E14" s="211"/>
      <c r="F14"/>
      <c r="H14" s="239">
        <f t="shared" si="0"/>
        <v>0</v>
      </c>
      <c r="I14" s="140"/>
      <c r="J14" s="139"/>
    </row>
    <row r="15" spans="1:10" x14ac:dyDescent="0.2">
      <c r="A15" s="136" t="s">
        <v>33</v>
      </c>
      <c r="B15" s="36" t="s">
        <v>258</v>
      </c>
      <c r="C15" s="36" t="s">
        <v>259</v>
      </c>
      <c r="D15" s="36" t="s">
        <v>260</v>
      </c>
      <c r="E15" s="211">
        <f>(10.6*1000000)+(18.8*1000000)</f>
        <v>29400000</v>
      </c>
      <c r="F15" t="s">
        <v>197</v>
      </c>
      <c r="G15">
        <f>E15</f>
        <v>29400000</v>
      </c>
      <c r="H15" s="239">
        <f t="shared" si="0"/>
        <v>29.4</v>
      </c>
      <c r="I15" s="140" t="s">
        <v>167</v>
      </c>
      <c r="J15" s="139"/>
    </row>
    <row r="16" spans="1:10" x14ac:dyDescent="0.2">
      <c r="A16" s="136" t="s">
        <v>104</v>
      </c>
      <c r="B16" s="36" t="s">
        <v>31</v>
      </c>
      <c r="C16" s="36"/>
      <c r="E16" s="211"/>
      <c r="F16"/>
      <c r="H16" s="239">
        <f t="shared" si="0"/>
        <v>0</v>
      </c>
      <c r="I16" s="140"/>
      <c r="J16" s="139"/>
    </row>
    <row r="17" spans="1:10" x14ac:dyDescent="0.2">
      <c r="A17" s="136" t="s">
        <v>105</v>
      </c>
      <c r="B17" s="36" t="s">
        <v>31</v>
      </c>
      <c r="C17" s="36" t="s">
        <v>133</v>
      </c>
      <c r="E17" s="211"/>
      <c r="F17"/>
      <c r="H17" s="239">
        <f t="shared" si="0"/>
        <v>0</v>
      </c>
      <c r="I17" s="140"/>
      <c r="J17" s="139"/>
    </row>
    <row r="18" spans="1:10" x14ac:dyDescent="0.2">
      <c r="A18" s="136" t="s">
        <v>106</v>
      </c>
      <c r="B18" s="36" t="s">
        <v>31</v>
      </c>
      <c r="C18" s="36" t="s">
        <v>133</v>
      </c>
      <c r="D18" s="36" t="s">
        <v>269</v>
      </c>
      <c r="E18" s="211"/>
      <c r="F18"/>
      <c r="H18" s="239">
        <f t="shared" si="0"/>
        <v>0</v>
      </c>
      <c r="I18" s="140"/>
      <c r="J18" s="139"/>
    </row>
    <row r="19" spans="1:10" x14ac:dyDescent="0.2">
      <c r="A19" s="136" t="s">
        <v>108</v>
      </c>
      <c r="B19" s="36" t="s">
        <v>121</v>
      </c>
      <c r="C19" s="36" t="s">
        <v>248</v>
      </c>
      <c r="D19" s="36" t="s">
        <v>240</v>
      </c>
      <c r="E19" s="211">
        <f>AVERAGE(200,250)</f>
        <v>225</v>
      </c>
      <c r="F19" s="36" t="s">
        <v>390</v>
      </c>
      <c r="G19" s="39">
        <f>E19*(cubicm/acreft)</f>
        <v>277533.13745661231</v>
      </c>
      <c r="H19" s="239">
        <f t="shared" si="0"/>
        <v>0.27753313745661229</v>
      </c>
      <c r="I19" s="140" t="s">
        <v>393</v>
      </c>
      <c r="J19" s="139"/>
    </row>
    <row r="20" spans="1:10" x14ac:dyDescent="0.2">
      <c r="A20" s="136" t="s">
        <v>109</v>
      </c>
      <c r="B20" s="36" t="s">
        <v>120</v>
      </c>
      <c r="C20" s="36" t="s">
        <v>133</v>
      </c>
      <c r="D20" s="36" t="s">
        <v>264</v>
      </c>
      <c r="E20" s="211">
        <v>2106</v>
      </c>
      <c r="F20" t="s">
        <v>199</v>
      </c>
      <c r="G20" s="39">
        <f>E20*(day/yr)</f>
        <v>768690</v>
      </c>
      <c r="H20" s="239">
        <f t="shared" si="0"/>
        <v>0.76868999999999998</v>
      </c>
      <c r="I20" s="140" t="s">
        <v>172</v>
      </c>
      <c r="J20" s="139"/>
    </row>
    <row r="21" spans="1:10" x14ac:dyDescent="0.2">
      <c r="A21" s="136" t="s">
        <v>110</v>
      </c>
      <c r="B21" s="36" t="s">
        <v>31</v>
      </c>
      <c r="C21" s="36" t="s">
        <v>133</v>
      </c>
      <c r="D21" s="36" t="s">
        <v>269</v>
      </c>
      <c r="E21" s="211">
        <v>2150</v>
      </c>
      <c r="F21" t="s">
        <v>198</v>
      </c>
      <c r="G21" s="39">
        <f>E21*(cubicm/gal)*(min/yr)</f>
        <v>4277667.5802128911</v>
      </c>
      <c r="H21" s="239">
        <f t="shared" si="0"/>
        <v>4.2776675802128912</v>
      </c>
      <c r="I21" s="140" t="s">
        <v>172</v>
      </c>
      <c r="J21" s="139"/>
    </row>
    <row r="22" spans="1:10" x14ac:dyDescent="0.2">
      <c r="A22" s="136" t="s">
        <v>111</v>
      </c>
      <c r="B22" s="36" t="s">
        <v>12</v>
      </c>
      <c r="C22" s="36" t="s">
        <v>248</v>
      </c>
      <c r="D22" s="36" t="s">
        <v>11</v>
      </c>
      <c r="E22" s="211">
        <v>24669600</v>
      </c>
      <c r="F22" t="s">
        <v>197</v>
      </c>
      <c r="G22" s="39">
        <f t="shared" ref="G22" si="1">E22</f>
        <v>24669600</v>
      </c>
      <c r="H22" s="239">
        <f t="shared" si="0"/>
        <v>24.669599999999999</v>
      </c>
      <c r="I22" s="140" t="s">
        <v>157</v>
      </c>
      <c r="J22" s="139"/>
    </row>
    <row r="23" spans="1:10" x14ac:dyDescent="0.2">
      <c r="A23" s="136" t="s">
        <v>112</v>
      </c>
      <c r="B23" s="36" t="s">
        <v>121</v>
      </c>
      <c r="C23" s="36" t="s">
        <v>248</v>
      </c>
      <c r="D23" s="36" t="s">
        <v>240</v>
      </c>
      <c r="E23" s="211">
        <v>413</v>
      </c>
      <c r="F23" t="s">
        <v>196</v>
      </c>
      <c r="G23" s="39">
        <f>E23*(hr/yr)</f>
        <v>3617880</v>
      </c>
      <c r="H23" s="239">
        <f t="shared" si="0"/>
        <v>3.61788</v>
      </c>
      <c r="I23" s="140" t="s">
        <v>173</v>
      </c>
      <c r="J23" s="139"/>
    </row>
    <row r="24" spans="1:10" x14ac:dyDescent="0.2">
      <c r="A24" s="136" t="s">
        <v>113</v>
      </c>
      <c r="B24" s="36" t="s">
        <v>31</v>
      </c>
      <c r="C24" s="36" t="s">
        <v>133</v>
      </c>
      <c r="D24" s="36" t="s">
        <v>269</v>
      </c>
      <c r="E24" s="211">
        <f>'6. Proposed Mine LCI Values'!H35*'6. Proposed Mine LCI Values'!H36</f>
        <v>6688000</v>
      </c>
      <c r="F24" t="s">
        <v>197</v>
      </c>
      <c r="G24" s="39">
        <f>E24</f>
        <v>6688000</v>
      </c>
      <c r="H24" s="239">
        <f t="shared" si="0"/>
        <v>6.6879999999999997</v>
      </c>
      <c r="I24" s="140" t="s">
        <v>175</v>
      </c>
      <c r="J24" s="139"/>
    </row>
    <row r="25" spans="1:10" x14ac:dyDescent="0.2">
      <c r="A25" s="136" t="s">
        <v>114</v>
      </c>
      <c r="B25" s="36" t="s">
        <v>31</v>
      </c>
      <c r="C25" s="36" t="s">
        <v>133</v>
      </c>
      <c r="D25" s="36" t="s">
        <v>269</v>
      </c>
      <c r="E25" s="211">
        <v>649.87162999999998</v>
      </c>
      <c r="F25" t="s">
        <v>196</v>
      </c>
      <c r="G25" s="39">
        <f>E25*(hr/yr)</f>
        <v>5692875.4787999997</v>
      </c>
      <c r="H25" s="239">
        <f t="shared" si="0"/>
        <v>5.6928754787999996</v>
      </c>
      <c r="I25" s="140" t="s">
        <v>176</v>
      </c>
      <c r="J25" s="139"/>
    </row>
    <row r="26" spans="1:10" x14ac:dyDescent="0.2">
      <c r="A26" s="136" t="s">
        <v>115</v>
      </c>
      <c r="B26" s="36" t="s">
        <v>31</v>
      </c>
      <c r="C26" s="36" t="s">
        <v>133</v>
      </c>
      <c r="E26" s="211"/>
      <c r="F26"/>
      <c r="H26" s="239">
        <f t="shared" si="0"/>
        <v>0</v>
      </c>
      <c r="I26" s="140"/>
      <c r="J26" s="139"/>
    </row>
    <row r="27" spans="1:10" ht="16" thickBot="1" x14ac:dyDescent="0.25">
      <c r="A27" s="137" t="s">
        <v>116</v>
      </c>
      <c r="B27" s="230" t="s">
        <v>31</v>
      </c>
      <c r="C27" s="230" t="s">
        <v>133</v>
      </c>
      <c r="D27" s="230" t="s">
        <v>269</v>
      </c>
      <c r="E27" s="212"/>
      <c r="F27" s="210"/>
      <c r="G27" s="210"/>
      <c r="H27" s="240">
        <f t="shared" si="0"/>
        <v>0</v>
      </c>
      <c r="I27" s="141" t="s">
        <v>158</v>
      </c>
      <c r="J27" s="142"/>
    </row>
    <row r="28" spans="1:10" x14ac:dyDescent="0.2">
      <c r="F28"/>
    </row>
  </sheetData>
  <mergeCells count="4">
    <mergeCell ref="I8:I9"/>
    <mergeCell ref="E8:E9"/>
    <mergeCell ref="F8:F9"/>
    <mergeCell ref="G8:G9"/>
  </mergeCells>
  <hyperlinks>
    <hyperlink ref="I4" r:id="rId1" xr:uid="{95F504F1-1C12-994A-AF79-D49B05542BB6}"/>
    <hyperlink ref="I10" r:id="rId2" xr:uid="{EFFFE2CA-60A9-074B-BC95-D033C9DB923E}"/>
    <hyperlink ref="I20" r:id="rId3" xr:uid="{0B2FF69A-5A42-4E4F-9D5B-9C1B8E6EBA20}"/>
    <hyperlink ref="I21" r:id="rId4" xr:uid="{9A94C30C-236C-D54F-938C-30ED31B52AAF}"/>
    <hyperlink ref="I22" r:id="rId5" xr:uid="{BCD7B1AD-D130-7E44-B8A1-92418D36149C}"/>
    <hyperlink ref="I23" r:id="rId6" xr:uid="{C1CAC64E-E204-8149-8EE5-564DEAEC9BC9}"/>
    <hyperlink ref="I24" r:id="rId7" xr:uid="{1D7436BE-6330-C24B-BE9B-5BDA526AB2AC}"/>
    <hyperlink ref="I25" r:id="rId8" xr:uid="{86C7819E-DB2F-D24F-9E9F-F0C0F4AA0D7B}"/>
    <hyperlink ref="I27" r:id="rId9" xr:uid="{6FC05DDE-1F3B-7F41-8BF0-D4E68EF898EF}"/>
    <hyperlink ref="I15" r:id="rId10" xr:uid="{B63F85F0-116E-3F43-B928-B1828BE1D27D}"/>
    <hyperlink ref="I8" r:id="rId11" xr:uid="{BA3D132B-7482-554E-AC33-AA73508AE800}"/>
    <hyperlink ref="I19" r:id="rId12" xr:uid="{2AC1392F-6843-D041-BDA4-8DF38C98C11A}"/>
    <hyperlink ref="I7" r:id="rId13" xr:uid="{15377625-14DC-8F42-8060-B59285191D4A}"/>
    <hyperlink ref="I12" r:id="rId14" xr:uid="{ED825B90-7EF0-1A4B-913D-3F98385C1A3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4FCE5-1C9C-9F43-A365-76BF5F5BEBFE}">
  <dimension ref="A2:K56"/>
  <sheetViews>
    <sheetView topLeftCell="A34" workbookViewId="0">
      <selection activeCell="A56" sqref="A56"/>
    </sheetView>
  </sheetViews>
  <sheetFormatPr baseColWidth="10" defaultRowHeight="15" x14ac:dyDescent="0.2"/>
  <cols>
    <col min="1" max="3" width="10.83203125" style="7"/>
    <col min="4" max="4" width="11.5" style="7" bestFit="1" customWidth="1"/>
    <col min="5" max="5" width="20.1640625" style="7" bestFit="1" customWidth="1"/>
    <col min="6" max="6" width="20.1640625" style="7" customWidth="1"/>
    <col min="7" max="7" width="25.6640625" style="7" bestFit="1" customWidth="1"/>
    <col min="8" max="8" width="10" style="7" bestFit="1" customWidth="1"/>
    <col min="9" max="9" width="8.83203125" style="7" bestFit="1" customWidth="1"/>
    <col min="10" max="10" width="12.83203125" style="7" bestFit="1" customWidth="1"/>
    <col min="11" max="16384" width="10.83203125" style="7"/>
  </cols>
  <sheetData>
    <row r="2" spans="1:9" ht="16" thickBot="1" x14ac:dyDescent="0.25">
      <c r="A2" s="1" t="s">
        <v>246</v>
      </c>
    </row>
    <row r="3" spans="1:9" ht="16" thickBot="1" x14ac:dyDescent="0.25">
      <c r="A3" s="169" t="s">
        <v>237</v>
      </c>
      <c r="B3" s="170" t="s">
        <v>135</v>
      </c>
      <c r="C3" s="170" t="s">
        <v>238</v>
      </c>
      <c r="D3" s="171" t="s">
        <v>118</v>
      </c>
      <c r="E3" s="171" t="s">
        <v>247</v>
      </c>
      <c r="F3" s="166" t="s">
        <v>4</v>
      </c>
      <c r="G3" s="172" t="s">
        <v>63</v>
      </c>
      <c r="H3" s="172" t="s">
        <v>64</v>
      </c>
      <c r="I3" s="171" t="s">
        <v>65</v>
      </c>
    </row>
    <row r="4" spans="1:9" x14ac:dyDescent="0.2">
      <c r="A4" s="372" t="s">
        <v>93</v>
      </c>
      <c r="B4" s="348" t="s">
        <v>139</v>
      </c>
      <c r="C4" s="348" t="s">
        <v>239</v>
      </c>
      <c r="D4" s="348" t="s">
        <v>31</v>
      </c>
      <c r="E4" s="401" t="s">
        <v>133</v>
      </c>
      <c r="F4" s="348" t="s">
        <v>240</v>
      </c>
      <c r="G4" s="20" t="s">
        <v>243</v>
      </c>
      <c r="H4" s="20">
        <f>'5. Proposed Mine Water Data'!G4</f>
        <v>1963116</v>
      </c>
      <c r="I4" s="21" t="s">
        <v>197</v>
      </c>
    </row>
    <row r="5" spans="1:9" ht="16" thickBot="1" x14ac:dyDescent="0.25">
      <c r="A5" s="373"/>
      <c r="B5" s="350"/>
      <c r="C5" s="350"/>
      <c r="D5" s="350"/>
      <c r="E5" s="402"/>
      <c r="F5" s="350"/>
      <c r="G5" s="24" t="s">
        <v>244</v>
      </c>
      <c r="H5" s="48">
        <f>'4. Proposed Mine LOM &amp; Resource'!C32</f>
        <v>34000</v>
      </c>
      <c r="I5" s="28" t="s">
        <v>245</v>
      </c>
    </row>
    <row r="6" spans="1:9" x14ac:dyDescent="0.2">
      <c r="A6" s="448" t="s">
        <v>504</v>
      </c>
      <c r="B6" s="351" t="s">
        <v>146</v>
      </c>
      <c r="C6" s="430" t="s">
        <v>511</v>
      </c>
      <c r="D6" s="421" t="s">
        <v>344</v>
      </c>
      <c r="E6" s="430" t="s">
        <v>248</v>
      </c>
      <c r="F6" s="352" t="s">
        <v>240</v>
      </c>
      <c r="G6" s="59" t="s">
        <v>243</v>
      </c>
      <c r="H6" s="59">
        <v>13165</v>
      </c>
      <c r="I6" s="80" t="s">
        <v>390</v>
      </c>
    </row>
    <row r="7" spans="1:9" ht="16" thickBot="1" x14ac:dyDescent="0.25">
      <c r="A7" s="449"/>
      <c r="B7" s="353"/>
      <c r="C7" s="431"/>
      <c r="D7" s="423"/>
      <c r="E7" s="431"/>
      <c r="F7" s="353"/>
      <c r="G7" s="77" t="s">
        <v>244</v>
      </c>
      <c r="H7" s="77">
        <v>90000</v>
      </c>
      <c r="I7" s="79" t="s">
        <v>245</v>
      </c>
    </row>
    <row r="8" spans="1:9" x14ac:dyDescent="0.2">
      <c r="A8" s="406" t="s">
        <v>253</v>
      </c>
      <c r="B8" s="348" t="s">
        <v>139</v>
      </c>
      <c r="C8" s="411" t="s">
        <v>254</v>
      </c>
      <c r="D8" s="360" t="s">
        <v>119</v>
      </c>
      <c r="E8" s="411" t="s">
        <v>255</v>
      </c>
      <c r="F8" s="349" t="s">
        <v>252</v>
      </c>
      <c r="G8" s="3" t="s">
        <v>243</v>
      </c>
      <c r="H8" s="3">
        <v>5382497</v>
      </c>
      <c r="I8" s="22" t="s">
        <v>197</v>
      </c>
    </row>
    <row r="9" spans="1:9" ht="16" thickBot="1" x14ac:dyDescent="0.25">
      <c r="A9" s="373"/>
      <c r="B9" s="350"/>
      <c r="C9" s="402"/>
      <c r="D9" s="361"/>
      <c r="E9" s="402"/>
      <c r="F9" s="350"/>
      <c r="G9" s="24" t="s">
        <v>244</v>
      </c>
      <c r="H9" s="24">
        <v>32300</v>
      </c>
      <c r="I9" s="28" t="s">
        <v>245</v>
      </c>
    </row>
    <row r="10" spans="1:9" x14ac:dyDescent="0.2">
      <c r="A10" s="453" t="s">
        <v>98</v>
      </c>
      <c r="B10" s="445" t="s">
        <v>139</v>
      </c>
      <c r="C10" s="351" t="s">
        <v>239</v>
      </c>
      <c r="D10" s="351" t="s">
        <v>12</v>
      </c>
      <c r="E10" s="351" t="s">
        <v>248</v>
      </c>
      <c r="F10" s="351" t="s">
        <v>240</v>
      </c>
      <c r="G10" s="151" t="s">
        <v>12</v>
      </c>
      <c r="H10" s="151">
        <v>1250</v>
      </c>
      <c r="I10" s="152" t="s">
        <v>196</v>
      </c>
    </row>
    <row r="11" spans="1:9" x14ac:dyDescent="0.2">
      <c r="A11" s="454"/>
      <c r="B11" s="430"/>
      <c r="C11" s="352"/>
      <c r="D11" s="352"/>
      <c r="E11" s="352"/>
      <c r="F11" s="352"/>
      <c r="G11" s="59" t="s">
        <v>241</v>
      </c>
      <c r="H11" s="59">
        <f>23.52*1000000</f>
        <v>23520000</v>
      </c>
      <c r="I11" s="80" t="s">
        <v>197</v>
      </c>
    </row>
    <row r="12" spans="1:9" x14ac:dyDescent="0.2">
      <c r="A12" s="454"/>
      <c r="B12" s="430"/>
      <c r="C12" s="352"/>
      <c r="D12" s="352"/>
      <c r="E12" s="352"/>
      <c r="F12" s="352"/>
      <c r="G12" s="59" t="s">
        <v>242</v>
      </c>
      <c r="H12" s="59">
        <f>22.66*1000000</f>
        <v>22660000</v>
      </c>
      <c r="I12" s="80" t="s">
        <v>197</v>
      </c>
    </row>
    <row r="13" spans="1:9" x14ac:dyDescent="0.2">
      <c r="A13" s="454"/>
      <c r="B13" s="430"/>
      <c r="C13" s="352"/>
      <c r="D13" s="352"/>
      <c r="E13" s="352"/>
      <c r="F13" s="352"/>
      <c r="G13" s="59" t="s">
        <v>243</v>
      </c>
      <c r="H13" s="59">
        <f>H11-H12</f>
        <v>860000</v>
      </c>
      <c r="I13" s="80" t="s">
        <v>197</v>
      </c>
    </row>
    <row r="14" spans="1:9" ht="16" thickBot="1" x14ac:dyDescent="0.25">
      <c r="A14" s="455"/>
      <c r="B14" s="431"/>
      <c r="C14" s="353"/>
      <c r="D14" s="353"/>
      <c r="E14" s="353"/>
      <c r="F14" s="353"/>
      <c r="G14" s="77" t="s">
        <v>244</v>
      </c>
      <c r="H14" s="77">
        <v>10000</v>
      </c>
      <c r="I14" s="79" t="s">
        <v>245</v>
      </c>
    </row>
    <row r="15" spans="1:9" x14ac:dyDescent="0.2">
      <c r="A15" s="456" t="s">
        <v>501</v>
      </c>
      <c r="B15" s="349" t="s">
        <v>146</v>
      </c>
      <c r="C15" s="377" t="s">
        <v>511</v>
      </c>
      <c r="D15" s="377" t="s">
        <v>344</v>
      </c>
      <c r="E15" s="349" t="s">
        <v>248</v>
      </c>
      <c r="F15" s="349" t="s">
        <v>240</v>
      </c>
      <c r="G15" s="3" t="s">
        <v>243</v>
      </c>
      <c r="H15" s="3">
        <v>6500</v>
      </c>
      <c r="I15" s="22" t="s">
        <v>390</v>
      </c>
    </row>
    <row r="16" spans="1:9" ht="16" thickBot="1" x14ac:dyDescent="0.25">
      <c r="A16" s="447"/>
      <c r="B16" s="350"/>
      <c r="C16" s="361"/>
      <c r="D16" s="361"/>
      <c r="E16" s="350"/>
      <c r="F16" s="350"/>
      <c r="G16" s="24" t="s">
        <v>244</v>
      </c>
      <c r="H16" s="48">
        <f>25000*(lce/lhe)</f>
        <v>38594.837587006965</v>
      </c>
      <c r="I16" s="28" t="s">
        <v>245</v>
      </c>
    </row>
    <row r="17" spans="1:10" ht="16" customHeight="1" x14ac:dyDescent="0.2">
      <c r="A17" s="451" t="s">
        <v>377</v>
      </c>
      <c r="B17" s="352" t="s">
        <v>139</v>
      </c>
      <c r="C17" s="443" t="s">
        <v>261</v>
      </c>
      <c r="D17" s="464" t="s">
        <v>258</v>
      </c>
      <c r="E17" s="465" t="s">
        <v>259</v>
      </c>
      <c r="F17" s="454" t="s">
        <v>260</v>
      </c>
      <c r="G17" s="149" t="s">
        <v>257</v>
      </c>
      <c r="H17" s="157">
        <f>831+1385</f>
        <v>2216</v>
      </c>
      <c r="I17" s="80" t="s">
        <v>196</v>
      </c>
    </row>
    <row r="18" spans="1:10" x14ac:dyDescent="0.2">
      <c r="A18" s="451"/>
      <c r="B18" s="352"/>
      <c r="C18" s="443"/>
      <c r="D18" s="464"/>
      <c r="E18" s="465"/>
      <c r="F18" s="454"/>
      <c r="G18" s="149" t="s">
        <v>262</v>
      </c>
      <c r="H18" s="157">
        <f>250+750</f>
        <v>1000</v>
      </c>
      <c r="I18" s="80" t="s">
        <v>196</v>
      </c>
    </row>
    <row r="19" spans="1:10" ht="16" thickBot="1" x14ac:dyDescent="0.25">
      <c r="A19" s="451"/>
      <c r="B19" s="352"/>
      <c r="C19" s="443"/>
      <c r="D19" s="464"/>
      <c r="E19" s="465"/>
      <c r="F19" s="454"/>
      <c r="G19" s="149" t="s">
        <v>244</v>
      </c>
      <c r="H19" s="157">
        <v>160000</v>
      </c>
      <c r="I19" s="80" t="s">
        <v>245</v>
      </c>
    </row>
    <row r="20" spans="1:10" ht="16" customHeight="1" x14ac:dyDescent="0.2">
      <c r="A20" s="446" t="s">
        <v>108</v>
      </c>
      <c r="B20" s="348" t="s">
        <v>150</v>
      </c>
      <c r="C20" s="360" t="s">
        <v>191</v>
      </c>
      <c r="D20" s="466" t="s">
        <v>121</v>
      </c>
      <c r="E20" s="466" t="s">
        <v>248</v>
      </c>
      <c r="F20" s="446" t="s">
        <v>240</v>
      </c>
      <c r="G20" s="41" t="s">
        <v>257</v>
      </c>
      <c r="H20" s="264">
        <f>AVERAGE(200,250)</f>
        <v>225</v>
      </c>
      <c r="I20" s="21" t="s">
        <v>390</v>
      </c>
      <c r="J20" s="7" t="s">
        <v>392</v>
      </c>
    </row>
    <row r="21" spans="1:10" ht="16" thickBot="1" x14ac:dyDescent="0.25">
      <c r="A21" s="447"/>
      <c r="B21" s="350"/>
      <c r="C21" s="361"/>
      <c r="D21" s="467"/>
      <c r="E21" s="467"/>
      <c r="F21" s="447"/>
      <c r="G21" s="159" t="s">
        <v>244</v>
      </c>
      <c r="H21" s="48">
        <f>'4. Proposed Mine LOM &amp; Resource'!C40</f>
        <v>13074</v>
      </c>
      <c r="I21" s="28" t="s">
        <v>245</v>
      </c>
    </row>
    <row r="22" spans="1:10" ht="32" customHeight="1" x14ac:dyDescent="0.2">
      <c r="A22" s="450" t="s">
        <v>109</v>
      </c>
      <c r="B22" s="421" t="s">
        <v>148</v>
      </c>
      <c r="C22" s="442" t="s">
        <v>267</v>
      </c>
      <c r="D22" s="351" t="s">
        <v>120</v>
      </c>
      <c r="E22" s="445" t="s">
        <v>133</v>
      </c>
      <c r="F22" s="351" t="s">
        <v>264</v>
      </c>
      <c r="G22" s="155" t="s">
        <v>263</v>
      </c>
      <c r="H22" s="156">
        <v>1900000</v>
      </c>
      <c r="I22" s="152" t="s">
        <v>245</v>
      </c>
    </row>
    <row r="23" spans="1:10" x14ac:dyDescent="0.2">
      <c r="A23" s="451"/>
      <c r="B23" s="422"/>
      <c r="C23" s="443"/>
      <c r="D23" s="352"/>
      <c r="E23" s="430"/>
      <c r="F23" s="352"/>
      <c r="G23" s="149" t="s">
        <v>57</v>
      </c>
      <c r="H23" s="157">
        <v>230000</v>
      </c>
      <c r="I23" s="80" t="s">
        <v>245</v>
      </c>
    </row>
    <row r="24" spans="1:10" x14ac:dyDescent="0.2">
      <c r="A24" s="451"/>
      <c r="B24" s="422"/>
      <c r="C24" s="443"/>
      <c r="D24" s="352"/>
      <c r="E24" s="430"/>
      <c r="F24" s="352"/>
      <c r="G24" s="149" t="s">
        <v>266</v>
      </c>
      <c r="H24" s="157">
        <v>1400</v>
      </c>
      <c r="I24" s="80" t="s">
        <v>198</v>
      </c>
      <c r="J24" s="7" t="s">
        <v>268</v>
      </c>
    </row>
    <row r="25" spans="1:10" x14ac:dyDescent="0.2">
      <c r="A25" s="451"/>
      <c r="B25" s="422"/>
      <c r="C25" s="443"/>
      <c r="D25" s="352"/>
      <c r="E25" s="430"/>
      <c r="F25" s="352"/>
      <c r="G25" s="149" t="s">
        <v>257</v>
      </c>
      <c r="H25" s="157">
        <v>2106</v>
      </c>
      <c r="I25" s="80" t="s">
        <v>199</v>
      </c>
    </row>
    <row r="26" spans="1:10" ht="16" thickBot="1" x14ac:dyDescent="0.25">
      <c r="A26" s="452"/>
      <c r="B26" s="423"/>
      <c r="C26" s="444"/>
      <c r="D26" s="353"/>
      <c r="E26" s="431"/>
      <c r="F26" s="353"/>
      <c r="G26" s="150" t="s">
        <v>265</v>
      </c>
      <c r="H26" s="154">
        <v>33000</v>
      </c>
      <c r="I26" s="79" t="s">
        <v>245</v>
      </c>
    </row>
    <row r="27" spans="1:10" x14ac:dyDescent="0.2">
      <c r="A27" s="457" t="s">
        <v>110</v>
      </c>
      <c r="B27" s="360" t="s">
        <v>139</v>
      </c>
      <c r="C27" s="460" t="s">
        <v>239</v>
      </c>
      <c r="D27" s="348" t="s">
        <v>31</v>
      </c>
      <c r="E27" s="401" t="s">
        <v>133</v>
      </c>
      <c r="F27" s="348" t="s">
        <v>269</v>
      </c>
      <c r="G27" s="41" t="s">
        <v>257</v>
      </c>
      <c r="H27" s="264">
        <v>2150</v>
      </c>
      <c r="I27" s="21" t="s">
        <v>198</v>
      </c>
    </row>
    <row r="28" spans="1:10" ht="16" thickBot="1" x14ac:dyDescent="0.25">
      <c r="A28" s="459"/>
      <c r="B28" s="361"/>
      <c r="C28" s="461"/>
      <c r="D28" s="350"/>
      <c r="E28" s="402"/>
      <c r="F28" s="350"/>
      <c r="G28" s="159" t="s">
        <v>265</v>
      </c>
      <c r="H28" s="48">
        <f>24200*(ton/ston)</f>
        <v>21953.896816684963</v>
      </c>
      <c r="I28" s="28" t="s">
        <v>245</v>
      </c>
    </row>
    <row r="29" spans="1:10" ht="16" customHeight="1" x14ac:dyDescent="0.2">
      <c r="A29" s="451" t="s">
        <v>111</v>
      </c>
      <c r="B29" s="422" t="s">
        <v>139</v>
      </c>
      <c r="C29" s="443" t="s">
        <v>239</v>
      </c>
      <c r="D29" s="352" t="s">
        <v>12</v>
      </c>
      <c r="E29" s="430" t="s">
        <v>248</v>
      </c>
      <c r="F29" s="352" t="s">
        <v>11</v>
      </c>
      <c r="G29" s="149" t="s">
        <v>257</v>
      </c>
      <c r="H29" s="157">
        <v>130</v>
      </c>
      <c r="I29" s="80" t="s">
        <v>270</v>
      </c>
    </row>
    <row r="30" spans="1:10" x14ac:dyDescent="0.2">
      <c r="A30" s="451"/>
      <c r="B30" s="422"/>
      <c r="C30" s="443"/>
      <c r="D30" s="352"/>
      <c r="E30" s="430"/>
      <c r="F30" s="352"/>
      <c r="G30" s="149" t="s">
        <v>271</v>
      </c>
      <c r="H30" s="157">
        <v>65898</v>
      </c>
      <c r="I30" s="80" t="s">
        <v>199</v>
      </c>
      <c r="J30" s="7" t="s">
        <v>272</v>
      </c>
    </row>
    <row r="31" spans="1:10" ht="16" thickBot="1" x14ac:dyDescent="0.25">
      <c r="A31" s="451"/>
      <c r="B31" s="422"/>
      <c r="C31" s="443"/>
      <c r="D31" s="352"/>
      <c r="E31" s="430"/>
      <c r="F31" s="352"/>
      <c r="G31" s="149" t="s">
        <v>244</v>
      </c>
      <c r="H31" s="157">
        <v>6000</v>
      </c>
      <c r="I31" s="80" t="s">
        <v>245</v>
      </c>
    </row>
    <row r="32" spans="1:10" ht="32" customHeight="1" x14ac:dyDescent="0.2">
      <c r="A32" s="457" t="s">
        <v>112</v>
      </c>
      <c r="B32" s="360" t="s">
        <v>153</v>
      </c>
      <c r="C32" s="460" t="s">
        <v>273</v>
      </c>
      <c r="D32" s="348" t="s">
        <v>121</v>
      </c>
      <c r="E32" s="401" t="s">
        <v>248</v>
      </c>
      <c r="F32" s="348" t="s">
        <v>240</v>
      </c>
      <c r="G32" s="41" t="s">
        <v>12</v>
      </c>
      <c r="H32" s="20">
        <v>1800</v>
      </c>
      <c r="I32" s="21" t="s">
        <v>196</v>
      </c>
    </row>
    <row r="33" spans="1:11" x14ac:dyDescent="0.2">
      <c r="A33" s="458"/>
      <c r="B33" s="377"/>
      <c r="C33" s="387"/>
      <c r="D33" s="349"/>
      <c r="E33" s="411"/>
      <c r="F33" s="349"/>
      <c r="G33" s="42" t="s">
        <v>243</v>
      </c>
      <c r="H33" s="47">
        <v>413</v>
      </c>
      <c r="I33" s="22" t="s">
        <v>196</v>
      </c>
    </row>
    <row r="34" spans="1:11" ht="16" customHeight="1" thickBot="1" x14ac:dyDescent="0.25">
      <c r="A34" s="459"/>
      <c r="B34" s="361"/>
      <c r="C34" s="461"/>
      <c r="D34" s="350"/>
      <c r="E34" s="402"/>
      <c r="F34" s="350"/>
      <c r="G34" s="159" t="s">
        <v>265</v>
      </c>
      <c r="H34" s="48">
        <v>30000</v>
      </c>
      <c r="I34" s="28" t="s">
        <v>245</v>
      </c>
    </row>
    <row r="35" spans="1:11" ht="16" customHeight="1" x14ac:dyDescent="0.2">
      <c r="A35" s="450" t="s">
        <v>113</v>
      </c>
      <c r="B35" s="351" t="s">
        <v>139</v>
      </c>
      <c r="C35" s="442" t="s">
        <v>254</v>
      </c>
      <c r="D35" s="351" t="s">
        <v>31</v>
      </c>
      <c r="E35" s="445" t="s">
        <v>133</v>
      </c>
      <c r="F35" s="351" t="s">
        <v>269</v>
      </c>
      <c r="G35" s="155" t="s">
        <v>257</v>
      </c>
      <c r="H35" s="266">
        <v>0.76</v>
      </c>
      <c r="I35" s="152" t="s">
        <v>274</v>
      </c>
    </row>
    <row r="36" spans="1:11" x14ac:dyDescent="0.2">
      <c r="A36" s="451"/>
      <c r="B36" s="352"/>
      <c r="C36" s="443"/>
      <c r="D36" s="352"/>
      <c r="E36" s="430"/>
      <c r="F36" s="352"/>
      <c r="G36" s="149" t="s">
        <v>275</v>
      </c>
      <c r="H36" s="157">
        <f>8.8*1000000</f>
        <v>8800000</v>
      </c>
      <c r="I36" s="80" t="s">
        <v>245</v>
      </c>
    </row>
    <row r="37" spans="1:11" ht="16" thickBot="1" x14ac:dyDescent="0.25">
      <c r="A37" s="452"/>
      <c r="B37" s="353"/>
      <c r="C37" s="444"/>
      <c r="D37" s="353"/>
      <c r="E37" s="431"/>
      <c r="F37" s="353"/>
      <c r="G37" s="150" t="s">
        <v>244</v>
      </c>
      <c r="H37" s="77">
        <v>48000</v>
      </c>
      <c r="I37" s="79" t="s">
        <v>245</v>
      </c>
    </row>
    <row r="38" spans="1:11" x14ac:dyDescent="0.2">
      <c r="A38" s="462" t="s">
        <v>114</v>
      </c>
      <c r="B38" s="348" t="s">
        <v>139</v>
      </c>
      <c r="C38" s="401" t="s">
        <v>239</v>
      </c>
      <c r="D38" s="348" t="s">
        <v>31</v>
      </c>
      <c r="E38" s="401" t="s">
        <v>133</v>
      </c>
      <c r="F38" s="348" t="s">
        <v>269</v>
      </c>
      <c r="G38" s="41" t="s">
        <v>257</v>
      </c>
      <c r="H38" s="20">
        <f>AVERAGE(17650,28250)</f>
        <v>22950</v>
      </c>
      <c r="I38" s="21" t="s">
        <v>276</v>
      </c>
      <c r="J38" s="7" t="s">
        <v>278</v>
      </c>
    </row>
    <row r="39" spans="1:11" ht="16" thickBot="1" x14ac:dyDescent="0.25">
      <c r="A39" s="463"/>
      <c r="B39" s="350"/>
      <c r="C39" s="402"/>
      <c r="D39" s="350"/>
      <c r="E39" s="402"/>
      <c r="F39" s="350"/>
      <c r="G39" s="159" t="s">
        <v>265</v>
      </c>
      <c r="H39" s="24">
        <v>33000</v>
      </c>
      <c r="I39" s="28" t="s">
        <v>245</v>
      </c>
    </row>
    <row r="40" spans="1:11" x14ac:dyDescent="0.2">
      <c r="G40" s="3"/>
      <c r="H40" s="3"/>
      <c r="I40" s="3"/>
    </row>
    <row r="41" spans="1:11" x14ac:dyDescent="0.2">
      <c r="A41" s="30"/>
    </row>
    <row r="42" spans="1:11" ht="16" thickBot="1" x14ac:dyDescent="0.25">
      <c r="A42" s="30" t="s">
        <v>378</v>
      </c>
    </row>
    <row r="43" spans="1:11" ht="16" thickBot="1" x14ac:dyDescent="0.25">
      <c r="A43" s="166" t="s">
        <v>237</v>
      </c>
      <c r="B43" s="166" t="s">
        <v>135</v>
      </c>
      <c r="C43" s="166" t="s">
        <v>238</v>
      </c>
      <c r="D43" s="166" t="s">
        <v>118</v>
      </c>
      <c r="E43" s="166" t="s">
        <v>247</v>
      </c>
      <c r="F43" s="166" t="s">
        <v>4</v>
      </c>
      <c r="G43" s="167" t="s">
        <v>63</v>
      </c>
      <c r="H43" s="167" t="s">
        <v>64</v>
      </c>
      <c r="I43" s="167" t="s">
        <v>65</v>
      </c>
      <c r="J43" s="168" t="s">
        <v>5</v>
      </c>
      <c r="K43" s="160"/>
    </row>
    <row r="44" spans="1:11" ht="17" thickBot="1" x14ac:dyDescent="0.25">
      <c r="A44" s="53" t="s">
        <v>93</v>
      </c>
      <c r="B44" s="53" t="s">
        <v>139</v>
      </c>
      <c r="C44" s="53" t="s">
        <v>239</v>
      </c>
      <c r="D44" s="53" t="s">
        <v>31</v>
      </c>
      <c r="E44" s="53" t="s">
        <v>133</v>
      </c>
      <c r="F44" s="53" t="s">
        <v>240</v>
      </c>
      <c r="G44" s="158" t="s">
        <v>243</v>
      </c>
      <c r="H44" s="161">
        <f>H4/H5</f>
        <v>57.738705882352939</v>
      </c>
      <c r="I44" s="158" t="s">
        <v>14</v>
      </c>
      <c r="J44" s="55" t="s">
        <v>76</v>
      </c>
    </row>
    <row r="45" spans="1:11" ht="33" thickBot="1" x14ac:dyDescent="0.25">
      <c r="A45" s="123" t="s">
        <v>504</v>
      </c>
      <c r="B45" s="123" t="s">
        <v>146</v>
      </c>
      <c r="C45" s="123" t="s">
        <v>511</v>
      </c>
      <c r="D45" s="123" t="s">
        <v>344</v>
      </c>
      <c r="E45" s="123" t="s">
        <v>248</v>
      </c>
      <c r="F45" s="123" t="s">
        <v>240</v>
      </c>
      <c r="G45" s="162" t="s">
        <v>243</v>
      </c>
      <c r="H45" s="163">
        <f>(H6*(cubicm/acreft))/H7</f>
        <v>180.43080269710129</v>
      </c>
      <c r="I45" s="162" t="s">
        <v>14</v>
      </c>
      <c r="J45" s="164" t="s">
        <v>76</v>
      </c>
    </row>
    <row r="46" spans="1:11" ht="33" thickBot="1" x14ac:dyDescent="0.25">
      <c r="A46" s="46" t="s">
        <v>253</v>
      </c>
      <c r="B46" s="46" t="s">
        <v>139</v>
      </c>
      <c r="C46" s="46" t="s">
        <v>254</v>
      </c>
      <c r="D46" s="46" t="s">
        <v>119</v>
      </c>
      <c r="E46" s="46" t="s">
        <v>255</v>
      </c>
      <c r="F46" s="46" t="s">
        <v>252</v>
      </c>
      <c r="G46" s="267" t="s">
        <v>243</v>
      </c>
      <c r="H46" s="268">
        <f>H8/H9</f>
        <v>166.64077399380804</v>
      </c>
      <c r="I46" s="267" t="s">
        <v>14</v>
      </c>
      <c r="J46" s="269" t="s">
        <v>76</v>
      </c>
    </row>
    <row r="47" spans="1:11" ht="65" thickBot="1" x14ac:dyDescent="0.25">
      <c r="A47" s="153" t="s">
        <v>98</v>
      </c>
      <c r="B47" s="153" t="s">
        <v>139</v>
      </c>
      <c r="C47" s="153" t="s">
        <v>239</v>
      </c>
      <c r="D47" s="153" t="s">
        <v>12</v>
      </c>
      <c r="E47" s="153" t="s">
        <v>248</v>
      </c>
      <c r="F47" s="153" t="s">
        <v>240</v>
      </c>
      <c r="G47" s="67" t="s">
        <v>243</v>
      </c>
      <c r="H47" s="165">
        <f>H13/H14</f>
        <v>86</v>
      </c>
      <c r="I47" s="67" t="s">
        <v>14</v>
      </c>
      <c r="J47" s="127" t="s">
        <v>76</v>
      </c>
    </row>
    <row r="48" spans="1:11" ht="33" thickBot="1" x14ac:dyDescent="0.25">
      <c r="A48" s="46" t="s">
        <v>501</v>
      </c>
      <c r="B48" s="46" t="s">
        <v>146</v>
      </c>
      <c r="C48" s="46" t="s">
        <v>511</v>
      </c>
      <c r="D48" s="46" t="s">
        <v>344</v>
      </c>
      <c r="E48" s="46" t="s">
        <v>248</v>
      </c>
      <c r="F48" s="46" t="s">
        <v>240</v>
      </c>
      <c r="G48" s="267" t="s">
        <v>243</v>
      </c>
      <c r="H48" s="268">
        <f>(H15*(cubicm/acreft))/H16</f>
        <v>207.73824874619891</v>
      </c>
      <c r="I48" s="267" t="s">
        <v>14</v>
      </c>
      <c r="J48" s="269" t="s">
        <v>76</v>
      </c>
    </row>
    <row r="49" spans="1:11" ht="49" thickBot="1" x14ac:dyDescent="0.25">
      <c r="A49" s="153" t="s">
        <v>377</v>
      </c>
      <c r="B49" s="153" t="s">
        <v>139</v>
      </c>
      <c r="C49" s="153" t="s">
        <v>261</v>
      </c>
      <c r="D49" s="153" t="s">
        <v>258</v>
      </c>
      <c r="E49" s="153" t="s">
        <v>259</v>
      </c>
      <c r="F49" s="153" t="s">
        <v>260</v>
      </c>
      <c r="G49" s="67" t="s">
        <v>243</v>
      </c>
      <c r="H49" s="165">
        <f>(H18*hr/yr)/H19</f>
        <v>54.75</v>
      </c>
      <c r="I49" s="67" t="s">
        <v>14</v>
      </c>
      <c r="J49" s="127" t="s">
        <v>76</v>
      </c>
    </row>
    <row r="50" spans="1:11" ht="17" thickBot="1" x14ac:dyDescent="0.25">
      <c r="A50" s="46" t="s">
        <v>108</v>
      </c>
      <c r="B50" s="46" t="s">
        <v>150</v>
      </c>
      <c r="C50" s="46" t="s">
        <v>191</v>
      </c>
      <c r="D50" s="46" t="s">
        <v>121</v>
      </c>
      <c r="E50" s="46" t="s">
        <v>248</v>
      </c>
      <c r="F50" s="46" t="s">
        <v>240</v>
      </c>
      <c r="G50" s="267" t="s">
        <v>243</v>
      </c>
      <c r="H50" s="268">
        <f>(H20*(cubicm/acreft))/H21</f>
        <v>21.227867328790907</v>
      </c>
      <c r="I50" s="267" t="s">
        <v>14</v>
      </c>
      <c r="J50" s="269" t="s">
        <v>76</v>
      </c>
    </row>
    <row r="51" spans="1:11" ht="33" thickBot="1" x14ac:dyDescent="0.25">
      <c r="A51" s="123" t="s">
        <v>109</v>
      </c>
      <c r="B51" s="123" t="s">
        <v>148</v>
      </c>
      <c r="C51" s="123" t="s">
        <v>267</v>
      </c>
      <c r="D51" s="123" t="s">
        <v>120</v>
      </c>
      <c r="E51" s="123" t="s">
        <v>133</v>
      </c>
      <c r="F51" s="123" t="s">
        <v>264</v>
      </c>
      <c r="G51" s="162" t="s">
        <v>243</v>
      </c>
      <c r="H51" s="163">
        <f>(H25*day/yr)/H26</f>
        <v>23.293636363636363</v>
      </c>
      <c r="I51" s="162" t="s">
        <v>14</v>
      </c>
      <c r="J51" s="164" t="s">
        <v>82</v>
      </c>
    </row>
    <row r="52" spans="1:11" ht="33" thickBot="1" x14ac:dyDescent="0.25">
      <c r="A52" s="54" t="s">
        <v>110</v>
      </c>
      <c r="B52" s="54" t="s">
        <v>139</v>
      </c>
      <c r="C52" s="54" t="s">
        <v>239</v>
      </c>
      <c r="D52" s="54" t="s">
        <v>31</v>
      </c>
      <c r="E52" s="54" t="s">
        <v>133</v>
      </c>
      <c r="F52" s="54" t="s">
        <v>269</v>
      </c>
      <c r="G52" s="31" t="s">
        <v>243</v>
      </c>
      <c r="H52" s="270">
        <f>(H27*(cubicm/gal)*(min/yr))/H28</f>
        <v>194.84775827869717</v>
      </c>
      <c r="I52" s="31" t="s">
        <v>14</v>
      </c>
      <c r="J52" s="262" t="s">
        <v>76</v>
      </c>
    </row>
    <row r="53" spans="1:11" ht="17" thickBot="1" x14ac:dyDescent="0.25">
      <c r="A53" s="123" t="s">
        <v>111</v>
      </c>
      <c r="B53" s="123" t="s">
        <v>139</v>
      </c>
      <c r="C53" s="123" t="s">
        <v>239</v>
      </c>
      <c r="D53" s="123" t="s">
        <v>12</v>
      </c>
      <c r="E53" s="123" t="s">
        <v>248</v>
      </c>
      <c r="F53" s="123" t="s">
        <v>11</v>
      </c>
      <c r="G53" s="162" t="s">
        <v>243</v>
      </c>
      <c r="H53" s="163">
        <f>H29+((H30/150356)*(day/yr))</f>
        <v>289.97213280480992</v>
      </c>
      <c r="I53" s="162" t="s">
        <v>14</v>
      </c>
      <c r="J53" s="164" t="s">
        <v>76</v>
      </c>
      <c r="K53" s="7" t="s">
        <v>379</v>
      </c>
    </row>
    <row r="54" spans="1:11" ht="33" thickBot="1" x14ac:dyDescent="0.25">
      <c r="A54" s="54" t="s">
        <v>112</v>
      </c>
      <c r="B54" s="54" t="s">
        <v>153</v>
      </c>
      <c r="C54" s="54" t="s">
        <v>273</v>
      </c>
      <c r="D54" s="54" t="s">
        <v>121</v>
      </c>
      <c r="E54" s="54" t="s">
        <v>248</v>
      </c>
      <c r="F54" s="54" t="s">
        <v>240</v>
      </c>
      <c r="G54" s="31" t="s">
        <v>243</v>
      </c>
      <c r="H54" s="270">
        <f>(H33*(hr/yr))/H34</f>
        <v>120.596</v>
      </c>
      <c r="I54" s="31" t="s">
        <v>14</v>
      </c>
      <c r="J54" s="262" t="s">
        <v>76</v>
      </c>
    </row>
    <row r="55" spans="1:11" ht="17" thickBot="1" x14ac:dyDescent="0.25">
      <c r="A55" s="123" t="s">
        <v>113</v>
      </c>
      <c r="B55" s="123" t="s">
        <v>139</v>
      </c>
      <c r="C55" s="123" t="s">
        <v>254</v>
      </c>
      <c r="D55" s="123" t="s">
        <v>31</v>
      </c>
      <c r="E55" s="123" t="s">
        <v>133</v>
      </c>
      <c r="F55" s="123" t="s">
        <v>269</v>
      </c>
      <c r="G55" s="162" t="s">
        <v>243</v>
      </c>
      <c r="H55" s="163">
        <f>(H35*H36)/H37</f>
        <v>139.33333333333334</v>
      </c>
      <c r="I55" s="162" t="s">
        <v>14</v>
      </c>
      <c r="J55" s="164" t="s">
        <v>76</v>
      </c>
    </row>
    <row r="56" spans="1:11" ht="33" thickBot="1" x14ac:dyDescent="0.25">
      <c r="A56" s="261" t="s">
        <v>114</v>
      </c>
      <c r="B56" s="261" t="s">
        <v>139</v>
      </c>
      <c r="C56" s="261" t="s">
        <v>239</v>
      </c>
      <c r="D56" s="261" t="s">
        <v>31</v>
      </c>
      <c r="E56" s="261" t="s">
        <v>133</v>
      </c>
      <c r="F56" s="261" t="s">
        <v>269</v>
      </c>
      <c r="G56" s="265" t="s">
        <v>243</v>
      </c>
      <c r="H56" s="271">
        <f>(H38*(cubicm/cubicft)*(hr/yr))/H39</f>
        <v>172.51121539137577</v>
      </c>
      <c r="I56" s="265" t="s">
        <v>14</v>
      </c>
      <c r="J56" s="263" t="s">
        <v>82</v>
      </c>
    </row>
  </sheetData>
  <mergeCells count="78">
    <mergeCell ref="F27:F28"/>
    <mergeCell ref="D17:D19"/>
    <mergeCell ref="E17:E19"/>
    <mergeCell ref="F17:F19"/>
    <mergeCell ref="D20:D21"/>
    <mergeCell ref="E20:E21"/>
    <mergeCell ref="F20:F21"/>
    <mergeCell ref="A27:A28"/>
    <mergeCell ref="B27:B28"/>
    <mergeCell ref="C27:C28"/>
    <mergeCell ref="D27:D28"/>
    <mergeCell ref="E27:E28"/>
    <mergeCell ref="F4:F5"/>
    <mergeCell ref="D22:D26"/>
    <mergeCell ref="E22:E26"/>
    <mergeCell ref="F22:F26"/>
    <mergeCell ref="F8:F9"/>
    <mergeCell ref="F10:F14"/>
    <mergeCell ref="F15:F16"/>
    <mergeCell ref="D8:D9"/>
    <mergeCell ref="E8:E9"/>
    <mergeCell ref="D4:D5"/>
    <mergeCell ref="D15:D16"/>
    <mergeCell ref="E15:E16"/>
    <mergeCell ref="E10:E14"/>
    <mergeCell ref="D10:D14"/>
    <mergeCell ref="F6:F7"/>
    <mergeCell ref="D6:D7"/>
    <mergeCell ref="F38:F39"/>
    <mergeCell ref="F35:F37"/>
    <mergeCell ref="A29:A31"/>
    <mergeCell ref="B29:B31"/>
    <mergeCell ref="C29:C31"/>
    <mergeCell ref="D29:D31"/>
    <mergeCell ref="E29:E31"/>
    <mergeCell ref="F29:F31"/>
    <mergeCell ref="A32:A34"/>
    <mergeCell ref="D32:D34"/>
    <mergeCell ref="E32:E34"/>
    <mergeCell ref="F32:F34"/>
    <mergeCell ref="B32:B34"/>
    <mergeCell ref="C32:C34"/>
    <mergeCell ref="A35:A37"/>
    <mergeCell ref="A38:A39"/>
    <mergeCell ref="A22:A26"/>
    <mergeCell ref="B22:B26"/>
    <mergeCell ref="C22:C26"/>
    <mergeCell ref="A10:A14"/>
    <mergeCell ref="B10:B14"/>
    <mergeCell ref="A15:A16"/>
    <mergeCell ref="B15:B16"/>
    <mergeCell ref="C15:C16"/>
    <mergeCell ref="C10:C14"/>
    <mergeCell ref="A17:A19"/>
    <mergeCell ref="B17:B19"/>
    <mergeCell ref="C17:C19"/>
    <mergeCell ref="E4:E5"/>
    <mergeCell ref="A20:A21"/>
    <mergeCell ref="B20:B21"/>
    <mergeCell ref="C20:C21"/>
    <mergeCell ref="A4:A5"/>
    <mergeCell ref="B4:B5"/>
    <mergeCell ref="C4:C5"/>
    <mergeCell ref="E6:E7"/>
    <mergeCell ref="C8:C9"/>
    <mergeCell ref="B8:B9"/>
    <mergeCell ref="A8:A9"/>
    <mergeCell ref="A6:A7"/>
    <mergeCell ref="B6:B7"/>
    <mergeCell ref="C6:C7"/>
    <mergeCell ref="D38:D39"/>
    <mergeCell ref="E38:E39"/>
    <mergeCell ref="C35:C37"/>
    <mergeCell ref="B35:B37"/>
    <mergeCell ref="B38:B39"/>
    <mergeCell ref="C38:C39"/>
    <mergeCell ref="D35:D37"/>
    <mergeCell ref="E35:E3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E167-9037-E340-9AC9-0ADBD72F7D7B}">
  <dimension ref="A2:L23"/>
  <sheetViews>
    <sheetView workbookViewId="0">
      <selection activeCell="H15" sqref="H15:I15"/>
    </sheetView>
  </sheetViews>
  <sheetFormatPr baseColWidth="10" defaultRowHeight="15" x14ac:dyDescent="0.2"/>
  <cols>
    <col min="1" max="1" width="20" customWidth="1"/>
    <col min="3" max="3" width="11.33203125" bestFit="1" customWidth="1"/>
    <col min="4" max="4" width="15.1640625" bestFit="1" customWidth="1"/>
    <col min="6" max="6" width="25" customWidth="1"/>
    <col min="7" max="9" width="11.6640625" bestFit="1" customWidth="1"/>
    <col min="10" max="10" width="12.5" customWidth="1"/>
  </cols>
  <sheetData>
    <row r="2" spans="1:12" ht="16" thickBot="1" x14ac:dyDescent="0.25">
      <c r="A2" s="32" t="s">
        <v>433</v>
      </c>
    </row>
    <row r="3" spans="1:12" ht="16" thickBot="1" x14ac:dyDescent="0.25">
      <c r="A3" s="192" t="s">
        <v>286</v>
      </c>
      <c r="B3" s="192" t="s">
        <v>37</v>
      </c>
      <c r="C3" s="192" t="s">
        <v>118</v>
      </c>
      <c r="D3" s="192" t="s">
        <v>249</v>
      </c>
      <c r="E3" s="192" t="s">
        <v>127</v>
      </c>
      <c r="F3" s="187" t="s">
        <v>279</v>
      </c>
      <c r="G3" s="187">
        <v>2022</v>
      </c>
      <c r="H3" s="187">
        <v>2023</v>
      </c>
      <c r="I3" s="187">
        <v>2024</v>
      </c>
      <c r="J3" s="192" t="s">
        <v>122</v>
      </c>
      <c r="K3" s="43"/>
    </row>
    <row r="4" spans="1:12" ht="15" customHeight="1" x14ac:dyDescent="0.2">
      <c r="A4" s="360" t="s">
        <v>287</v>
      </c>
      <c r="B4" s="349" t="s">
        <v>15</v>
      </c>
      <c r="C4" s="377" t="s">
        <v>290</v>
      </c>
      <c r="D4" s="377" t="s">
        <v>264</v>
      </c>
      <c r="E4" s="377" t="s">
        <v>280</v>
      </c>
      <c r="F4" s="3" t="s">
        <v>281</v>
      </c>
      <c r="G4" s="3">
        <v>1383425</v>
      </c>
      <c r="H4" s="3">
        <v>1491263</v>
      </c>
      <c r="I4" s="3">
        <v>1134580</v>
      </c>
      <c r="J4" s="355" t="s">
        <v>284</v>
      </c>
    </row>
    <row r="5" spans="1:12" x14ac:dyDescent="0.2">
      <c r="A5" s="377"/>
      <c r="B5" s="349"/>
      <c r="C5" s="377"/>
      <c r="D5" s="377"/>
      <c r="E5" s="377"/>
      <c r="F5" s="182" t="s">
        <v>283</v>
      </c>
      <c r="G5" s="182"/>
      <c r="H5" s="183">
        <f>ABS((H4-G4)/G4)</f>
        <v>7.7950015360427921E-2</v>
      </c>
      <c r="I5" s="183">
        <f>ABS((I4-H4)/H4)</f>
        <v>0.2391818210469917</v>
      </c>
      <c r="J5" s="355"/>
    </row>
    <row r="6" spans="1:12" x14ac:dyDescent="0.2">
      <c r="A6" s="377"/>
      <c r="B6" s="349"/>
      <c r="C6" s="377"/>
      <c r="D6" s="377"/>
      <c r="E6" s="377"/>
      <c r="F6" s="3" t="s">
        <v>282</v>
      </c>
      <c r="G6" s="3">
        <v>2484</v>
      </c>
      <c r="H6" s="3">
        <v>2749</v>
      </c>
      <c r="I6" s="3">
        <v>3201</v>
      </c>
      <c r="J6" s="355"/>
    </row>
    <row r="7" spans="1:12" x14ac:dyDescent="0.2">
      <c r="A7" s="377"/>
      <c r="B7" s="349"/>
      <c r="C7" s="377"/>
      <c r="D7" s="377"/>
      <c r="E7" s="377"/>
      <c r="F7" s="182" t="s">
        <v>283</v>
      </c>
      <c r="G7" s="182"/>
      <c r="H7" s="183">
        <f>ABS((H6-G6)/G6)</f>
        <v>0.10668276972624799</v>
      </c>
      <c r="I7" s="183">
        <f>ABS((I6-H6)/H6)</f>
        <v>0.16442342670061841</v>
      </c>
      <c r="J7" s="355"/>
    </row>
    <row r="8" spans="1:12" ht="32" x14ac:dyDescent="0.2">
      <c r="A8" s="377"/>
      <c r="B8" s="349"/>
      <c r="C8" s="377"/>
      <c r="D8" s="377"/>
      <c r="E8" s="377"/>
      <c r="F8" s="31" t="s">
        <v>292</v>
      </c>
      <c r="G8" s="16">
        <f>(G6*1000000*(cubicm/liter))/G4</f>
        <v>1.7955436687930317</v>
      </c>
      <c r="H8" s="16">
        <f>(H6*1000000*(cubicm/liter))/H4</f>
        <v>1.8434038797985333</v>
      </c>
      <c r="I8" s="16">
        <f>(I6*1000000*(cubicm/liter))/I4</f>
        <v>2.82130832554778</v>
      </c>
      <c r="J8" s="355"/>
    </row>
    <row r="9" spans="1:12" ht="16" thickBot="1" x14ac:dyDescent="0.25">
      <c r="A9" s="377"/>
      <c r="B9" s="349"/>
      <c r="C9" s="377"/>
      <c r="D9" s="377"/>
      <c r="E9" s="377"/>
      <c r="F9" s="182" t="s">
        <v>283</v>
      </c>
      <c r="G9" s="182"/>
      <c r="H9" s="183">
        <f>ABS((H8-G8)/G8)</f>
        <v>2.6654996944559563E-2</v>
      </c>
      <c r="I9" s="183">
        <f>ABS((I8-H8)/H8)</f>
        <v>0.53048843851631822</v>
      </c>
      <c r="J9" s="355"/>
      <c r="L9" s="50"/>
    </row>
    <row r="10" spans="1:12" ht="15" customHeight="1" x14ac:dyDescent="0.2">
      <c r="A10" s="421" t="s">
        <v>285</v>
      </c>
      <c r="B10" s="351" t="s">
        <v>10</v>
      </c>
      <c r="C10" s="351" t="s">
        <v>12</v>
      </c>
      <c r="D10" s="421" t="s">
        <v>11</v>
      </c>
      <c r="E10" s="421" t="s">
        <v>130</v>
      </c>
      <c r="F10" s="151" t="s">
        <v>281</v>
      </c>
      <c r="G10" s="151">
        <v>120000</v>
      </c>
      <c r="H10" s="151">
        <v>180000</v>
      </c>
      <c r="I10" s="151">
        <v>201000</v>
      </c>
      <c r="J10" s="468" t="s">
        <v>289</v>
      </c>
    </row>
    <row r="11" spans="1:12" x14ac:dyDescent="0.2">
      <c r="A11" s="422"/>
      <c r="B11" s="352"/>
      <c r="C11" s="352"/>
      <c r="D11" s="422"/>
      <c r="E11" s="422"/>
      <c r="F11" s="188" t="s">
        <v>283</v>
      </c>
      <c r="G11" s="188"/>
      <c r="H11" s="189">
        <f>ABS((H10-G10)/G10)</f>
        <v>0.5</v>
      </c>
      <c r="I11" s="189">
        <f>ABS((I10-H10)/H10)</f>
        <v>0.11666666666666667</v>
      </c>
      <c r="J11" s="469"/>
    </row>
    <row r="12" spans="1:12" x14ac:dyDescent="0.2">
      <c r="A12" s="422"/>
      <c r="B12" s="352"/>
      <c r="C12" s="352"/>
      <c r="D12" s="422"/>
      <c r="E12" s="422"/>
      <c r="F12" s="59" t="s">
        <v>288</v>
      </c>
      <c r="G12" s="59">
        <v>29377645</v>
      </c>
      <c r="H12" s="59">
        <v>32615350</v>
      </c>
      <c r="I12" s="59">
        <v>29286059</v>
      </c>
      <c r="J12" s="469"/>
    </row>
    <row r="13" spans="1:12" x14ac:dyDescent="0.2">
      <c r="A13" s="422"/>
      <c r="B13" s="352"/>
      <c r="C13" s="352"/>
      <c r="D13" s="422"/>
      <c r="E13" s="422"/>
      <c r="F13" s="188" t="s">
        <v>283</v>
      </c>
      <c r="G13" s="188"/>
      <c r="H13" s="189">
        <f>ABS((H12-G12)/G12)</f>
        <v>0.1102098211071718</v>
      </c>
      <c r="I13" s="189">
        <f>ABS((I12-H12)/H12)</f>
        <v>0.102077426733118</v>
      </c>
      <c r="J13" s="469"/>
    </row>
    <row r="14" spans="1:12" ht="32" x14ac:dyDescent="0.2">
      <c r="A14" s="422"/>
      <c r="B14" s="352"/>
      <c r="C14" s="352"/>
      <c r="D14" s="422"/>
      <c r="E14" s="422"/>
      <c r="F14" s="67" t="s">
        <v>292</v>
      </c>
      <c r="G14" s="157">
        <f>G12/G10</f>
        <v>244.81370833333332</v>
      </c>
      <c r="H14" s="157">
        <f t="shared" ref="H14:I14" si="0">H12/H10</f>
        <v>181.19638888888889</v>
      </c>
      <c r="I14" s="157">
        <f t="shared" si="0"/>
        <v>145.70178606965175</v>
      </c>
      <c r="J14" s="469"/>
    </row>
    <row r="15" spans="1:12" ht="16" thickBot="1" x14ac:dyDescent="0.25">
      <c r="A15" s="423"/>
      <c r="B15" s="353"/>
      <c r="C15" s="353"/>
      <c r="D15" s="423"/>
      <c r="E15" s="423"/>
      <c r="F15" s="190" t="s">
        <v>283</v>
      </c>
      <c r="G15" s="190"/>
      <c r="H15" s="191">
        <f>ABS((H14-G14)/G14)</f>
        <v>0.25986011926188546</v>
      </c>
      <c r="I15" s="191">
        <f>ABS((I14-H14)/H14)</f>
        <v>0.19589023289532953</v>
      </c>
      <c r="J15" s="470"/>
    </row>
    <row r="16" spans="1:12" ht="15" customHeight="1" x14ac:dyDescent="0.2">
      <c r="A16" s="377" t="s">
        <v>291</v>
      </c>
      <c r="B16" s="349" t="s">
        <v>18</v>
      </c>
      <c r="C16" s="349" t="s">
        <v>12</v>
      </c>
      <c r="D16" s="377" t="s">
        <v>321</v>
      </c>
      <c r="E16" s="377" t="s">
        <v>130</v>
      </c>
      <c r="F16" s="3" t="s">
        <v>281</v>
      </c>
      <c r="G16" s="184"/>
      <c r="H16" s="184">
        <v>6000</v>
      </c>
      <c r="I16" s="184">
        <v>25400</v>
      </c>
      <c r="J16" s="355" t="s">
        <v>289</v>
      </c>
      <c r="K16" t="s">
        <v>294</v>
      </c>
    </row>
    <row r="17" spans="1:11" x14ac:dyDescent="0.2">
      <c r="A17" s="377"/>
      <c r="B17" s="349"/>
      <c r="C17" s="349"/>
      <c r="D17" s="377"/>
      <c r="E17" s="377"/>
      <c r="F17" s="182" t="s">
        <v>283</v>
      </c>
      <c r="G17" s="184"/>
      <c r="H17" s="183"/>
      <c r="I17" s="183">
        <f>ABS((I16-H16)/H16)</f>
        <v>3.2333333333333334</v>
      </c>
      <c r="J17" s="355"/>
      <c r="K17" t="s">
        <v>322</v>
      </c>
    </row>
    <row r="18" spans="1:11" ht="32" x14ac:dyDescent="0.2">
      <c r="A18" s="377"/>
      <c r="B18" s="349"/>
      <c r="C18" s="349"/>
      <c r="D18" s="377"/>
      <c r="E18" s="377"/>
      <c r="F18" s="31" t="s">
        <v>293</v>
      </c>
      <c r="G18" s="47"/>
      <c r="H18" s="47">
        <f>424.7-33</f>
        <v>391.7</v>
      </c>
      <c r="I18" s="47">
        <f>104.2-1.6</f>
        <v>102.60000000000001</v>
      </c>
      <c r="J18" s="355"/>
    </row>
    <row r="19" spans="1:11" ht="16" thickBot="1" x14ac:dyDescent="0.25">
      <c r="A19" s="361"/>
      <c r="B19" s="350"/>
      <c r="C19" s="350"/>
      <c r="D19" s="361"/>
      <c r="E19" s="361"/>
      <c r="F19" s="185" t="s">
        <v>283</v>
      </c>
      <c r="G19" s="185"/>
      <c r="H19" s="186"/>
      <c r="I19" s="186">
        <f>ABS((I18-H18)/H18)</f>
        <v>0.73806484554505991</v>
      </c>
      <c r="J19" s="403"/>
    </row>
    <row r="21" spans="1:11" x14ac:dyDescent="0.2">
      <c r="G21" s="50"/>
    </row>
    <row r="23" spans="1:11" x14ac:dyDescent="0.2">
      <c r="B23" s="50"/>
    </row>
  </sheetData>
  <mergeCells count="18">
    <mergeCell ref="B4:B9"/>
    <mergeCell ref="A4:A9"/>
    <mergeCell ref="J10:J15"/>
    <mergeCell ref="D4:D9"/>
    <mergeCell ref="D10:D15"/>
    <mergeCell ref="A10:A15"/>
    <mergeCell ref="B10:B15"/>
    <mergeCell ref="C10:C15"/>
    <mergeCell ref="E10:E15"/>
    <mergeCell ref="J4:J9"/>
    <mergeCell ref="E4:E9"/>
    <mergeCell ref="C4:C9"/>
    <mergeCell ref="A16:A19"/>
    <mergeCell ref="B16:B19"/>
    <mergeCell ref="C16:C19"/>
    <mergeCell ref="E16:E19"/>
    <mergeCell ref="J16:J19"/>
    <mergeCell ref="D16:D19"/>
  </mergeCells>
  <hyperlinks>
    <hyperlink ref="J4:J7" r:id="rId1" display="Sustainability Report 2024" xr:uid="{CC83D931-0F4A-D442-B324-B9223956386A}"/>
    <hyperlink ref="J10:J13" r:id="rId2" display="Annual Report 2024" xr:uid="{CB09E35D-92DC-A142-8E4F-8348AE11F97C}"/>
    <hyperlink ref="J16:J19" r:id="rId3" display="Annual Report 2024" xr:uid="{A64ECC66-6B0B-A24C-BA7D-223A71F74DEA}"/>
    <hyperlink ref="J4:J9" r:id="rId4" display="Sustainability Report 2024" xr:uid="{957E3C6F-F0FA-BE46-8B48-633A83EFA2F3}"/>
    <hyperlink ref="J10:J15" r:id="rId5" display="Annual Report 2024" xr:uid="{BCD5316F-826B-6947-A3BF-B02B42387FB6}"/>
  </hyperlinks>
  <pageMargins left="0.7" right="0.7" top="0.75" bottom="0.75" header="0.3" footer="0.3"/>
  <ignoredErrors>
    <ignoredError sqref="H14:I14 H8:I8 I1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21D20-BACE-1C43-960A-AC958CC4E391}">
  <dimension ref="A2:CM498"/>
  <sheetViews>
    <sheetView topLeftCell="A3" zoomScale="150" zoomScaleNormal="150" workbookViewId="0">
      <selection activeCell="F37" sqref="F37"/>
    </sheetView>
  </sheetViews>
  <sheetFormatPr baseColWidth="10" defaultRowHeight="15" x14ac:dyDescent="0.2"/>
  <cols>
    <col min="1" max="1" width="33.6640625" bestFit="1" customWidth="1"/>
    <col min="2" max="2" width="21.33203125" bestFit="1" customWidth="1"/>
    <col min="3" max="3" width="13.6640625" bestFit="1" customWidth="1"/>
    <col min="4" max="4" width="22.83203125" bestFit="1" customWidth="1"/>
    <col min="5" max="5" width="13.6640625" bestFit="1" customWidth="1"/>
    <col min="6" max="6" width="31.6640625" bestFit="1" customWidth="1"/>
    <col min="7" max="7" width="14.6640625" bestFit="1" customWidth="1"/>
    <col min="8" max="11" width="13.6640625" bestFit="1" customWidth="1"/>
    <col min="12" max="12" width="31.33203125" bestFit="1" customWidth="1"/>
    <col min="13" max="13" width="14.6640625" bestFit="1" customWidth="1"/>
    <col min="14" max="15" width="13.6640625" bestFit="1" customWidth="1"/>
    <col min="16" max="16" width="14" bestFit="1" customWidth="1"/>
    <col min="17" max="18" width="13.6640625" bestFit="1" customWidth="1"/>
    <col min="19" max="19" width="14.6640625" bestFit="1" customWidth="1"/>
    <col min="20" max="21" width="13.5" bestFit="1" customWidth="1"/>
    <col min="22" max="22" width="14" bestFit="1" customWidth="1"/>
    <col min="23" max="23" width="13.5" bestFit="1" customWidth="1"/>
    <col min="24" max="25" width="14.5" bestFit="1" customWidth="1"/>
    <col min="26" max="31" width="13.33203125" bestFit="1" customWidth="1"/>
    <col min="32" max="37" width="11.6640625" bestFit="1" customWidth="1"/>
    <col min="38" max="46" width="11.5" bestFit="1" customWidth="1"/>
    <col min="47" max="47" width="13.6640625" bestFit="1" customWidth="1"/>
    <col min="48" max="48" width="13.83203125" bestFit="1" customWidth="1"/>
    <col min="49" max="50" width="14" bestFit="1" customWidth="1"/>
    <col min="51" max="54" width="14.1640625" bestFit="1" customWidth="1"/>
    <col min="55" max="55" width="14.83203125" bestFit="1" customWidth="1"/>
    <col min="56" max="56" width="13.83203125" bestFit="1" customWidth="1"/>
    <col min="57" max="58" width="14" bestFit="1" customWidth="1"/>
    <col min="59" max="59" width="13.1640625" bestFit="1" customWidth="1"/>
    <col min="60" max="60" width="13.83203125" bestFit="1" customWidth="1"/>
    <col min="61" max="61" width="14.1640625" bestFit="1" customWidth="1"/>
    <col min="62" max="91" width="11.5" bestFit="1" customWidth="1"/>
  </cols>
  <sheetData>
    <row r="2" spans="1:39" ht="16" thickBot="1" x14ac:dyDescent="0.25">
      <c r="A2" s="32" t="s">
        <v>575</v>
      </c>
    </row>
    <row r="3" spans="1:39" ht="16" thickBot="1" x14ac:dyDescent="0.25">
      <c r="H3" s="436" t="s">
        <v>405</v>
      </c>
      <c r="I3" s="471"/>
      <c r="J3" s="471"/>
      <c r="K3" s="437"/>
      <c r="L3" s="436" t="s">
        <v>413</v>
      </c>
      <c r="M3" s="471"/>
      <c r="N3" s="471"/>
      <c r="O3" s="437"/>
      <c r="V3" s="474"/>
      <c r="W3" s="474"/>
      <c r="X3" s="474"/>
      <c r="Y3" s="474"/>
      <c r="Z3" s="474"/>
      <c r="AA3" s="474"/>
      <c r="AB3" s="474"/>
      <c r="AC3" s="474"/>
      <c r="AD3" s="474"/>
      <c r="AE3" s="474"/>
      <c r="AF3" s="474"/>
      <c r="AG3" s="474"/>
      <c r="AH3" s="474"/>
      <c r="AI3" s="474"/>
      <c r="AJ3" s="474"/>
      <c r="AK3" s="474"/>
      <c r="AL3" s="474"/>
      <c r="AM3" s="474"/>
    </row>
    <row r="4" spans="1:39" ht="16" thickBot="1" x14ac:dyDescent="0.25">
      <c r="A4" s="193" t="s">
        <v>117</v>
      </c>
      <c r="B4" s="195" t="s">
        <v>118</v>
      </c>
      <c r="C4" s="195" t="s">
        <v>132</v>
      </c>
      <c r="D4" s="195" t="s">
        <v>249</v>
      </c>
      <c r="E4" s="194" t="s">
        <v>179</v>
      </c>
      <c r="F4" s="196" t="s">
        <v>180</v>
      </c>
      <c r="G4" s="229" t="s">
        <v>127</v>
      </c>
      <c r="H4" s="217" t="s">
        <v>399</v>
      </c>
      <c r="I4" s="195" t="s">
        <v>396</v>
      </c>
      <c r="J4" s="195" t="s">
        <v>397</v>
      </c>
      <c r="K4" s="196" t="s">
        <v>398</v>
      </c>
      <c r="L4" s="217" t="s">
        <v>399</v>
      </c>
      <c r="M4" s="195" t="s">
        <v>396</v>
      </c>
      <c r="N4" s="195" t="s">
        <v>397</v>
      </c>
      <c r="O4" s="196" t="s">
        <v>398</v>
      </c>
      <c r="P4" s="32"/>
      <c r="Q4" s="32"/>
      <c r="V4" s="32"/>
      <c r="W4" s="32"/>
      <c r="X4" s="32"/>
      <c r="Y4" s="32"/>
      <c r="Z4" s="32"/>
      <c r="AA4" s="32"/>
      <c r="AB4" s="32"/>
      <c r="AC4" s="32"/>
      <c r="AD4" s="32"/>
      <c r="AE4" s="32"/>
      <c r="AF4" s="32"/>
      <c r="AG4" s="32"/>
      <c r="AH4" s="32"/>
      <c r="AI4" s="32"/>
      <c r="AJ4" s="32"/>
    </row>
    <row r="5" spans="1:39" ht="16" x14ac:dyDescent="0.2">
      <c r="A5" s="136" t="s">
        <v>93</v>
      </c>
      <c r="B5" s="36" t="s">
        <v>31</v>
      </c>
      <c r="C5" s="36" t="s">
        <v>133</v>
      </c>
      <c r="D5" s="36" t="s">
        <v>240</v>
      </c>
      <c r="E5" s="290">
        <v>16060011</v>
      </c>
      <c r="F5" s="238" t="s">
        <v>181</v>
      </c>
      <c r="G5" s="136" t="s">
        <v>130</v>
      </c>
      <c r="H5" s="224" t="str">
        <f>IF(ISNUMBER(MATCH(A5, '4. Proposed Mine LOM &amp; Resource'!$A$32:$A$47, 0)), "+/- 20%", "Regression")</f>
        <v>+/- 20%</v>
      </c>
      <c r="I5" s="39">
        <v>31122.7556558816</v>
      </c>
      <c r="J5" s="39">
        <v>33986.056342683798</v>
      </c>
      <c r="K5" s="225">
        <v>36917.1642542724</v>
      </c>
      <c r="L5" s="218" t="s">
        <v>406</v>
      </c>
      <c r="M5" s="39">
        <v>1796217.81634507</v>
      </c>
      <c r="N5" s="39">
        <v>1964146.0317293201</v>
      </c>
      <c r="O5" s="225">
        <v>2128839.6073473701</v>
      </c>
    </row>
    <row r="6" spans="1:39" x14ac:dyDescent="0.2">
      <c r="A6" s="136" t="s">
        <v>94</v>
      </c>
      <c r="B6" s="36" t="s">
        <v>31</v>
      </c>
      <c r="C6" s="36" t="s">
        <v>133</v>
      </c>
      <c r="E6" s="211">
        <v>15030202</v>
      </c>
      <c r="F6" s="139" t="s">
        <v>182</v>
      </c>
      <c r="G6" s="136" t="s">
        <v>130</v>
      </c>
      <c r="H6" s="224" t="str">
        <f>IF(ISNUMBER(MATCH(A6, '4. Proposed Mine LOM &amp; Resource'!$A$32:$A$47, 0)), "+/- 20%", "Regression")</f>
        <v>Regression</v>
      </c>
      <c r="I6" s="39">
        <v>4371.14550961225</v>
      </c>
      <c r="J6" s="39">
        <v>15819.6369115627</v>
      </c>
      <c r="K6" s="225">
        <v>59745.559243285999</v>
      </c>
      <c r="L6" s="218" t="s">
        <v>414</v>
      </c>
      <c r="M6" s="219">
        <v>366842.57135850086</v>
      </c>
      <c r="N6" s="219">
        <v>1927238.7365708405</v>
      </c>
      <c r="O6" s="220">
        <v>9736611.9085476827</v>
      </c>
    </row>
    <row r="7" spans="1:39" x14ac:dyDescent="0.2">
      <c r="A7" s="136" t="s">
        <v>95</v>
      </c>
      <c r="B7" s="36" t="s">
        <v>119</v>
      </c>
      <c r="C7" s="36" t="s">
        <v>133</v>
      </c>
      <c r="E7" s="211">
        <v>15030201</v>
      </c>
      <c r="F7" s="139" t="s">
        <v>95</v>
      </c>
      <c r="G7" s="136" t="s">
        <v>130</v>
      </c>
      <c r="H7" s="224" t="str">
        <f>IF(ISNUMBER(MATCH(A7, '4. Proposed Mine LOM &amp; Resource'!$A$32:$A$47, 0)), "+/- 20%", "Regression")</f>
        <v>Regression</v>
      </c>
      <c r="I7" s="39">
        <v>2791.3071247852699</v>
      </c>
      <c r="J7" s="39">
        <v>9479.87820321254</v>
      </c>
      <c r="K7" s="225">
        <v>33828.581411030696</v>
      </c>
      <c r="L7" s="218" t="s">
        <v>414</v>
      </c>
      <c r="M7" s="219">
        <v>234256.73678805656</v>
      </c>
      <c r="N7" s="219">
        <v>1154893.0353673985</v>
      </c>
      <c r="O7" s="220">
        <v>5512974.9020288968</v>
      </c>
    </row>
    <row r="8" spans="1:39" x14ac:dyDescent="0.2">
      <c r="A8" s="136" t="s">
        <v>504</v>
      </c>
      <c r="B8" s="36" t="s">
        <v>344</v>
      </c>
      <c r="C8" s="36" t="s">
        <v>248</v>
      </c>
      <c r="D8" t="s">
        <v>240</v>
      </c>
      <c r="E8" s="211">
        <v>18100204</v>
      </c>
      <c r="F8" s="139" t="s">
        <v>193</v>
      </c>
      <c r="G8" s="136" t="s">
        <v>130</v>
      </c>
      <c r="H8" s="224" t="str">
        <f>IF(ISNUMBER(MATCH(A8, '4. Proposed Mine LOM &amp; Resource'!$A$32:$A$47, 0)), "+/- 20%", "Regression")</f>
        <v>+/- 20%</v>
      </c>
      <c r="I8" s="39">
        <v>82349.378518084894</v>
      </c>
      <c r="J8" s="39">
        <v>90075.271790298706</v>
      </c>
      <c r="K8" s="39">
        <v>97544.256595319195</v>
      </c>
      <c r="L8" s="218" t="s">
        <v>406</v>
      </c>
      <c r="M8" s="39">
        <v>14866479.785477201</v>
      </c>
      <c r="N8" s="39">
        <v>16255792.599639799</v>
      </c>
      <c r="O8" s="225">
        <v>17610504.582356401</v>
      </c>
    </row>
    <row r="9" spans="1:39" x14ac:dyDescent="0.2">
      <c r="A9" s="136" t="s">
        <v>253</v>
      </c>
      <c r="B9" s="36" t="s">
        <v>119</v>
      </c>
      <c r="C9" s="36" t="s">
        <v>133</v>
      </c>
      <c r="D9" s="49" t="s">
        <v>252</v>
      </c>
      <c r="E9" s="211">
        <v>16060013</v>
      </c>
      <c r="F9" s="139" t="s">
        <v>183</v>
      </c>
      <c r="G9" s="136" t="s">
        <v>130</v>
      </c>
      <c r="H9" s="224" t="str">
        <f>IF(ISNUMBER(MATCH(A9, '4. Proposed Mine LOM &amp; Resource'!$A$32:$A$47, 0)), "+/- 20%", "Regression")</f>
        <v>+/- 20%</v>
      </c>
      <c r="I9" s="39">
        <v>29542.474311428599</v>
      </c>
      <c r="J9" s="39">
        <v>32318.876069468999</v>
      </c>
      <c r="K9" s="225">
        <v>35089.193069464403</v>
      </c>
      <c r="L9" s="218" t="s">
        <v>406</v>
      </c>
      <c r="M9" s="39">
        <v>4923485.5062215896</v>
      </c>
      <c r="N9" s="39">
        <v>5371061.4209230598</v>
      </c>
      <c r="O9" s="225">
        <v>5838965.3933930201</v>
      </c>
    </row>
    <row r="10" spans="1:39" x14ac:dyDescent="0.2">
      <c r="A10" s="136" t="s">
        <v>98</v>
      </c>
      <c r="B10" s="36" t="s">
        <v>12</v>
      </c>
      <c r="C10" s="36" t="s">
        <v>248</v>
      </c>
      <c r="D10" s="36" t="s">
        <v>240</v>
      </c>
      <c r="E10" s="211">
        <v>16060011</v>
      </c>
      <c r="F10" s="139" t="s">
        <v>181</v>
      </c>
      <c r="G10" s="136" t="s">
        <v>130</v>
      </c>
      <c r="H10" s="224" t="str">
        <f>IF(ISNUMBER(MATCH(A10, '4. Proposed Mine LOM &amp; Resource'!$A$32:$A$47, 0)), "+/- 20%", "Regression")</f>
        <v>+/- 20%</v>
      </c>
      <c r="I10" s="39">
        <v>9138.7424260950702</v>
      </c>
      <c r="J10" s="39">
        <v>9997.5483280008702</v>
      </c>
      <c r="K10" s="225">
        <v>10863.6778022165</v>
      </c>
      <c r="L10" s="218" t="s">
        <v>406</v>
      </c>
      <c r="M10" s="39">
        <v>787319.10667288897</v>
      </c>
      <c r="N10" s="39">
        <v>860876.48085821804</v>
      </c>
      <c r="O10" s="225">
        <v>932949.58771877596</v>
      </c>
    </row>
    <row r="11" spans="1:39" x14ac:dyDescent="0.2">
      <c r="A11" s="136" t="s">
        <v>99</v>
      </c>
      <c r="B11" s="36" t="s">
        <v>31</v>
      </c>
      <c r="C11" s="36" t="s">
        <v>133</v>
      </c>
      <c r="E11" s="211">
        <v>16060011</v>
      </c>
      <c r="F11" s="139" t="s">
        <v>181</v>
      </c>
      <c r="G11" s="136" t="s">
        <v>130</v>
      </c>
      <c r="H11" s="224" t="str">
        <f>IF(ISNUMBER(MATCH(A11, '4. Proposed Mine LOM &amp; Resource'!$A$32:$A$47, 0)), "+/- 20%", "Regression")</f>
        <v>Regression</v>
      </c>
      <c r="I11" s="39">
        <v>6335.4569458921496</v>
      </c>
      <c r="J11" s="39">
        <v>24100.484521445</v>
      </c>
      <c r="K11" s="225">
        <v>95695.792670986601</v>
      </c>
      <c r="L11" s="218" t="s">
        <v>414</v>
      </c>
      <c r="M11" s="219">
        <v>531694.79525478336</v>
      </c>
      <c r="N11" s="219">
        <v>2936059.0005644183</v>
      </c>
      <c r="O11" s="220">
        <v>15595348.111549318</v>
      </c>
    </row>
    <row r="12" spans="1:39" x14ac:dyDescent="0.2">
      <c r="A12" s="136" t="s">
        <v>501</v>
      </c>
      <c r="B12" s="36" t="s">
        <v>344</v>
      </c>
      <c r="C12" s="36" t="s">
        <v>248</v>
      </c>
      <c r="D12" s="36" t="s">
        <v>240</v>
      </c>
      <c r="E12" s="211">
        <v>18100204</v>
      </c>
      <c r="F12" s="139" t="s">
        <v>193</v>
      </c>
      <c r="G12" s="136" t="s">
        <v>131</v>
      </c>
      <c r="H12" s="224" t="str">
        <f>IF(ISNUMBER(MATCH(A12, '4. Proposed Mine LOM &amp; Resource'!$A$32:$A$47, 0)), "+/- 20%", "Regression")</f>
        <v>+/- 20%</v>
      </c>
      <c r="I12" s="39">
        <v>22856.122687634099</v>
      </c>
      <c r="J12" s="39">
        <v>24973.624122625501</v>
      </c>
      <c r="K12" s="39">
        <v>27140.140676210402</v>
      </c>
      <c r="L12" s="218" t="s">
        <v>406</v>
      </c>
      <c r="M12" s="39">
        <v>7332806.5904512201</v>
      </c>
      <c r="N12" s="39">
        <v>8019624.3823560001</v>
      </c>
      <c r="O12" s="225">
        <v>8690310.6684878804</v>
      </c>
    </row>
    <row r="13" spans="1:39" x14ac:dyDescent="0.2">
      <c r="A13" s="136" t="s">
        <v>102</v>
      </c>
      <c r="B13" s="36" t="s">
        <v>31</v>
      </c>
      <c r="C13" s="36"/>
      <c r="E13" s="211">
        <v>16060003</v>
      </c>
      <c r="F13" s="139" t="s">
        <v>184</v>
      </c>
      <c r="G13" s="136" t="s">
        <v>130</v>
      </c>
      <c r="H13" s="224" t="str">
        <f>IF(ISNUMBER(MATCH(A13, '4. Proposed Mine LOM &amp; Resource'!$A$32:$A$47, 0)), "+/- 20%", "Regression")</f>
        <v>Regression</v>
      </c>
      <c r="I13" s="39">
        <v>5409.8606258364998</v>
      </c>
      <c r="J13" s="39">
        <v>20025.481276886501</v>
      </c>
      <c r="K13" s="225">
        <v>77898.545419567803</v>
      </c>
      <c r="L13" s="218" t="s">
        <v>414</v>
      </c>
      <c r="M13" s="219">
        <v>454015.3555421253</v>
      </c>
      <c r="N13" s="219">
        <v>2439618.7757685627</v>
      </c>
      <c r="O13" s="220">
        <v>12694967.033486098</v>
      </c>
    </row>
    <row r="14" spans="1:39" x14ac:dyDescent="0.2">
      <c r="A14" s="136" t="s">
        <v>103</v>
      </c>
      <c r="B14" s="36" t="s">
        <v>120</v>
      </c>
      <c r="C14" s="36" t="s">
        <v>133</v>
      </c>
      <c r="D14" s="36" t="s">
        <v>269</v>
      </c>
      <c r="E14" s="211">
        <v>3050105</v>
      </c>
      <c r="F14" s="139" t="s">
        <v>185</v>
      </c>
      <c r="G14" s="136" t="s">
        <v>131</v>
      </c>
      <c r="H14" s="224" t="str">
        <f>IF(ISNUMBER(MATCH(A14, '4. Proposed Mine LOM &amp; Resource'!$A$32:$A$47, 0)), "+/- 20%", "Regression")</f>
        <v>+/- 20%</v>
      </c>
      <c r="I14" s="39">
        <f>348218.714035918*(1/'3. Literature LCI Values'!H127)</f>
        <v>67223.689968323946</v>
      </c>
      <c r="J14" s="39">
        <f>380719.317035847*(1/'3. Literature LCI Values'!H127)</f>
        <v>73497.937651707922</v>
      </c>
      <c r="K14" s="225">
        <f>412939.574460982*(1/'3. Literature LCI Values'!H127)</f>
        <v>79718.064567757145</v>
      </c>
      <c r="L14" s="218" t="s">
        <v>414</v>
      </c>
      <c r="M14" s="219">
        <v>5641658.7436765898</v>
      </c>
      <c r="N14" s="219">
        <v>8953939.5431325138</v>
      </c>
      <c r="O14" s="220">
        <v>12991490.357235583</v>
      </c>
    </row>
    <row r="15" spans="1:39" x14ac:dyDescent="0.2">
      <c r="A15" s="136" t="s">
        <v>166</v>
      </c>
      <c r="B15" s="36" t="s">
        <v>258</v>
      </c>
      <c r="C15" s="36" t="s">
        <v>259</v>
      </c>
      <c r="D15" s="36" t="s">
        <v>260</v>
      </c>
      <c r="E15" s="211">
        <v>16040201</v>
      </c>
      <c r="F15" s="139" t="s">
        <v>186</v>
      </c>
      <c r="G15" s="136" t="s">
        <v>130</v>
      </c>
      <c r="H15" s="224" t="str">
        <f>IF(ISNUMBER(MATCH(A15, '4. Proposed Mine LOM &amp; Resource'!$A$32:$A$47, 0)), "+/- 20%", "Regression")</f>
        <v>+/- 20%</v>
      </c>
      <c r="I15" s="39">
        <v>146385.58921066401</v>
      </c>
      <c r="J15" s="39">
        <v>160054.175444775</v>
      </c>
      <c r="K15" s="225">
        <v>173613.793464797</v>
      </c>
      <c r="L15" s="218" t="s">
        <v>406</v>
      </c>
      <c r="M15" s="39">
        <v>26931959.4360076</v>
      </c>
      <c r="N15" s="39">
        <v>29404297.406094201</v>
      </c>
      <c r="O15" s="225">
        <v>31956677.498077098</v>
      </c>
    </row>
    <row r="16" spans="1:39" x14ac:dyDescent="0.2">
      <c r="A16" s="136" t="s">
        <v>104</v>
      </c>
      <c r="B16" s="36" t="s">
        <v>31</v>
      </c>
      <c r="C16" s="36"/>
      <c r="E16" s="211">
        <v>16060003</v>
      </c>
      <c r="F16" s="139" t="s">
        <v>184</v>
      </c>
      <c r="G16" s="136" t="s">
        <v>130</v>
      </c>
      <c r="H16" s="224" t="str">
        <f>IF(ISNUMBER(MATCH(A16, '4. Proposed Mine LOM &amp; Resource'!$A$32:$A$47, 0)), "+/- 20%", "Regression")</f>
        <v>Regression</v>
      </c>
      <c r="I16" s="39">
        <v>6620.5760795914002</v>
      </c>
      <c r="J16" s="39">
        <v>25395.6141906253</v>
      </c>
      <c r="K16" s="225">
        <v>101942.64555278201</v>
      </c>
      <c r="L16" s="218" t="s">
        <v>414</v>
      </c>
      <c r="M16" s="219">
        <v>555623.03921731829</v>
      </c>
      <c r="N16" s="219">
        <v>3093839.1115290439</v>
      </c>
      <c r="O16" s="220">
        <v>16613384.982074883</v>
      </c>
    </row>
    <row r="17" spans="1:23" x14ac:dyDescent="0.2">
      <c r="A17" s="136" t="s">
        <v>105</v>
      </c>
      <c r="B17" s="36" t="s">
        <v>31</v>
      </c>
      <c r="C17" s="36" t="s">
        <v>133</v>
      </c>
      <c r="E17" s="211">
        <v>16040201</v>
      </c>
      <c r="F17" s="139" t="s">
        <v>186</v>
      </c>
      <c r="G17" s="136" t="s">
        <v>130</v>
      </c>
      <c r="H17" s="224" t="str">
        <f>IF(ISNUMBER(MATCH(A17, '4. Proposed Mine LOM &amp; Resource'!$A$32:$A$47, 0)), "+/- 20%", "Regression")</f>
        <v>+/- 20%</v>
      </c>
      <c r="I17" s="39">
        <v>40487.002281128</v>
      </c>
      <c r="J17" s="39">
        <v>44374.142569165902</v>
      </c>
      <c r="K17" s="225">
        <v>48156.192160472703</v>
      </c>
      <c r="L17" s="218" t="s">
        <v>414</v>
      </c>
      <c r="M17" s="219">
        <v>3397817.801019392</v>
      </c>
      <c r="N17" s="219">
        <v>5405912.0913771857</v>
      </c>
      <c r="O17" s="220">
        <v>7847916.3974460578</v>
      </c>
    </row>
    <row r="18" spans="1:23" x14ac:dyDescent="0.2">
      <c r="A18" s="136" t="s">
        <v>106</v>
      </c>
      <c r="B18" s="36" t="s">
        <v>31</v>
      </c>
      <c r="C18" s="36" t="s">
        <v>133</v>
      </c>
      <c r="D18" s="36" t="s">
        <v>269</v>
      </c>
      <c r="E18" s="211">
        <v>16060011</v>
      </c>
      <c r="F18" s="139" t="s">
        <v>181</v>
      </c>
      <c r="G18" s="136" t="s">
        <v>130</v>
      </c>
      <c r="H18" s="224" t="str">
        <f>IF(ISNUMBER(MATCH(A18, '4. Proposed Mine LOM &amp; Resource'!$A$32:$A$47, 0)), "+/- 20%", "Regression")</f>
        <v>Regression</v>
      </c>
      <c r="I18" s="39">
        <v>5468.95259351611</v>
      </c>
      <c r="J18" s="39">
        <v>20275.8462805864</v>
      </c>
      <c r="K18" s="225">
        <v>78944.323055677305</v>
      </c>
      <c r="L18" s="218" t="s">
        <v>414</v>
      </c>
      <c r="M18" s="219">
        <v>458974.57031146949</v>
      </c>
      <c r="N18" s="219">
        <v>2470119.6738681565</v>
      </c>
      <c r="O18" s="220">
        <v>12865395.281449664</v>
      </c>
    </row>
    <row r="19" spans="1:23" x14ac:dyDescent="0.2">
      <c r="A19" s="136" t="s">
        <v>108</v>
      </c>
      <c r="B19" s="36" t="s">
        <v>121</v>
      </c>
      <c r="C19" s="36" t="s">
        <v>248</v>
      </c>
      <c r="D19" s="36" t="s">
        <v>240</v>
      </c>
      <c r="E19" s="211">
        <v>14030005</v>
      </c>
      <c r="F19" s="139" t="s">
        <v>187</v>
      </c>
      <c r="G19" s="136" t="s">
        <v>130</v>
      </c>
      <c r="H19" s="224" t="str">
        <f>IF(ISNUMBER(MATCH(A19, '4. Proposed Mine LOM &amp; Resource'!$A$32:$A$47, 0)), "+/- 20%", "Regression")</f>
        <v>+/- 20%</v>
      </c>
      <c r="I19" s="39">
        <v>11971.092333635301</v>
      </c>
      <c r="J19" s="39">
        <v>13071.2219496696</v>
      </c>
      <c r="K19" s="225">
        <v>14187.835577194501</v>
      </c>
      <c r="L19" s="218" t="s">
        <v>406</v>
      </c>
      <c r="M19" s="39">
        <v>253458.36282697099</v>
      </c>
      <c r="N19" s="39">
        <v>277827.54117581103</v>
      </c>
      <c r="O19" s="225">
        <v>301790.97553201899</v>
      </c>
    </row>
    <row r="20" spans="1:23" x14ac:dyDescent="0.2">
      <c r="A20" s="136" t="s">
        <v>109</v>
      </c>
      <c r="B20" s="36" t="s">
        <v>120</v>
      </c>
      <c r="C20" s="36" t="s">
        <v>133</v>
      </c>
      <c r="D20" s="36" t="s">
        <v>264</v>
      </c>
      <c r="E20" s="211">
        <v>3050102</v>
      </c>
      <c r="F20" s="139" t="s">
        <v>188</v>
      </c>
      <c r="G20" s="136" t="s">
        <v>130</v>
      </c>
      <c r="H20" s="224" t="str">
        <f>IF(ISNUMBER(MATCH(A20, '4. Proposed Mine LOM &amp; Resource'!$A$32:$A$47, 0)), "+/- 20%", "Regression")</f>
        <v>+/- 20%</v>
      </c>
      <c r="I20" s="39">
        <v>30118.827189013999</v>
      </c>
      <c r="J20" s="39">
        <v>32953.722123321801</v>
      </c>
      <c r="K20" s="225">
        <v>35822.382498616797</v>
      </c>
      <c r="L20" s="218" t="s">
        <v>406</v>
      </c>
      <c r="M20" s="39">
        <v>700606.32064829394</v>
      </c>
      <c r="N20" s="39">
        <v>767537.19033624697</v>
      </c>
      <c r="O20" s="225">
        <v>833662.78108524997</v>
      </c>
      <c r="R20" s="39"/>
      <c r="S20" s="39"/>
      <c r="T20" s="39"/>
      <c r="U20" s="39"/>
      <c r="V20" s="39"/>
      <c r="W20" s="39"/>
    </row>
    <row r="21" spans="1:23" x14ac:dyDescent="0.2">
      <c r="A21" s="136" t="s">
        <v>110</v>
      </c>
      <c r="B21" s="36" t="s">
        <v>31</v>
      </c>
      <c r="C21" s="36" t="s">
        <v>133</v>
      </c>
      <c r="D21" s="36" t="s">
        <v>269</v>
      </c>
      <c r="E21" s="211">
        <v>16060010</v>
      </c>
      <c r="F21" s="139" t="s">
        <v>189</v>
      </c>
      <c r="G21" s="136" t="s">
        <v>130</v>
      </c>
      <c r="H21" s="224" t="str">
        <f>IF(ISNUMBER(MATCH(A21, '4. Proposed Mine LOM &amp; Resource'!$A$32:$A$47, 0)), "+/- 20%", "Regression")</f>
        <v>+/- 20%</v>
      </c>
      <c r="I21" s="39">
        <v>20124.505378960901</v>
      </c>
      <c r="J21" s="39">
        <v>21932.814392646</v>
      </c>
      <c r="K21" s="225">
        <v>23777.9416385361</v>
      </c>
      <c r="L21" s="218" t="s">
        <v>406</v>
      </c>
      <c r="M21" s="39">
        <v>3907981.8470785301</v>
      </c>
      <c r="N21" s="39">
        <v>4284302.1047777897</v>
      </c>
      <c r="O21" s="225">
        <v>4647432.1803099699</v>
      </c>
      <c r="R21" s="39"/>
      <c r="S21" s="39"/>
      <c r="T21" s="39"/>
      <c r="U21" s="39"/>
      <c r="V21" s="39"/>
      <c r="W21" s="39"/>
    </row>
    <row r="22" spans="1:23" x14ac:dyDescent="0.2">
      <c r="A22" s="136" t="s">
        <v>111</v>
      </c>
      <c r="B22" s="36" t="s">
        <v>12</v>
      </c>
      <c r="C22" s="36" t="s">
        <v>248</v>
      </c>
      <c r="D22" s="36" t="s">
        <v>11</v>
      </c>
      <c r="E22" s="211">
        <v>16060011</v>
      </c>
      <c r="F22" s="139" t="s">
        <v>181</v>
      </c>
      <c r="G22" s="136" t="s">
        <v>130</v>
      </c>
      <c r="H22" s="224" t="str">
        <f>IF(ISNUMBER(MATCH(A22, '4. Proposed Mine LOM &amp; Resource'!$A$32:$A$47, 0)), "+/- 20%", "Regression")</f>
        <v>+/- 20%</v>
      </c>
      <c r="I22" s="39">
        <v>5474.87602697276</v>
      </c>
      <c r="J22" s="39">
        <v>6003.172575736</v>
      </c>
      <c r="K22" s="225">
        <v>6505.5457496438603</v>
      </c>
      <c r="L22" s="218" t="s">
        <v>406</v>
      </c>
      <c r="M22" s="39">
        <v>22551356.038105201</v>
      </c>
      <c r="N22" s="39">
        <v>24670306.523695201</v>
      </c>
      <c r="O22" s="225">
        <v>26821086.3994928</v>
      </c>
      <c r="R22" s="39"/>
      <c r="S22" s="39"/>
      <c r="T22" s="39"/>
      <c r="U22" s="39"/>
      <c r="V22" s="39"/>
      <c r="W22" s="39"/>
    </row>
    <row r="23" spans="1:23" x14ac:dyDescent="0.2">
      <c r="A23" s="136" t="s">
        <v>112</v>
      </c>
      <c r="B23" s="36" t="s">
        <v>121</v>
      </c>
      <c r="C23" s="36" t="s">
        <v>248</v>
      </c>
      <c r="D23" s="36" t="s">
        <v>240</v>
      </c>
      <c r="E23" s="211">
        <v>11140205</v>
      </c>
      <c r="F23" s="139" t="s">
        <v>190</v>
      </c>
      <c r="G23" s="136" t="s">
        <v>131</v>
      </c>
      <c r="H23" s="224" t="str">
        <f>IF(ISNUMBER(MATCH(A23, '4. Proposed Mine LOM &amp; Resource'!$A$32:$A$47, 0)), "+/- 20%", "Regression")</f>
        <v>+/- 20%</v>
      </c>
      <c r="I23" s="39">
        <v>27459.7120250546</v>
      </c>
      <c r="J23" s="39">
        <v>30024.932584745598</v>
      </c>
      <c r="K23" s="225">
        <v>32572.002155310201</v>
      </c>
      <c r="L23" s="218" t="s">
        <v>406</v>
      </c>
      <c r="M23" s="39">
        <v>3314052.43424983</v>
      </c>
      <c r="N23" s="39">
        <v>3621992.3970981999</v>
      </c>
      <c r="O23" s="225">
        <v>3935422.7909373799</v>
      </c>
      <c r="R23" s="39"/>
      <c r="S23" s="39"/>
      <c r="T23" s="39"/>
      <c r="U23" s="39"/>
      <c r="V23" s="39"/>
      <c r="W23" s="39"/>
    </row>
    <row r="24" spans="1:23" x14ac:dyDescent="0.2">
      <c r="A24" s="136" t="s">
        <v>113</v>
      </c>
      <c r="B24" s="36" t="s">
        <v>31</v>
      </c>
      <c r="C24" s="36" t="s">
        <v>133</v>
      </c>
      <c r="D24" s="36" t="s">
        <v>269</v>
      </c>
      <c r="E24" s="211">
        <v>16060003</v>
      </c>
      <c r="F24" s="139" t="s">
        <v>184</v>
      </c>
      <c r="G24" s="136" t="s">
        <v>130</v>
      </c>
      <c r="H24" s="224" t="str">
        <f>IF(ISNUMBER(MATCH(A24, '4. Proposed Mine LOM &amp; Resource'!$A$32:$A$47, 0)), "+/- 20%", "Regression")</f>
        <v>+/- 20%</v>
      </c>
      <c r="I24" s="39">
        <v>43873.662780989398</v>
      </c>
      <c r="J24" s="39">
        <v>48000.508798076102</v>
      </c>
      <c r="K24" s="225">
        <v>52014.235600476401</v>
      </c>
      <c r="L24" s="218" t="s">
        <v>406</v>
      </c>
      <c r="M24" s="39">
        <v>6122453.3681356497</v>
      </c>
      <c r="N24" s="39">
        <v>6692140.1178479102</v>
      </c>
      <c r="O24" s="225">
        <v>7257242.6028997898</v>
      </c>
    </row>
    <row r="25" spans="1:23" x14ac:dyDescent="0.2">
      <c r="A25" s="136" t="s">
        <v>114</v>
      </c>
      <c r="B25" s="36" t="s">
        <v>31</v>
      </c>
      <c r="C25" s="36" t="s">
        <v>133</v>
      </c>
      <c r="D25" s="36" t="s">
        <v>269</v>
      </c>
      <c r="E25" s="211">
        <v>16060003</v>
      </c>
      <c r="F25" s="139" t="s">
        <v>184</v>
      </c>
      <c r="G25" s="136" t="s">
        <v>131</v>
      </c>
      <c r="H25" s="224" t="str">
        <f>IF(ISNUMBER(MATCH(A25, '4. Proposed Mine LOM &amp; Resource'!$A$32:$A$47, 0)), "+/- 20%", "Regression")</f>
        <v>+/- 20%</v>
      </c>
      <c r="I25" s="39">
        <v>30204.654641961901</v>
      </c>
      <c r="J25" s="39">
        <v>33047.910041913601</v>
      </c>
      <c r="K25" s="225">
        <v>35829.929767207999</v>
      </c>
      <c r="L25" s="218" t="s">
        <v>406</v>
      </c>
      <c r="M25" s="39">
        <v>5209753.3696382204</v>
      </c>
      <c r="N25" s="39">
        <v>5701351.2813305296</v>
      </c>
      <c r="O25" s="225">
        <v>6187033.8746777298</v>
      </c>
    </row>
    <row r="26" spans="1:23" x14ac:dyDescent="0.2">
      <c r="A26" s="136" t="s">
        <v>115</v>
      </c>
      <c r="B26" s="36" t="s">
        <v>31</v>
      </c>
      <c r="C26" s="36" t="s">
        <v>133</v>
      </c>
      <c r="E26" s="211">
        <v>16060003</v>
      </c>
      <c r="F26" s="139" t="s">
        <v>184</v>
      </c>
      <c r="G26" s="136" t="s">
        <v>130</v>
      </c>
      <c r="H26" s="224" t="str">
        <f>IF(ISNUMBER(MATCH(A26, '4. Proposed Mine LOM &amp; Resource'!$A$32:$A$47, 0)), "+/- 20%", "Regression")</f>
        <v>Regression</v>
      </c>
      <c r="I26" s="39">
        <v>3101.9588380503901</v>
      </c>
      <c r="J26" s="39">
        <v>10671.216754434799</v>
      </c>
      <c r="K26" s="225">
        <v>38556.900509912499</v>
      </c>
      <c r="L26" s="218" t="s">
        <v>414</v>
      </c>
      <c r="M26" s="219">
        <v>260327.76852115698</v>
      </c>
      <c r="N26" s="219">
        <v>1300028.7181344007</v>
      </c>
      <c r="O26" s="220">
        <v>6283539.4197718548</v>
      </c>
    </row>
    <row r="27" spans="1:23" ht="16" thickBot="1" x14ac:dyDescent="0.25">
      <c r="A27" s="137" t="s">
        <v>116</v>
      </c>
      <c r="B27" s="230" t="s">
        <v>31</v>
      </c>
      <c r="C27" s="230" t="s">
        <v>133</v>
      </c>
      <c r="D27" s="230" t="s">
        <v>269</v>
      </c>
      <c r="E27" s="212">
        <v>16060011</v>
      </c>
      <c r="F27" s="142" t="s">
        <v>181</v>
      </c>
      <c r="G27" s="137" t="s">
        <v>130</v>
      </c>
      <c r="H27" s="226" t="str">
        <f>IF(ISNUMBER(MATCH(A27, '4. Proposed Mine LOM &amp; Resource'!$A$32:$A$47, 0)), "+/- 20%", "Regression")</f>
        <v>+/- 20%</v>
      </c>
      <c r="I27" s="227">
        <v>29161.651700135299</v>
      </c>
      <c r="J27" s="227">
        <v>31874.070923049701</v>
      </c>
      <c r="K27" s="228">
        <v>34627.890933914401</v>
      </c>
      <c r="L27" s="221" t="s">
        <v>414</v>
      </c>
      <c r="M27" s="222">
        <v>2447352.8211801834</v>
      </c>
      <c r="N27" s="222">
        <v>3883081.8000765089</v>
      </c>
      <c r="O27" s="223">
        <v>5643236.7443766128</v>
      </c>
    </row>
    <row r="28" spans="1:23" x14ac:dyDescent="0.2">
      <c r="A28" s="36"/>
      <c r="I28" s="39"/>
      <c r="J28" s="39"/>
      <c r="K28" s="39"/>
    </row>
    <row r="29" spans="1:23" x14ac:dyDescent="0.2">
      <c r="A29" s="36"/>
      <c r="I29" s="39"/>
      <c r="J29" s="39"/>
      <c r="K29" s="39"/>
      <c r="T29" s="39"/>
    </row>
    <row r="30" spans="1:23" ht="16" thickBot="1" x14ac:dyDescent="0.25">
      <c r="A30" s="37" t="s">
        <v>467</v>
      </c>
      <c r="T30" s="39"/>
    </row>
    <row r="31" spans="1:23" ht="16" thickBot="1" x14ac:dyDescent="0.25">
      <c r="C31" s="364" t="s">
        <v>404</v>
      </c>
      <c r="D31" s="365"/>
      <c r="E31" s="366"/>
      <c r="T31" s="39"/>
    </row>
    <row r="32" spans="1:23" ht="16" thickBot="1" x14ac:dyDescent="0.25">
      <c r="A32" s="215" t="s">
        <v>118</v>
      </c>
      <c r="B32" s="216" t="s">
        <v>249</v>
      </c>
      <c r="C32" s="194" t="s">
        <v>396</v>
      </c>
      <c r="D32" s="195" t="s">
        <v>397</v>
      </c>
      <c r="E32" s="196" t="s">
        <v>398</v>
      </c>
    </row>
    <row r="33" spans="1:31" x14ac:dyDescent="0.2">
      <c r="A33" s="208" t="s">
        <v>12</v>
      </c>
      <c r="B33" s="213" t="s">
        <v>11</v>
      </c>
      <c r="C33" s="236">
        <v>84.679695588420202</v>
      </c>
      <c r="D33" s="39">
        <v>192.95777596460599</v>
      </c>
      <c r="E33" s="225">
        <v>348.77916826783201</v>
      </c>
    </row>
    <row r="34" spans="1:31" x14ac:dyDescent="0.2">
      <c r="A34" s="208" t="s">
        <v>12</v>
      </c>
      <c r="B34" s="213" t="s">
        <v>240</v>
      </c>
      <c r="C34" s="236">
        <v>133.43886787383599</v>
      </c>
      <c r="D34" s="39">
        <v>313.747720195488</v>
      </c>
      <c r="E34" s="225">
        <v>562.769738919887</v>
      </c>
    </row>
    <row r="35" spans="1:31" x14ac:dyDescent="0.2">
      <c r="A35" s="208" t="s">
        <v>386</v>
      </c>
      <c r="B35" s="213" t="s">
        <v>269</v>
      </c>
      <c r="C35" s="236">
        <v>31</v>
      </c>
      <c r="D35" s="39">
        <v>54</v>
      </c>
      <c r="E35" s="225">
        <v>88</v>
      </c>
    </row>
    <row r="36" spans="1:31" x14ac:dyDescent="0.2">
      <c r="A36" s="208" t="s">
        <v>388</v>
      </c>
      <c r="B36" s="213" t="s">
        <v>269</v>
      </c>
      <c r="C36" s="236">
        <v>83.923669562545001</v>
      </c>
      <c r="D36" s="39">
        <v>121.82572503685</v>
      </c>
      <c r="E36" s="225">
        <v>162.967959993476</v>
      </c>
    </row>
    <row r="37" spans="1:31" ht="16" thickBot="1" x14ac:dyDescent="0.25">
      <c r="A37" s="209" t="s">
        <v>387</v>
      </c>
      <c r="B37" s="214" t="s">
        <v>240</v>
      </c>
      <c r="C37" s="237">
        <v>42.6800042877287</v>
      </c>
      <c r="D37" s="227">
        <v>70.481241233640802</v>
      </c>
      <c r="E37" s="228">
        <v>98.418845164145395</v>
      </c>
    </row>
    <row r="39" spans="1:31" ht="16" thickBot="1" x14ac:dyDescent="0.25">
      <c r="A39" s="32" t="s">
        <v>466</v>
      </c>
    </row>
    <row r="40" spans="1:31" ht="16" thickBot="1" x14ac:dyDescent="0.25">
      <c r="A40" s="207" t="s">
        <v>407</v>
      </c>
      <c r="B40" s="478" t="s">
        <v>457</v>
      </c>
      <c r="C40" s="475"/>
      <c r="D40" s="475"/>
      <c r="E40" s="475"/>
      <c r="F40" s="475"/>
      <c r="G40" s="476"/>
      <c r="H40" s="475" t="s">
        <v>458</v>
      </c>
      <c r="I40" s="475"/>
      <c r="J40" s="475"/>
      <c r="K40" s="475"/>
      <c r="L40" s="475"/>
      <c r="M40" s="476"/>
      <c r="N40" s="475" t="s">
        <v>459</v>
      </c>
      <c r="O40" s="475"/>
      <c r="P40" s="475"/>
      <c r="Q40" s="475"/>
      <c r="R40" s="475"/>
      <c r="S40" s="476"/>
      <c r="T40" s="475" t="s">
        <v>460</v>
      </c>
      <c r="U40" s="475"/>
      <c r="V40" s="475"/>
      <c r="W40" s="475"/>
      <c r="X40" s="475"/>
      <c r="Y40" s="476"/>
      <c r="Z40" s="475" t="s">
        <v>461</v>
      </c>
      <c r="AA40" s="475"/>
      <c r="AB40" s="475"/>
      <c r="AC40" s="475"/>
      <c r="AD40" s="475"/>
      <c r="AE40" s="476"/>
    </row>
    <row r="41" spans="1:31" ht="16" thickBot="1" x14ac:dyDescent="0.25">
      <c r="A41" s="207" t="s">
        <v>456</v>
      </c>
      <c r="B41" s="436" t="s">
        <v>411</v>
      </c>
      <c r="C41" s="471"/>
      <c r="D41" s="437"/>
      <c r="E41" s="472" t="s">
        <v>412</v>
      </c>
      <c r="F41" s="472"/>
      <c r="G41" s="473"/>
      <c r="H41" s="471" t="s">
        <v>411</v>
      </c>
      <c r="I41" s="471"/>
      <c r="J41" s="437"/>
      <c r="K41" s="472" t="s">
        <v>412</v>
      </c>
      <c r="L41" s="472"/>
      <c r="M41" s="473"/>
      <c r="N41" s="471" t="s">
        <v>411</v>
      </c>
      <c r="O41" s="471"/>
      <c r="P41" s="437"/>
      <c r="Q41" s="477" t="s">
        <v>412</v>
      </c>
      <c r="R41" s="472"/>
      <c r="S41" s="473"/>
      <c r="T41" s="471" t="s">
        <v>411</v>
      </c>
      <c r="U41" s="471"/>
      <c r="V41" s="437"/>
      <c r="W41" s="477" t="s">
        <v>412</v>
      </c>
      <c r="X41" s="472"/>
      <c r="Y41" s="473"/>
      <c r="Z41" s="471" t="s">
        <v>411</v>
      </c>
      <c r="AA41" s="471"/>
      <c r="AB41" s="437"/>
      <c r="AC41" s="477" t="s">
        <v>412</v>
      </c>
      <c r="AD41" s="472"/>
      <c r="AE41" s="473"/>
    </row>
    <row r="42" spans="1:31" ht="16" thickBot="1" x14ac:dyDescent="0.25">
      <c r="A42" s="207" t="s">
        <v>179</v>
      </c>
      <c r="B42" s="194" t="s">
        <v>396</v>
      </c>
      <c r="C42" s="195" t="s">
        <v>397</v>
      </c>
      <c r="D42" s="196" t="s">
        <v>398</v>
      </c>
      <c r="E42" s="195" t="s">
        <v>396</v>
      </c>
      <c r="F42" s="195" t="s">
        <v>397</v>
      </c>
      <c r="G42" s="196" t="s">
        <v>398</v>
      </c>
      <c r="H42" s="195" t="s">
        <v>396</v>
      </c>
      <c r="I42" s="195" t="s">
        <v>397</v>
      </c>
      <c r="J42" s="196" t="s">
        <v>398</v>
      </c>
      <c r="K42" s="195" t="s">
        <v>396</v>
      </c>
      <c r="L42" s="195" t="s">
        <v>397</v>
      </c>
      <c r="M42" s="196" t="s">
        <v>398</v>
      </c>
      <c r="N42" s="195" t="s">
        <v>396</v>
      </c>
      <c r="O42" s="195" t="s">
        <v>397</v>
      </c>
      <c r="P42" s="196" t="s">
        <v>398</v>
      </c>
      <c r="Q42" s="194" t="s">
        <v>396</v>
      </c>
      <c r="R42" s="195" t="s">
        <v>397</v>
      </c>
      <c r="S42" s="196" t="s">
        <v>398</v>
      </c>
      <c r="T42" s="195" t="s">
        <v>396</v>
      </c>
      <c r="U42" s="195" t="s">
        <v>397</v>
      </c>
      <c r="V42" s="196" t="s">
        <v>398</v>
      </c>
      <c r="W42" s="194" t="s">
        <v>396</v>
      </c>
      <c r="X42" s="195" t="s">
        <v>397</v>
      </c>
      <c r="Y42" s="196" t="s">
        <v>398</v>
      </c>
      <c r="Z42" s="195" t="s">
        <v>396</v>
      </c>
      <c r="AA42" s="195" t="s">
        <v>397</v>
      </c>
      <c r="AB42" s="196" t="s">
        <v>398</v>
      </c>
      <c r="AC42" s="194" t="s">
        <v>396</v>
      </c>
      <c r="AD42" s="195" t="s">
        <v>397</v>
      </c>
      <c r="AE42" s="196" t="s">
        <v>398</v>
      </c>
    </row>
    <row r="43" spans="1:31" x14ac:dyDescent="0.2">
      <c r="A43" s="211">
        <v>16060011</v>
      </c>
      <c r="B43" s="236">
        <v>36.983542081239598</v>
      </c>
      <c r="C43" s="39">
        <v>53.576536406674002</v>
      </c>
      <c r="D43" s="39">
        <v>80.006728372648595</v>
      </c>
      <c r="E43" s="39">
        <v>34.422040010501199</v>
      </c>
      <c r="F43" s="39">
        <v>50.109239529647397</v>
      </c>
      <c r="G43" s="225">
        <v>75.165521401394599</v>
      </c>
      <c r="H43" s="39">
        <v>32.998711348749602</v>
      </c>
      <c r="I43" s="39">
        <v>42.108868424759201</v>
      </c>
      <c r="J43" s="39">
        <v>54.602209480501898</v>
      </c>
      <c r="K43" s="39">
        <v>30.693319838369298</v>
      </c>
      <c r="L43" s="39">
        <v>38.935073298818899</v>
      </c>
      <c r="M43" s="225">
        <v>51.761638650031003</v>
      </c>
      <c r="N43" s="39">
        <v>28.770184539548801</v>
      </c>
      <c r="O43" s="39">
        <v>33.002938567040701</v>
      </c>
      <c r="P43" s="39">
        <v>38.918917857733199</v>
      </c>
      <c r="Q43" s="39">
        <v>32.926498278530197</v>
      </c>
      <c r="R43" s="39">
        <v>45.1913812216549</v>
      </c>
      <c r="S43" s="225">
        <v>64.744586253081096</v>
      </c>
      <c r="T43" s="39">
        <v>30.569517181778</v>
      </c>
      <c r="U43" s="39">
        <v>37.3935954507023</v>
      </c>
      <c r="V43" s="39">
        <v>47.973777705650498</v>
      </c>
      <c r="W43" s="39">
        <v>34.292178908256801</v>
      </c>
      <c r="X43" s="39">
        <v>48.777653477418902</v>
      </c>
      <c r="Y43" s="225">
        <v>72.614002580784103</v>
      </c>
      <c r="Z43" s="39">
        <v>37.2402721528547</v>
      </c>
      <c r="AA43" s="39">
        <v>59.198518159782203</v>
      </c>
      <c r="AB43" s="39">
        <v>94.6058516564119</v>
      </c>
      <c r="AC43" s="39">
        <v>43.782501794978998</v>
      </c>
      <c r="AD43" s="39">
        <v>84.642612800855304</v>
      </c>
      <c r="AE43" s="225">
        <v>150.74858329788199</v>
      </c>
    </row>
    <row r="44" spans="1:31" x14ac:dyDescent="0.2">
      <c r="A44" s="211">
        <v>15030202</v>
      </c>
      <c r="B44" s="236">
        <v>41.867904858459802</v>
      </c>
      <c r="C44" s="39">
        <v>69.173541386466894</v>
      </c>
      <c r="D44" s="39">
        <v>98.418267725301902</v>
      </c>
      <c r="E44" s="39">
        <v>42.9927902904316</v>
      </c>
      <c r="F44" s="39">
        <v>82.145038608589005</v>
      </c>
      <c r="G44" s="225">
        <v>130.894567796601</v>
      </c>
      <c r="H44" s="39">
        <v>46.684480480128997</v>
      </c>
      <c r="I44" s="39">
        <v>95.981527116893005</v>
      </c>
      <c r="J44" s="39">
        <v>171.28964849193201</v>
      </c>
      <c r="K44" s="39">
        <v>34.377711005272602</v>
      </c>
      <c r="L44" s="39">
        <v>64.228705657648504</v>
      </c>
      <c r="M44" s="225">
        <v>105.480832233965</v>
      </c>
      <c r="N44" s="39">
        <v>37.552502248697202</v>
      </c>
      <c r="O44" s="39">
        <v>71.278184945872695</v>
      </c>
      <c r="P44" s="39">
        <v>122.112760568417</v>
      </c>
      <c r="Q44" s="39">
        <v>25.850094106025001</v>
      </c>
      <c r="R44" s="39">
        <v>42.621282985938997</v>
      </c>
      <c r="S44" s="225">
        <v>65.203656625296105</v>
      </c>
      <c r="T44" s="39">
        <v>34.741721209119603</v>
      </c>
      <c r="U44" s="39">
        <v>64.963436444982605</v>
      </c>
      <c r="V44" s="39">
        <v>104.693206894155</v>
      </c>
      <c r="W44" s="39">
        <v>42.725163259414202</v>
      </c>
      <c r="X44" s="39">
        <v>67.688069894413402</v>
      </c>
      <c r="Y44" s="225">
        <v>98.437227743597703</v>
      </c>
      <c r="Z44" s="39">
        <v>29.341247626164201</v>
      </c>
      <c r="AA44" s="39">
        <v>52.653919900052202</v>
      </c>
      <c r="AB44" s="39">
        <v>83.403830741998704</v>
      </c>
      <c r="AC44" s="39">
        <v>41.321261015985897</v>
      </c>
      <c r="AD44" s="39">
        <v>83.147186782589401</v>
      </c>
      <c r="AE44" s="225">
        <v>145.80377498727501</v>
      </c>
    </row>
    <row r="45" spans="1:31" x14ac:dyDescent="0.2">
      <c r="A45" s="211">
        <v>15030201</v>
      </c>
      <c r="B45" s="236">
        <v>78.623744665669307</v>
      </c>
      <c r="C45" s="39">
        <v>143.66687180910401</v>
      </c>
      <c r="D45" s="39">
        <v>220.676689784611</v>
      </c>
      <c r="E45" s="39">
        <v>81.053242828433397</v>
      </c>
      <c r="F45" s="39">
        <v>158.55406571628001</v>
      </c>
      <c r="G45" s="225">
        <v>258.903270845679</v>
      </c>
      <c r="H45" s="39">
        <v>89.317028999606194</v>
      </c>
      <c r="I45" s="39">
        <v>183.68832370398201</v>
      </c>
      <c r="J45" s="39">
        <v>318.45954741530801</v>
      </c>
      <c r="K45" s="39">
        <v>67.178411380203698</v>
      </c>
      <c r="L45" s="39">
        <v>137.62461251421701</v>
      </c>
      <c r="M45" s="225">
        <v>244.44994504569999</v>
      </c>
      <c r="N45" s="39">
        <v>68.861006981290501</v>
      </c>
      <c r="O45" s="39">
        <v>135.09644688115799</v>
      </c>
      <c r="P45" s="39">
        <v>229.49322907260799</v>
      </c>
      <c r="Q45" s="39">
        <v>52.670689893692099</v>
      </c>
      <c r="R45" s="39">
        <v>97.915556137714901</v>
      </c>
      <c r="S45" s="225">
        <v>163.17848472230901</v>
      </c>
      <c r="T45" s="39">
        <v>65.728555929473401</v>
      </c>
      <c r="U45" s="39">
        <v>126.34708648765501</v>
      </c>
      <c r="V45" s="39">
        <v>207.18587702034901</v>
      </c>
      <c r="W45" s="39">
        <v>75.648371966438702</v>
      </c>
      <c r="X45" s="39">
        <v>140.768827928652</v>
      </c>
      <c r="Y45" s="225">
        <v>218.153538533823</v>
      </c>
      <c r="Z45" s="39">
        <v>53.3395260140584</v>
      </c>
      <c r="AA45" s="39">
        <v>97.407219336474</v>
      </c>
      <c r="AB45" s="39">
        <v>164.267978478408</v>
      </c>
      <c r="AC45" s="39">
        <v>78.715689669594596</v>
      </c>
      <c r="AD45" s="39">
        <v>178.39934308884801</v>
      </c>
      <c r="AE45" s="225">
        <v>334.77129497235097</v>
      </c>
    </row>
    <row r="46" spans="1:31" x14ac:dyDescent="0.2">
      <c r="A46" s="211">
        <v>18100204</v>
      </c>
      <c r="B46" s="236">
        <v>471.949265496198</v>
      </c>
      <c r="C46" s="39">
        <v>522.976117684315</v>
      </c>
      <c r="D46" s="39">
        <v>606.20482217085305</v>
      </c>
      <c r="E46" s="39">
        <v>464.97736656574</v>
      </c>
      <c r="F46" s="39">
        <v>504.14992268895497</v>
      </c>
      <c r="G46" s="225">
        <v>568.32019147267704</v>
      </c>
      <c r="H46" s="39">
        <v>460.5173258776</v>
      </c>
      <c r="I46" s="39">
        <v>481.03229957694299</v>
      </c>
      <c r="J46" s="39">
        <v>512.25895502431001</v>
      </c>
      <c r="K46" s="39">
        <v>464.631635132805</v>
      </c>
      <c r="L46" s="39">
        <v>508.81553976808402</v>
      </c>
      <c r="M46" s="225">
        <v>583.94613663488894</v>
      </c>
      <c r="N46" s="39">
        <v>454.46860472453898</v>
      </c>
      <c r="O46" s="39">
        <v>467.85662715827903</v>
      </c>
      <c r="P46" s="39">
        <v>489.72225481523799</v>
      </c>
      <c r="Q46" s="39">
        <v>459.67363687531503</v>
      </c>
      <c r="R46" s="39">
        <v>481.61087679375697</v>
      </c>
      <c r="S46" s="225">
        <v>517.65051036669604</v>
      </c>
      <c r="T46" s="39">
        <v>453.066543518537</v>
      </c>
      <c r="U46" s="39">
        <v>461.67768008469199</v>
      </c>
      <c r="V46" s="39">
        <v>474.91619049420598</v>
      </c>
      <c r="W46" s="39">
        <v>452.96883820272501</v>
      </c>
      <c r="X46" s="39">
        <v>460.812445862939</v>
      </c>
      <c r="Y46" s="225">
        <v>472.42661716664702</v>
      </c>
      <c r="Z46" s="39">
        <v>448.42671419529</v>
      </c>
      <c r="AA46" s="39">
        <v>449.90910256899298</v>
      </c>
      <c r="AB46" s="39">
        <v>451.83562938082599</v>
      </c>
      <c r="AC46" s="39">
        <v>447.98603382843498</v>
      </c>
      <c r="AD46" s="39">
        <v>449.02413280989299</v>
      </c>
      <c r="AE46" s="225">
        <v>450.559366817951</v>
      </c>
    </row>
    <row r="47" spans="1:31" x14ac:dyDescent="0.2">
      <c r="A47" s="211">
        <v>16060013</v>
      </c>
      <c r="B47" s="236">
        <v>32.775755306930797</v>
      </c>
      <c r="C47" s="39">
        <v>61.449112074471998</v>
      </c>
      <c r="D47" s="39">
        <v>103.62269565523199</v>
      </c>
      <c r="E47" s="39">
        <v>28.906177250431099</v>
      </c>
      <c r="F47" s="39">
        <v>53.309842983249403</v>
      </c>
      <c r="G47" s="225">
        <v>90.411278656745196</v>
      </c>
      <c r="H47" s="39">
        <v>26.357642622393499</v>
      </c>
      <c r="I47" s="39">
        <v>45.889282643144803</v>
      </c>
      <c r="J47" s="39">
        <v>75.025682701164698</v>
      </c>
      <c r="K47" s="39">
        <v>21.580349926163599</v>
      </c>
      <c r="L47" s="39">
        <v>36.440684679599897</v>
      </c>
      <c r="M47" s="225">
        <v>60.182575855760803</v>
      </c>
      <c r="N47" s="39">
        <v>19.596040241343299</v>
      </c>
      <c r="O47" s="39">
        <v>31.263048035226401</v>
      </c>
      <c r="P47" s="39">
        <v>48.343083953215597</v>
      </c>
      <c r="Q47" s="39">
        <v>25.3247061989637</v>
      </c>
      <c r="R47" s="39">
        <v>45.5101732183359</v>
      </c>
      <c r="S47" s="225">
        <v>76.4308169037499</v>
      </c>
      <c r="T47" s="39">
        <v>21.223992493397699</v>
      </c>
      <c r="U47" s="39">
        <v>33.161504434842897</v>
      </c>
      <c r="V47" s="39">
        <v>50.2680964507284</v>
      </c>
      <c r="W47" s="39">
        <v>26.200462738616299</v>
      </c>
      <c r="X47" s="39">
        <v>47.4214569582198</v>
      </c>
      <c r="Y47" s="225">
        <v>78.651213450861206</v>
      </c>
      <c r="Z47" s="39">
        <v>26.0043395285687</v>
      </c>
      <c r="AA47" s="39">
        <v>51.3750854298817</v>
      </c>
      <c r="AB47" s="39">
        <v>90.204548371929604</v>
      </c>
      <c r="AC47" s="39">
        <v>32.695664113878003</v>
      </c>
      <c r="AD47" s="39">
        <v>77.061769772062206</v>
      </c>
      <c r="AE47" s="225">
        <v>147.51134257099599</v>
      </c>
    </row>
    <row r="48" spans="1:31" x14ac:dyDescent="0.2">
      <c r="A48" s="211">
        <v>18090208</v>
      </c>
      <c r="B48" s="236">
        <v>29.690658330082002</v>
      </c>
      <c r="C48" s="39">
        <v>48.827752777009998</v>
      </c>
      <c r="D48" s="39">
        <v>75.697522321484499</v>
      </c>
      <c r="E48" s="39">
        <v>25.8469907479946</v>
      </c>
      <c r="F48" s="39">
        <v>41.167932979084398</v>
      </c>
      <c r="G48" s="225">
        <v>64.706628626600605</v>
      </c>
      <c r="H48" s="39">
        <v>24.197778722634101</v>
      </c>
      <c r="I48" s="39">
        <v>39.708560339830697</v>
      </c>
      <c r="J48" s="39">
        <v>60.950483399519698</v>
      </c>
      <c r="K48" s="39">
        <v>25.432896821928601</v>
      </c>
      <c r="L48" s="39">
        <v>46.720462266093598</v>
      </c>
      <c r="M48" s="225">
        <v>81.304751172088402</v>
      </c>
      <c r="N48" s="39">
        <v>20.8654267372549</v>
      </c>
      <c r="O48" s="39">
        <v>32.113488574807697</v>
      </c>
      <c r="P48" s="39">
        <v>48.859019422911203</v>
      </c>
      <c r="Q48" s="39">
        <v>24.2377651166371</v>
      </c>
      <c r="R48" s="39">
        <v>41.909738130486701</v>
      </c>
      <c r="S48" s="225">
        <v>68.887210660829993</v>
      </c>
      <c r="T48" s="39">
        <v>23.783948737584701</v>
      </c>
      <c r="U48" s="39">
        <v>37.274985685185499</v>
      </c>
      <c r="V48" s="39">
        <v>56.987467189175</v>
      </c>
      <c r="W48" s="39">
        <v>25.678674683894901</v>
      </c>
      <c r="X48" s="39">
        <v>36.489478692658501</v>
      </c>
      <c r="Y48" s="225">
        <v>48.873336291130897</v>
      </c>
      <c r="Z48" s="39">
        <v>18.5128872881773</v>
      </c>
      <c r="AA48" s="39">
        <v>24.910143625670798</v>
      </c>
      <c r="AB48" s="39">
        <v>33.3644465627115</v>
      </c>
      <c r="AC48" s="39">
        <v>16.467427421284999</v>
      </c>
      <c r="AD48" s="39">
        <v>22.299267642821899</v>
      </c>
      <c r="AE48" s="225">
        <v>29.838941972324001</v>
      </c>
    </row>
    <row r="49" spans="1:91" x14ac:dyDescent="0.2">
      <c r="A49" s="211">
        <v>16060003</v>
      </c>
      <c r="B49" s="236">
        <v>24.697516366718698</v>
      </c>
      <c r="C49" s="39">
        <v>52.7072393764455</v>
      </c>
      <c r="D49" s="39">
        <v>97.433293963781395</v>
      </c>
      <c r="E49" s="39">
        <v>22.243862895821898</v>
      </c>
      <c r="F49" s="39">
        <v>49.364570295641698</v>
      </c>
      <c r="G49" s="225">
        <v>94.498961170963398</v>
      </c>
      <c r="H49" s="39">
        <v>20.291448806081899</v>
      </c>
      <c r="I49" s="39">
        <v>36.009075663192498</v>
      </c>
      <c r="J49" s="39">
        <v>58.3828556066128</v>
      </c>
      <c r="K49" s="39">
        <v>16.165342975605501</v>
      </c>
      <c r="L49" s="39">
        <v>32.067428358655697</v>
      </c>
      <c r="M49" s="225">
        <v>58.164716653730999</v>
      </c>
      <c r="N49" s="39">
        <v>12.3912521215924</v>
      </c>
      <c r="O49" s="39">
        <v>19.221612092207799</v>
      </c>
      <c r="P49" s="39">
        <v>28.900084063604101</v>
      </c>
      <c r="Q49" s="39">
        <v>18.854634640678398</v>
      </c>
      <c r="R49" s="39">
        <v>38.817160026009901</v>
      </c>
      <c r="S49" s="225">
        <v>71.040216339051995</v>
      </c>
      <c r="T49" s="39">
        <v>16.158541292052199</v>
      </c>
      <c r="U49" s="39">
        <v>29.049332855169499</v>
      </c>
      <c r="V49" s="39">
        <v>48.936042917513603</v>
      </c>
      <c r="W49" s="39">
        <v>22.2096310595144</v>
      </c>
      <c r="X49" s="39">
        <v>45.950180539998797</v>
      </c>
      <c r="Y49" s="225">
        <v>84.133777726252902</v>
      </c>
      <c r="Z49" s="39">
        <v>26.3994505915832</v>
      </c>
      <c r="AA49" s="39">
        <v>62.263933209201802</v>
      </c>
      <c r="AB49" s="39">
        <v>120.247834749397</v>
      </c>
      <c r="AC49" s="39">
        <v>35.124945282848799</v>
      </c>
      <c r="AD49" s="39">
        <v>95.999086090166102</v>
      </c>
      <c r="AE49" s="225">
        <v>195.16026273795899</v>
      </c>
    </row>
    <row r="50" spans="1:91" x14ac:dyDescent="0.2">
      <c r="A50" s="211">
        <v>3050105</v>
      </c>
      <c r="B50" s="236">
        <v>1710.07874121024</v>
      </c>
      <c r="C50" s="39">
        <v>2658.6538329310201</v>
      </c>
      <c r="D50" s="39">
        <v>3709.6942191389498</v>
      </c>
      <c r="E50" s="39">
        <v>1694.94032572622</v>
      </c>
      <c r="F50" s="39">
        <v>2451.58421786595</v>
      </c>
      <c r="G50" s="225">
        <v>3109.0785779262201</v>
      </c>
      <c r="H50" s="39">
        <v>1300.8904749672599</v>
      </c>
      <c r="I50" s="39">
        <v>2138.2867045284302</v>
      </c>
      <c r="J50" s="39">
        <v>2930.9534582348601</v>
      </c>
      <c r="K50" s="39">
        <v>1309.19378059768</v>
      </c>
      <c r="L50" s="39">
        <v>2364.4435156099598</v>
      </c>
      <c r="M50" s="225">
        <v>3658.9705180021901</v>
      </c>
      <c r="N50" s="39">
        <v>1479.6817477664399</v>
      </c>
      <c r="O50" s="39">
        <v>2245.7340877014499</v>
      </c>
      <c r="P50" s="39">
        <v>3336.7556732529702</v>
      </c>
      <c r="Q50" s="39">
        <v>1383.9779122003299</v>
      </c>
      <c r="R50" s="39">
        <v>2158.92921583523</v>
      </c>
      <c r="S50" s="225">
        <v>2837.9472738056602</v>
      </c>
      <c r="T50" s="39">
        <v>1703.56992648768</v>
      </c>
      <c r="U50" s="39">
        <v>2352.0810963273502</v>
      </c>
      <c r="V50" s="39">
        <v>2940.01020724307</v>
      </c>
      <c r="W50" s="39">
        <v>2001.4934013228001</v>
      </c>
      <c r="X50" s="39">
        <v>2574.8867998783298</v>
      </c>
      <c r="Y50" s="225">
        <v>3256.7323646238701</v>
      </c>
      <c r="Z50" s="39">
        <v>1918.79417245994</v>
      </c>
      <c r="AA50" s="39">
        <v>2537.3879889366199</v>
      </c>
      <c r="AB50" s="39">
        <v>3293.9305872363998</v>
      </c>
      <c r="AC50" s="39">
        <v>1992.0175945380499</v>
      </c>
      <c r="AD50" s="39">
        <v>2679.1378096358999</v>
      </c>
      <c r="AE50" s="225">
        <v>3377.2442024768602</v>
      </c>
    </row>
    <row r="51" spans="1:91" x14ac:dyDescent="0.2">
      <c r="A51" s="211">
        <v>16040201</v>
      </c>
      <c r="B51" s="236">
        <v>157.10878428130701</v>
      </c>
      <c r="C51" s="39">
        <v>369.08031656142902</v>
      </c>
      <c r="D51" s="39">
        <v>698.98741515561096</v>
      </c>
      <c r="E51" s="39">
        <v>128.359521605937</v>
      </c>
      <c r="F51" s="39">
        <v>244.41991745253</v>
      </c>
      <c r="G51" s="225">
        <v>413.92173249137102</v>
      </c>
      <c r="H51" s="39">
        <v>78.696230257735806</v>
      </c>
      <c r="I51" s="39">
        <v>158.673784138516</v>
      </c>
      <c r="J51" s="39">
        <v>264.420511283846</v>
      </c>
      <c r="K51" s="39">
        <v>85.086833478725396</v>
      </c>
      <c r="L51" s="39">
        <v>154.927154391828</v>
      </c>
      <c r="M51" s="225">
        <v>244.856122694883</v>
      </c>
      <c r="N51" s="39">
        <v>57.4862205205512</v>
      </c>
      <c r="O51" s="39">
        <v>112.816613176739</v>
      </c>
      <c r="P51" s="39">
        <v>173.022073685838</v>
      </c>
      <c r="Q51" s="39">
        <v>76.411819500233193</v>
      </c>
      <c r="R51" s="39">
        <v>149.30091843881101</v>
      </c>
      <c r="S51" s="225">
        <v>232.85391706466399</v>
      </c>
      <c r="T51" s="39">
        <v>64.805295904488204</v>
      </c>
      <c r="U51" s="39">
        <v>126.04579855636401</v>
      </c>
      <c r="V51" s="39">
        <v>203.75606920588501</v>
      </c>
      <c r="W51" s="39">
        <v>92.491080287871299</v>
      </c>
      <c r="X51" s="39">
        <v>160.84855202638599</v>
      </c>
      <c r="Y51" s="225">
        <v>235.85873276163201</v>
      </c>
      <c r="Z51" s="39">
        <v>73.815119428776697</v>
      </c>
      <c r="AA51" s="39">
        <v>147.63441071528999</v>
      </c>
      <c r="AB51" s="39">
        <v>252.210783566597</v>
      </c>
      <c r="AC51" s="39">
        <v>75.787922598335498</v>
      </c>
      <c r="AD51" s="39">
        <v>165.97185102847601</v>
      </c>
      <c r="AE51" s="225">
        <v>298.29679195447301</v>
      </c>
    </row>
    <row r="52" spans="1:91" x14ac:dyDescent="0.2">
      <c r="A52" s="211">
        <v>14030005</v>
      </c>
      <c r="B52" s="236">
        <v>6387.6751127776697</v>
      </c>
      <c r="C52" s="39">
        <v>8354.5457593670399</v>
      </c>
      <c r="D52" s="39">
        <v>10633.9278881052</v>
      </c>
      <c r="E52" s="39">
        <v>6888.16615283385</v>
      </c>
      <c r="F52" s="39">
        <v>9407.6179244510695</v>
      </c>
      <c r="G52" s="225">
        <v>12246.7439263551</v>
      </c>
      <c r="H52" s="39">
        <v>4535.7361401768303</v>
      </c>
      <c r="I52" s="39">
        <v>6695.7875702557803</v>
      </c>
      <c r="J52" s="39">
        <v>9377.4347748973196</v>
      </c>
      <c r="K52" s="39">
        <v>4222.2780249276902</v>
      </c>
      <c r="L52" s="39">
        <v>6175.3803921728604</v>
      </c>
      <c r="M52" s="225">
        <v>8543.7939760121099</v>
      </c>
      <c r="N52" s="39">
        <v>4118.32302521776</v>
      </c>
      <c r="O52" s="39">
        <v>7071.0733888106697</v>
      </c>
      <c r="P52" s="39">
        <v>10552.269040524599</v>
      </c>
      <c r="Q52" s="39">
        <v>3001.5369779043899</v>
      </c>
      <c r="R52" s="39">
        <v>4904.1225473735803</v>
      </c>
      <c r="S52" s="225">
        <v>6785.6849397174101</v>
      </c>
      <c r="T52" s="39">
        <v>5432.2637737181904</v>
      </c>
      <c r="U52" s="39">
        <v>7655.6446771867204</v>
      </c>
      <c r="V52" s="39">
        <v>10563.1381426644</v>
      </c>
      <c r="W52" s="39">
        <v>6978.3817289241997</v>
      </c>
      <c r="X52" s="39">
        <v>10205.0403817693</v>
      </c>
      <c r="Y52" s="225">
        <v>14032.3727904728</v>
      </c>
      <c r="Z52" s="39">
        <v>3883.8983143820601</v>
      </c>
      <c r="AA52" s="39">
        <v>6389.2579050514796</v>
      </c>
      <c r="AB52" s="39">
        <v>8466.1341766926198</v>
      </c>
      <c r="AC52" s="39">
        <v>4232.9401856161603</v>
      </c>
      <c r="AD52" s="39">
        <v>6874.6503169996404</v>
      </c>
      <c r="AE52" s="225">
        <v>9662.7300893207594</v>
      </c>
    </row>
    <row r="53" spans="1:91" x14ac:dyDescent="0.2">
      <c r="A53" s="211">
        <v>3050102</v>
      </c>
      <c r="B53" s="236">
        <v>435.39878881466302</v>
      </c>
      <c r="C53" s="39">
        <v>693.30621342089205</v>
      </c>
      <c r="D53" s="39">
        <v>941.47168351416599</v>
      </c>
      <c r="E53" s="39">
        <v>457.27803741401198</v>
      </c>
      <c r="F53" s="39">
        <v>654.89353090684801</v>
      </c>
      <c r="G53" s="225">
        <v>834.12530128820197</v>
      </c>
      <c r="H53" s="39">
        <v>394.03213382838402</v>
      </c>
      <c r="I53" s="39">
        <v>599.98006948698799</v>
      </c>
      <c r="J53" s="39">
        <v>799.86733968471401</v>
      </c>
      <c r="K53" s="39">
        <v>408.67233000536902</v>
      </c>
      <c r="L53" s="39">
        <v>665.88053560813205</v>
      </c>
      <c r="M53" s="225">
        <v>1001.52691953464</v>
      </c>
      <c r="N53" s="39">
        <v>417.1742357256</v>
      </c>
      <c r="O53" s="39">
        <v>637.76577230585201</v>
      </c>
      <c r="P53" s="39">
        <v>959.05173379883297</v>
      </c>
      <c r="Q53" s="39">
        <v>398.23200511401001</v>
      </c>
      <c r="R53" s="39">
        <v>606.96022658261802</v>
      </c>
      <c r="S53" s="225">
        <v>801.95652377365002</v>
      </c>
      <c r="T53" s="39">
        <v>433.40291233343999</v>
      </c>
      <c r="U53" s="39">
        <v>617.13314817097705</v>
      </c>
      <c r="V53" s="39">
        <v>765.09976697614297</v>
      </c>
      <c r="W53" s="39">
        <v>527.68230095035801</v>
      </c>
      <c r="X53" s="39">
        <v>702.59074967037998</v>
      </c>
      <c r="Y53" s="225">
        <v>910.03330977642497</v>
      </c>
      <c r="Z53" s="39">
        <v>534.951406260299</v>
      </c>
      <c r="AA53" s="39">
        <v>706.73945166656597</v>
      </c>
      <c r="AB53" s="39">
        <v>930.702140200641</v>
      </c>
      <c r="AC53" s="39">
        <v>546.29472317794102</v>
      </c>
      <c r="AD53" s="39">
        <v>724.06380094471001</v>
      </c>
      <c r="AE53" s="225">
        <v>900.77018810118898</v>
      </c>
    </row>
    <row r="54" spans="1:91" x14ac:dyDescent="0.2">
      <c r="A54" s="211">
        <v>16060010</v>
      </c>
      <c r="B54" s="236">
        <v>38.104006975228501</v>
      </c>
      <c r="C54" s="39">
        <v>56.156431287953303</v>
      </c>
      <c r="D54" s="39">
        <v>83.821126136614595</v>
      </c>
      <c r="E54" s="39">
        <v>37.080549626624197</v>
      </c>
      <c r="F54" s="39">
        <v>58.059299044011603</v>
      </c>
      <c r="G54" s="225">
        <v>91.813132813702495</v>
      </c>
      <c r="H54" s="39">
        <v>38.650535611260302</v>
      </c>
      <c r="I54" s="39">
        <v>58.562558318909602</v>
      </c>
      <c r="J54" s="39">
        <v>90.540980290783295</v>
      </c>
      <c r="K54" s="39">
        <v>32.796571110216803</v>
      </c>
      <c r="L54" s="39">
        <v>44.927845266071301</v>
      </c>
      <c r="M54" s="225">
        <v>64.317587433534001</v>
      </c>
      <c r="N54" s="39">
        <v>30.756588289242401</v>
      </c>
      <c r="O54" s="39">
        <v>38.501959455847903</v>
      </c>
      <c r="P54" s="39">
        <v>49.746836952087001</v>
      </c>
      <c r="Q54" s="39">
        <v>35.461821308895303</v>
      </c>
      <c r="R54" s="39">
        <v>50.579269808178303</v>
      </c>
      <c r="S54" s="225">
        <v>73.112230436768897</v>
      </c>
      <c r="T54" s="39">
        <v>36.6312291894209</v>
      </c>
      <c r="U54" s="39">
        <v>58.153992668671599</v>
      </c>
      <c r="V54" s="39">
        <v>93.441260633217098</v>
      </c>
      <c r="W54" s="39">
        <v>38.201812534020902</v>
      </c>
      <c r="X54" s="39">
        <v>57.399868949638602</v>
      </c>
      <c r="Y54" s="225">
        <v>86.368223839144306</v>
      </c>
      <c r="Z54" s="39">
        <v>37.695226772100803</v>
      </c>
      <c r="AA54" s="39">
        <v>60.842981600191301</v>
      </c>
      <c r="AB54" s="39">
        <v>96.4354035533824</v>
      </c>
      <c r="AC54" s="39">
        <v>39.467313374893003</v>
      </c>
      <c r="AD54" s="39">
        <v>66.417243470531005</v>
      </c>
      <c r="AE54" s="225">
        <v>109.519462920127</v>
      </c>
    </row>
    <row r="55" spans="1:91" ht="16" thickBot="1" x14ac:dyDescent="0.25">
      <c r="A55" s="212">
        <v>11140205</v>
      </c>
      <c r="B55" s="237">
        <v>326.91601546219903</v>
      </c>
      <c r="C55" s="227">
        <v>537.42603422069101</v>
      </c>
      <c r="D55" s="227">
        <v>761.03744960967595</v>
      </c>
      <c r="E55" s="227">
        <v>410.249778490967</v>
      </c>
      <c r="F55" s="227">
        <v>585.73339259926297</v>
      </c>
      <c r="G55" s="228">
        <v>774.48649417248203</v>
      </c>
      <c r="H55" s="227">
        <v>328.621784808043</v>
      </c>
      <c r="I55" s="227">
        <v>604.17137217545303</v>
      </c>
      <c r="J55" s="227">
        <v>918.26768741304602</v>
      </c>
      <c r="K55" s="227">
        <v>318.28054624445201</v>
      </c>
      <c r="L55" s="227">
        <v>495.426424966779</v>
      </c>
      <c r="M55" s="228">
        <v>716.88279158140699</v>
      </c>
      <c r="N55" s="227">
        <v>334.034854821431</v>
      </c>
      <c r="O55" s="227">
        <v>606.89862083882497</v>
      </c>
      <c r="P55" s="227">
        <v>1002.5827479654999</v>
      </c>
      <c r="Q55" s="227">
        <v>292.69075230382299</v>
      </c>
      <c r="R55" s="227">
        <v>538.96323305230499</v>
      </c>
      <c r="S55" s="228">
        <v>899.80116678150102</v>
      </c>
      <c r="T55" s="227">
        <v>399.36155310276399</v>
      </c>
      <c r="U55" s="227">
        <v>617.000833619069</v>
      </c>
      <c r="V55" s="227">
        <v>818.87352652955894</v>
      </c>
      <c r="W55" s="227">
        <v>537.23069856021698</v>
      </c>
      <c r="X55" s="227">
        <v>748.14577591861701</v>
      </c>
      <c r="Y55" s="228">
        <v>1004.72716360987</v>
      </c>
      <c r="Z55" s="227">
        <v>330.46013877624</v>
      </c>
      <c r="AA55" s="227">
        <v>584.06233564117997</v>
      </c>
      <c r="AB55" s="227">
        <v>963.56588940982601</v>
      </c>
      <c r="AC55" s="227">
        <v>369.09988286088497</v>
      </c>
      <c r="AD55" s="227">
        <v>603.24510087413796</v>
      </c>
      <c r="AE55" s="228">
        <v>897.52573862153099</v>
      </c>
    </row>
    <row r="57" spans="1:91" ht="16" thickBot="1" x14ac:dyDescent="0.25">
      <c r="A57" s="32" t="s">
        <v>471</v>
      </c>
    </row>
    <row r="58" spans="1:91" ht="16" thickBot="1" x14ac:dyDescent="0.25">
      <c r="A58" s="192" t="s">
        <v>408</v>
      </c>
      <c r="B58" s="471" t="s">
        <v>410</v>
      </c>
      <c r="C58" s="471"/>
      <c r="D58" s="471"/>
      <c r="E58" s="471"/>
      <c r="F58" s="471"/>
      <c r="G58" s="471"/>
      <c r="H58" s="471"/>
      <c r="I58" s="471"/>
      <c r="J58" s="471"/>
      <c r="K58" s="471"/>
      <c r="L58" s="471"/>
      <c r="M58" s="471"/>
      <c r="N58" s="471"/>
      <c r="O58" s="471"/>
      <c r="P58" s="437"/>
      <c r="Q58" s="471" t="s">
        <v>428</v>
      </c>
      <c r="R58" s="471"/>
      <c r="S58" s="471"/>
      <c r="T58" s="471"/>
      <c r="U58" s="471"/>
      <c r="V58" s="471"/>
      <c r="W58" s="471"/>
      <c r="X58" s="471"/>
      <c r="Y58" s="471"/>
      <c r="Z58" s="471"/>
      <c r="AA58" s="471"/>
      <c r="AB58" s="471"/>
      <c r="AC58" s="471"/>
      <c r="AD58" s="471"/>
      <c r="AE58" s="437"/>
      <c r="AF58" s="471" t="s">
        <v>429</v>
      </c>
      <c r="AG58" s="471"/>
      <c r="AH58" s="471"/>
      <c r="AI58" s="471"/>
      <c r="AJ58" s="471"/>
      <c r="AK58" s="471"/>
      <c r="AL58" s="471"/>
      <c r="AM58" s="471"/>
      <c r="AN58" s="471"/>
      <c r="AO58" s="471"/>
      <c r="AP58" s="471"/>
      <c r="AQ58" s="471"/>
      <c r="AR58" s="471"/>
      <c r="AS58" s="471"/>
      <c r="AT58" s="437"/>
      <c r="AU58" s="471" t="s">
        <v>430</v>
      </c>
      <c r="AV58" s="471"/>
      <c r="AW58" s="471"/>
      <c r="AX58" s="471"/>
      <c r="AY58" s="471"/>
      <c r="AZ58" s="471"/>
      <c r="BA58" s="471"/>
      <c r="BB58" s="471"/>
      <c r="BC58" s="471"/>
      <c r="BD58" s="471"/>
      <c r="BE58" s="471"/>
      <c r="BF58" s="471"/>
      <c r="BG58" s="471"/>
      <c r="BH58" s="471"/>
      <c r="BI58" s="437"/>
      <c r="BJ58" s="471" t="s">
        <v>431</v>
      </c>
      <c r="BK58" s="471"/>
      <c r="BL58" s="471"/>
      <c r="BM58" s="471"/>
      <c r="BN58" s="471"/>
      <c r="BO58" s="471"/>
      <c r="BP58" s="471"/>
      <c r="BQ58" s="471"/>
      <c r="BR58" s="471"/>
      <c r="BS58" s="471"/>
      <c r="BT58" s="471"/>
      <c r="BU58" s="471"/>
      <c r="BV58" s="471"/>
      <c r="BW58" s="471"/>
      <c r="BX58" s="437"/>
      <c r="BY58" s="471" t="s">
        <v>432</v>
      </c>
      <c r="BZ58" s="471"/>
      <c r="CA58" s="471"/>
      <c r="CB58" s="471"/>
      <c r="CC58" s="471"/>
      <c r="CD58" s="471"/>
      <c r="CE58" s="471"/>
      <c r="CF58" s="471"/>
      <c r="CG58" s="471"/>
      <c r="CH58" s="471"/>
      <c r="CI58" s="471"/>
      <c r="CJ58" s="471"/>
      <c r="CK58" s="471"/>
      <c r="CL58" s="471"/>
      <c r="CM58" s="437"/>
    </row>
    <row r="59" spans="1:91" ht="16" thickBot="1" x14ac:dyDescent="0.25">
      <c r="A59" s="192" t="s">
        <v>409</v>
      </c>
      <c r="B59" s="471" t="s">
        <v>457</v>
      </c>
      <c r="C59" s="471"/>
      <c r="D59" s="437"/>
      <c r="E59" s="436" t="s">
        <v>458</v>
      </c>
      <c r="F59" s="471"/>
      <c r="G59" s="437"/>
      <c r="H59" s="436" t="s">
        <v>459</v>
      </c>
      <c r="I59" s="471"/>
      <c r="J59" s="437"/>
      <c r="K59" s="436" t="s">
        <v>460</v>
      </c>
      <c r="L59" s="471"/>
      <c r="M59" s="437"/>
      <c r="N59" s="436" t="s">
        <v>461</v>
      </c>
      <c r="O59" s="471"/>
      <c r="P59" s="437"/>
      <c r="Q59" s="471" t="s">
        <v>457</v>
      </c>
      <c r="R59" s="471"/>
      <c r="S59" s="437"/>
      <c r="T59" s="436" t="s">
        <v>458</v>
      </c>
      <c r="U59" s="471"/>
      <c r="V59" s="437"/>
      <c r="W59" s="436" t="s">
        <v>459</v>
      </c>
      <c r="X59" s="471"/>
      <c r="Y59" s="437"/>
      <c r="Z59" s="436" t="s">
        <v>460</v>
      </c>
      <c r="AA59" s="471"/>
      <c r="AB59" s="437"/>
      <c r="AC59" s="436" t="s">
        <v>461</v>
      </c>
      <c r="AD59" s="471"/>
      <c r="AE59" s="437"/>
      <c r="AF59" s="471" t="s">
        <v>457</v>
      </c>
      <c r="AG59" s="471"/>
      <c r="AH59" s="437"/>
      <c r="AI59" s="436" t="s">
        <v>458</v>
      </c>
      <c r="AJ59" s="471"/>
      <c r="AK59" s="437"/>
      <c r="AL59" s="436" t="s">
        <v>459</v>
      </c>
      <c r="AM59" s="471"/>
      <c r="AN59" s="437"/>
      <c r="AO59" s="436" t="s">
        <v>460</v>
      </c>
      <c r="AP59" s="471"/>
      <c r="AQ59" s="437"/>
      <c r="AR59" s="436" t="s">
        <v>461</v>
      </c>
      <c r="AS59" s="471"/>
      <c r="AT59" s="437"/>
      <c r="AU59" s="471" t="s">
        <v>457</v>
      </c>
      <c r="AV59" s="471"/>
      <c r="AW59" s="437"/>
      <c r="AX59" s="436" t="s">
        <v>458</v>
      </c>
      <c r="AY59" s="471"/>
      <c r="AZ59" s="437"/>
      <c r="BA59" s="436" t="s">
        <v>459</v>
      </c>
      <c r="BB59" s="471"/>
      <c r="BC59" s="437"/>
      <c r="BD59" s="436" t="s">
        <v>460</v>
      </c>
      <c r="BE59" s="471"/>
      <c r="BF59" s="437"/>
      <c r="BG59" s="436" t="s">
        <v>461</v>
      </c>
      <c r="BH59" s="471"/>
      <c r="BI59" s="437"/>
      <c r="BJ59" s="471" t="s">
        <v>457</v>
      </c>
      <c r="BK59" s="471"/>
      <c r="BL59" s="437"/>
      <c r="BM59" s="436" t="s">
        <v>458</v>
      </c>
      <c r="BN59" s="471"/>
      <c r="BO59" s="437"/>
      <c r="BP59" s="436" t="s">
        <v>459</v>
      </c>
      <c r="BQ59" s="471"/>
      <c r="BR59" s="437"/>
      <c r="BS59" s="436" t="s">
        <v>460</v>
      </c>
      <c r="BT59" s="471"/>
      <c r="BU59" s="437"/>
      <c r="BV59" s="436" t="s">
        <v>461</v>
      </c>
      <c r="BW59" s="471"/>
      <c r="BX59" s="437"/>
      <c r="BY59" s="471" t="s">
        <v>457</v>
      </c>
      <c r="BZ59" s="471"/>
      <c r="CA59" s="437"/>
      <c r="CB59" s="436" t="s">
        <v>458</v>
      </c>
      <c r="CC59" s="471"/>
      <c r="CD59" s="437"/>
      <c r="CE59" s="436" t="s">
        <v>459</v>
      </c>
      <c r="CF59" s="471"/>
      <c r="CG59" s="437"/>
      <c r="CH59" s="436" t="s">
        <v>460</v>
      </c>
      <c r="CI59" s="471"/>
      <c r="CJ59" s="437"/>
      <c r="CK59" s="436" t="s">
        <v>461</v>
      </c>
      <c r="CL59" s="471"/>
      <c r="CM59" s="437"/>
    </row>
    <row r="60" spans="1:91" ht="16" thickBot="1" x14ac:dyDescent="0.25">
      <c r="A60" s="192" t="s">
        <v>179</v>
      </c>
      <c r="B60" s="195" t="s">
        <v>396</v>
      </c>
      <c r="C60" s="195" t="s">
        <v>397</v>
      </c>
      <c r="D60" s="196" t="s">
        <v>398</v>
      </c>
      <c r="E60" s="194" t="s">
        <v>396</v>
      </c>
      <c r="F60" s="195" t="s">
        <v>397</v>
      </c>
      <c r="G60" s="196" t="s">
        <v>398</v>
      </c>
      <c r="H60" s="194" t="s">
        <v>396</v>
      </c>
      <c r="I60" s="195" t="s">
        <v>397</v>
      </c>
      <c r="J60" s="196" t="s">
        <v>398</v>
      </c>
      <c r="K60" s="194" t="s">
        <v>396</v>
      </c>
      <c r="L60" s="195" t="s">
        <v>397</v>
      </c>
      <c r="M60" s="196" t="s">
        <v>398</v>
      </c>
      <c r="N60" s="194" t="s">
        <v>396</v>
      </c>
      <c r="O60" s="195" t="s">
        <v>397</v>
      </c>
      <c r="P60" s="196" t="s">
        <v>398</v>
      </c>
      <c r="Q60" s="195" t="s">
        <v>396</v>
      </c>
      <c r="R60" s="195" t="s">
        <v>397</v>
      </c>
      <c r="S60" s="196" t="s">
        <v>398</v>
      </c>
      <c r="T60" s="194" t="s">
        <v>396</v>
      </c>
      <c r="U60" s="195" t="s">
        <v>397</v>
      </c>
      <c r="V60" s="196" t="s">
        <v>398</v>
      </c>
      <c r="W60" s="194" t="s">
        <v>396</v>
      </c>
      <c r="X60" s="195" t="s">
        <v>397</v>
      </c>
      <c r="Y60" s="196" t="s">
        <v>398</v>
      </c>
      <c r="Z60" s="194" t="s">
        <v>396</v>
      </c>
      <c r="AA60" s="195" t="s">
        <v>397</v>
      </c>
      <c r="AB60" s="196" t="s">
        <v>398</v>
      </c>
      <c r="AC60" s="194" t="s">
        <v>396</v>
      </c>
      <c r="AD60" s="195" t="s">
        <v>397</v>
      </c>
      <c r="AE60" s="196" t="s">
        <v>398</v>
      </c>
      <c r="AF60" s="195" t="s">
        <v>396</v>
      </c>
      <c r="AG60" s="195" t="s">
        <v>397</v>
      </c>
      <c r="AH60" s="196" t="s">
        <v>398</v>
      </c>
      <c r="AI60" s="194" t="s">
        <v>396</v>
      </c>
      <c r="AJ60" s="195" t="s">
        <v>397</v>
      </c>
      <c r="AK60" s="196" t="s">
        <v>398</v>
      </c>
      <c r="AL60" s="194" t="s">
        <v>396</v>
      </c>
      <c r="AM60" s="195" t="s">
        <v>397</v>
      </c>
      <c r="AN60" s="196" t="s">
        <v>398</v>
      </c>
      <c r="AO60" s="194" t="s">
        <v>396</v>
      </c>
      <c r="AP60" s="195" t="s">
        <v>397</v>
      </c>
      <c r="AQ60" s="196" t="s">
        <v>398</v>
      </c>
      <c r="AR60" s="194" t="s">
        <v>396</v>
      </c>
      <c r="AS60" s="195" t="s">
        <v>397</v>
      </c>
      <c r="AT60" s="196" t="s">
        <v>398</v>
      </c>
      <c r="AU60" s="195" t="s">
        <v>396</v>
      </c>
      <c r="AV60" s="195" t="s">
        <v>397</v>
      </c>
      <c r="AW60" s="196" t="s">
        <v>398</v>
      </c>
      <c r="AX60" s="194" t="s">
        <v>396</v>
      </c>
      <c r="AY60" s="195" t="s">
        <v>397</v>
      </c>
      <c r="AZ60" s="196" t="s">
        <v>398</v>
      </c>
      <c r="BA60" s="194" t="s">
        <v>396</v>
      </c>
      <c r="BB60" s="195" t="s">
        <v>397</v>
      </c>
      <c r="BC60" s="196" t="s">
        <v>398</v>
      </c>
      <c r="BD60" s="194" t="s">
        <v>396</v>
      </c>
      <c r="BE60" s="195" t="s">
        <v>397</v>
      </c>
      <c r="BF60" s="196" t="s">
        <v>398</v>
      </c>
      <c r="BG60" s="194" t="s">
        <v>396</v>
      </c>
      <c r="BH60" s="195" t="s">
        <v>397</v>
      </c>
      <c r="BI60" s="196" t="s">
        <v>398</v>
      </c>
      <c r="BJ60" s="195" t="s">
        <v>396</v>
      </c>
      <c r="BK60" s="195" t="s">
        <v>397</v>
      </c>
      <c r="BL60" s="196" t="s">
        <v>398</v>
      </c>
      <c r="BM60" s="194" t="s">
        <v>396</v>
      </c>
      <c r="BN60" s="195" t="s">
        <v>397</v>
      </c>
      <c r="BO60" s="196" t="s">
        <v>398</v>
      </c>
      <c r="BP60" s="194" t="s">
        <v>396</v>
      </c>
      <c r="BQ60" s="195" t="s">
        <v>397</v>
      </c>
      <c r="BR60" s="196" t="s">
        <v>398</v>
      </c>
      <c r="BS60" s="194" t="s">
        <v>396</v>
      </c>
      <c r="BT60" s="195" t="s">
        <v>397</v>
      </c>
      <c r="BU60" s="196" t="s">
        <v>398</v>
      </c>
      <c r="BV60" s="194" t="s">
        <v>396</v>
      </c>
      <c r="BW60" s="195" t="s">
        <v>397</v>
      </c>
      <c r="BX60" s="196" t="s">
        <v>398</v>
      </c>
      <c r="BY60" s="195" t="s">
        <v>396</v>
      </c>
      <c r="BZ60" s="195" t="s">
        <v>397</v>
      </c>
      <c r="CA60" s="196" t="s">
        <v>398</v>
      </c>
      <c r="CB60" s="194" t="s">
        <v>396</v>
      </c>
      <c r="CC60" s="195" t="s">
        <v>397</v>
      </c>
      <c r="CD60" s="196" t="s">
        <v>398</v>
      </c>
      <c r="CE60" s="194" t="s">
        <v>396</v>
      </c>
      <c r="CF60" s="195" t="s">
        <v>397</v>
      </c>
      <c r="CG60" s="196" t="s">
        <v>398</v>
      </c>
      <c r="CH60" s="194" t="s">
        <v>396</v>
      </c>
      <c r="CI60" s="195" t="s">
        <v>397</v>
      </c>
      <c r="CJ60" s="196" t="s">
        <v>398</v>
      </c>
      <c r="CK60" s="194" t="s">
        <v>396</v>
      </c>
      <c r="CL60" s="195" t="s">
        <v>397</v>
      </c>
      <c r="CM60" s="196" t="s">
        <v>398</v>
      </c>
    </row>
    <row r="61" spans="1:91" x14ac:dyDescent="0.2">
      <c r="A61" s="205">
        <v>16060011</v>
      </c>
      <c r="B61" s="51">
        <v>0.11730491889049301</v>
      </c>
      <c r="C61" s="51">
        <v>0.124807850106715</v>
      </c>
      <c r="D61" s="51">
        <v>0.13188343473317399</v>
      </c>
      <c r="E61" s="51">
        <v>0.117437169158809</v>
      </c>
      <c r="F61" s="51">
        <v>0.124705504284465</v>
      </c>
      <c r="G61" s="51">
        <v>0.13179704328363201</v>
      </c>
      <c r="H61" s="51">
        <v>0.117319579451568</v>
      </c>
      <c r="I61" s="51">
        <v>0.124721766686143</v>
      </c>
      <c r="J61" s="51">
        <v>0.131814930767917</v>
      </c>
      <c r="K61" s="51">
        <v>0.117332378674425</v>
      </c>
      <c r="L61" s="51">
        <v>0.124779303318498</v>
      </c>
      <c r="M61" s="51">
        <v>0.131832816685655</v>
      </c>
      <c r="N61" s="51">
        <v>0.117325141729528</v>
      </c>
      <c r="O61" s="51">
        <v>0.124752809491154</v>
      </c>
      <c r="P61" s="201">
        <v>0.13176239423962799</v>
      </c>
      <c r="Q61" s="51">
        <v>6.1730307020756303</v>
      </c>
      <c r="R61" s="51">
        <v>6.7142427065261998</v>
      </c>
      <c r="S61" s="51">
        <v>7.3765674974984501</v>
      </c>
      <c r="T61" s="51">
        <v>5.9433126482785301</v>
      </c>
      <c r="U61" s="51">
        <v>6.5566126253662302</v>
      </c>
      <c r="V61" s="51">
        <v>7.1812765174517201</v>
      </c>
      <c r="W61" s="51">
        <v>6.2893416075574402</v>
      </c>
      <c r="X61" s="51">
        <v>7.1230119071733604</v>
      </c>
      <c r="Y61" s="51">
        <v>7.9606026540038997</v>
      </c>
      <c r="Z61" s="51">
        <v>5.6850002802902697</v>
      </c>
      <c r="AA61" s="51">
        <v>6.2365822089857001</v>
      </c>
      <c r="AB61" s="51">
        <v>6.8443589859773803</v>
      </c>
      <c r="AC61" s="51">
        <v>6.3822611976934596</v>
      </c>
      <c r="AD61" s="51">
        <v>7.0908517741138803</v>
      </c>
      <c r="AE61" s="201">
        <v>7.9222007093983198</v>
      </c>
      <c r="AF61" s="51">
        <v>0</v>
      </c>
      <c r="AG61" s="51">
        <v>0</v>
      </c>
      <c r="AH61" s="51">
        <v>0</v>
      </c>
      <c r="AI61" s="51">
        <v>0</v>
      </c>
      <c r="AJ61" s="51">
        <v>0</v>
      </c>
      <c r="AK61" s="51">
        <v>0</v>
      </c>
      <c r="AL61" s="51">
        <v>0</v>
      </c>
      <c r="AM61" s="51">
        <v>0</v>
      </c>
      <c r="AN61" s="51">
        <v>0</v>
      </c>
      <c r="AO61" s="51">
        <v>0</v>
      </c>
      <c r="AP61" s="51">
        <v>0</v>
      </c>
      <c r="AQ61" s="51">
        <v>0</v>
      </c>
      <c r="AR61" s="51">
        <v>0</v>
      </c>
      <c r="AS61" s="51">
        <v>0</v>
      </c>
      <c r="AT61" s="201">
        <v>0</v>
      </c>
      <c r="AU61" s="51">
        <v>44.406780819181499</v>
      </c>
      <c r="AV61" s="51">
        <v>69.190355967464697</v>
      </c>
      <c r="AW61" s="51">
        <v>102.73771957803601</v>
      </c>
      <c r="AX61" s="51">
        <v>59.149181391326799</v>
      </c>
      <c r="AY61" s="51">
        <v>127.632141815853</v>
      </c>
      <c r="AZ61" s="51">
        <v>238.34388697164701</v>
      </c>
      <c r="BA61" s="51">
        <v>112.45984491729</v>
      </c>
      <c r="BB61" s="51">
        <v>231.810320598114</v>
      </c>
      <c r="BC61" s="51">
        <v>428.73153131821198</v>
      </c>
      <c r="BD61" s="51">
        <v>35.726387590756403</v>
      </c>
      <c r="BE61" s="51">
        <v>59.2735255684184</v>
      </c>
      <c r="BF61" s="51">
        <v>93.684750989158502</v>
      </c>
      <c r="BG61" s="51">
        <v>84.810075763183605</v>
      </c>
      <c r="BH61" s="51">
        <v>176.04029249238701</v>
      </c>
      <c r="BI61" s="201">
        <v>324.17372586916298</v>
      </c>
      <c r="BJ61" s="51">
        <v>0.29301360311928898</v>
      </c>
      <c r="BK61" s="51">
        <v>0.29851455679417899</v>
      </c>
      <c r="BL61" s="51">
        <v>0.304488091989776</v>
      </c>
      <c r="BM61" s="51">
        <v>0.29310885474668902</v>
      </c>
      <c r="BN61" s="51">
        <v>0.29851058858085</v>
      </c>
      <c r="BO61" s="51">
        <v>0.30455336294437502</v>
      </c>
      <c r="BP61" s="51">
        <v>0.29306286662914</v>
      </c>
      <c r="BQ61" s="51">
        <v>0.298464312103706</v>
      </c>
      <c r="BR61" s="51">
        <v>0.30450818688713999</v>
      </c>
      <c r="BS61" s="51">
        <v>0.29302270429188998</v>
      </c>
      <c r="BT61" s="51">
        <v>0.29843798396582399</v>
      </c>
      <c r="BU61" s="51">
        <v>0.30448010928304298</v>
      </c>
      <c r="BV61" s="51">
        <v>0.29297791398448503</v>
      </c>
      <c r="BW61" s="51">
        <v>0.298517753818547</v>
      </c>
      <c r="BX61" s="201">
        <v>0.30441583233948399</v>
      </c>
      <c r="BY61" s="51">
        <v>0</v>
      </c>
      <c r="BZ61" s="51">
        <v>0</v>
      </c>
      <c r="CA61" s="51">
        <v>0</v>
      </c>
      <c r="CB61" s="51">
        <v>0</v>
      </c>
      <c r="CC61" s="51">
        <v>0</v>
      </c>
      <c r="CD61" s="51">
        <v>0</v>
      </c>
      <c r="CE61" s="51">
        <v>0</v>
      </c>
      <c r="CF61" s="51">
        <v>0</v>
      </c>
      <c r="CG61" s="51">
        <v>0</v>
      </c>
      <c r="CH61" s="51">
        <v>0</v>
      </c>
      <c r="CI61" s="51">
        <v>0</v>
      </c>
      <c r="CJ61" s="51">
        <v>0</v>
      </c>
      <c r="CK61" s="51">
        <v>0</v>
      </c>
      <c r="CL61" s="51">
        <v>0</v>
      </c>
      <c r="CM61" s="201">
        <v>0</v>
      </c>
    </row>
    <row r="62" spans="1:91" x14ac:dyDescent="0.2">
      <c r="A62" s="205">
        <v>15030202</v>
      </c>
      <c r="B62" s="51">
        <v>20.839065477205899</v>
      </c>
      <c r="C62" s="51">
        <v>22.224722019675401</v>
      </c>
      <c r="D62" s="51">
        <v>23.5089476867002</v>
      </c>
      <c r="E62" s="51">
        <v>20.8582816936628</v>
      </c>
      <c r="F62" s="51">
        <v>22.252634694032999</v>
      </c>
      <c r="G62" s="51">
        <v>23.510456392222199</v>
      </c>
      <c r="H62" s="51">
        <v>20.846606459339998</v>
      </c>
      <c r="I62" s="51">
        <v>22.2195075185147</v>
      </c>
      <c r="J62" s="51">
        <v>23.499379666655098</v>
      </c>
      <c r="K62" s="51">
        <v>20.837572660086199</v>
      </c>
      <c r="L62" s="51">
        <v>22.216513646926899</v>
      </c>
      <c r="M62" s="51">
        <v>23.497016084836901</v>
      </c>
      <c r="N62" s="51">
        <v>20.864758249833599</v>
      </c>
      <c r="O62" s="51">
        <v>22.2300043614825</v>
      </c>
      <c r="P62" s="201">
        <v>23.5144157162316</v>
      </c>
      <c r="Q62" s="51">
        <v>46.892360702833003</v>
      </c>
      <c r="R62" s="51">
        <v>50.675173668365403</v>
      </c>
      <c r="S62" s="51">
        <v>55.226344832447602</v>
      </c>
      <c r="T62" s="51">
        <v>40.584310051565303</v>
      </c>
      <c r="U62" s="51">
        <v>43.859614860945399</v>
      </c>
      <c r="V62" s="51">
        <v>47.099213975673898</v>
      </c>
      <c r="W62" s="51">
        <v>46.641459746188097</v>
      </c>
      <c r="X62" s="51">
        <v>52.384328978907199</v>
      </c>
      <c r="Y62" s="51">
        <v>59.092917761866303</v>
      </c>
      <c r="Z62" s="51">
        <v>39.227661479617701</v>
      </c>
      <c r="AA62" s="51">
        <v>42.479459035306199</v>
      </c>
      <c r="AB62" s="51">
        <v>46.285301238617897</v>
      </c>
      <c r="AC62" s="51">
        <v>44.120582525412402</v>
      </c>
      <c r="AD62" s="51">
        <v>48.767564937266897</v>
      </c>
      <c r="AE62" s="201">
        <v>54.198515266058102</v>
      </c>
      <c r="AF62" s="51">
        <v>0</v>
      </c>
      <c r="AG62" s="51">
        <v>0</v>
      </c>
      <c r="AH62" s="51">
        <v>0</v>
      </c>
      <c r="AI62" s="51">
        <v>0</v>
      </c>
      <c r="AJ62" s="51">
        <v>0</v>
      </c>
      <c r="AK62" s="51">
        <v>0</v>
      </c>
      <c r="AL62" s="51">
        <v>0</v>
      </c>
      <c r="AM62" s="51">
        <v>0</v>
      </c>
      <c r="AN62" s="51">
        <v>0</v>
      </c>
      <c r="AO62" s="51">
        <v>0</v>
      </c>
      <c r="AP62" s="51">
        <v>0</v>
      </c>
      <c r="AQ62" s="51">
        <v>0</v>
      </c>
      <c r="AR62" s="51">
        <v>0</v>
      </c>
      <c r="AS62" s="51">
        <v>0</v>
      </c>
      <c r="AT62" s="201">
        <v>0</v>
      </c>
      <c r="AU62" s="51">
        <v>71.730840984532094</v>
      </c>
      <c r="AV62" s="51">
        <v>100.089292612336</v>
      </c>
      <c r="AW62" s="51">
        <v>127.913933890053</v>
      </c>
      <c r="AX62" s="51">
        <v>22.206749413553201</v>
      </c>
      <c r="AY62" s="51">
        <v>38.5559155361317</v>
      </c>
      <c r="AZ62" s="51">
        <v>58.867733405993903</v>
      </c>
      <c r="BA62" s="51">
        <v>183.886546568293</v>
      </c>
      <c r="BB62" s="51">
        <v>553.12114812723996</v>
      </c>
      <c r="BC62" s="51">
        <v>1143.18936452712</v>
      </c>
      <c r="BD62" s="51">
        <v>29.6839652347387</v>
      </c>
      <c r="BE62" s="51">
        <v>41.657169850218096</v>
      </c>
      <c r="BF62" s="51">
        <v>56.326172911392398</v>
      </c>
      <c r="BG62" s="51">
        <v>68.666243720153204</v>
      </c>
      <c r="BH62" s="51">
        <v>114.414730390584</v>
      </c>
      <c r="BI62" s="201">
        <v>179.10435171223</v>
      </c>
      <c r="BJ62" s="51">
        <v>0.38023651334193997</v>
      </c>
      <c r="BK62" s="51">
        <v>0.3883747535755</v>
      </c>
      <c r="BL62" s="51">
        <v>0.39732012042020498</v>
      </c>
      <c r="BM62" s="51">
        <v>0.38019315737301101</v>
      </c>
      <c r="BN62" s="51">
        <v>0.38836991509082602</v>
      </c>
      <c r="BO62" s="51">
        <v>0.39710619640079797</v>
      </c>
      <c r="BP62" s="51">
        <v>0.380181190677161</v>
      </c>
      <c r="BQ62" s="51">
        <v>0.388230147044828</v>
      </c>
      <c r="BR62" s="51">
        <v>0.39737866884816297</v>
      </c>
      <c r="BS62" s="51">
        <v>0.38002573166152298</v>
      </c>
      <c r="BT62" s="51">
        <v>0.3884156751617</v>
      </c>
      <c r="BU62" s="51">
        <v>0.39727308857399302</v>
      </c>
      <c r="BV62" s="51">
        <v>0.38010971061451099</v>
      </c>
      <c r="BW62" s="51">
        <v>0.38833588275576097</v>
      </c>
      <c r="BX62" s="201">
        <v>0.39733656663348799</v>
      </c>
      <c r="BY62" s="51">
        <v>1.62003195969846</v>
      </c>
      <c r="BZ62" s="51">
        <v>1.87417256903991</v>
      </c>
      <c r="CA62" s="51">
        <v>2.1849590510071302</v>
      </c>
      <c r="CB62" s="51">
        <v>1.61080245249634</v>
      </c>
      <c r="CC62" s="51">
        <v>1.85880527608589</v>
      </c>
      <c r="CD62" s="51">
        <v>2.1570666793973001</v>
      </c>
      <c r="CE62" s="51">
        <v>1.57656126796588</v>
      </c>
      <c r="CF62" s="51">
        <v>1.87060380892157</v>
      </c>
      <c r="CG62" s="51">
        <v>2.2057584454127301</v>
      </c>
      <c r="CH62" s="51">
        <v>1.56723299676975</v>
      </c>
      <c r="CI62" s="51">
        <v>1.77537650785823</v>
      </c>
      <c r="CJ62" s="51">
        <v>2.0341687360678899</v>
      </c>
      <c r="CK62" s="51">
        <v>1.6183352705574401</v>
      </c>
      <c r="CL62" s="51">
        <v>1.8700176129675199</v>
      </c>
      <c r="CM62" s="201">
        <v>2.1907341962802498</v>
      </c>
    </row>
    <row r="63" spans="1:91" x14ac:dyDescent="0.2">
      <c r="A63" s="205">
        <v>15030201</v>
      </c>
      <c r="B63" s="51">
        <v>20.874592299977401</v>
      </c>
      <c r="C63" s="51">
        <v>22.2164313970306</v>
      </c>
      <c r="D63" s="51">
        <v>23.5252415943649</v>
      </c>
      <c r="E63" s="51">
        <v>20.8319555844128</v>
      </c>
      <c r="F63" s="51">
        <v>22.219991738208002</v>
      </c>
      <c r="G63" s="51">
        <v>23.515004315546499</v>
      </c>
      <c r="H63" s="51">
        <v>20.843071430798801</v>
      </c>
      <c r="I63" s="51">
        <v>22.203749878507601</v>
      </c>
      <c r="J63" s="51">
        <v>23.502641822237798</v>
      </c>
      <c r="K63" s="51">
        <v>20.885564141909601</v>
      </c>
      <c r="L63" s="51">
        <v>22.225421296878601</v>
      </c>
      <c r="M63" s="51">
        <v>23.523075768321299</v>
      </c>
      <c r="N63" s="51">
        <v>20.850937300944199</v>
      </c>
      <c r="O63" s="51">
        <v>22.234136695274898</v>
      </c>
      <c r="P63" s="201">
        <v>23.511702353822301</v>
      </c>
      <c r="Q63" s="51">
        <v>46.988992995350301</v>
      </c>
      <c r="R63" s="51">
        <v>50.721610099203403</v>
      </c>
      <c r="S63" s="51">
        <v>55.201567080259998</v>
      </c>
      <c r="T63" s="51">
        <v>40.586259166253399</v>
      </c>
      <c r="U63" s="51">
        <v>43.848762956057797</v>
      </c>
      <c r="V63" s="51">
        <v>47.2445063737919</v>
      </c>
      <c r="W63" s="51">
        <v>46.662847197994097</v>
      </c>
      <c r="X63" s="51">
        <v>52.2667890044751</v>
      </c>
      <c r="Y63" s="51">
        <v>58.7260868923685</v>
      </c>
      <c r="Z63" s="51">
        <v>39.176200784229799</v>
      </c>
      <c r="AA63" s="51">
        <v>42.3995888760941</v>
      </c>
      <c r="AB63" s="51">
        <v>46.236197292098097</v>
      </c>
      <c r="AC63" s="51">
        <v>44.102112185148599</v>
      </c>
      <c r="AD63" s="51">
        <v>48.769007972169597</v>
      </c>
      <c r="AE63" s="201">
        <v>54.229770441372303</v>
      </c>
      <c r="AF63" s="51">
        <v>0</v>
      </c>
      <c r="AG63" s="51">
        <v>0</v>
      </c>
      <c r="AH63" s="51">
        <v>0</v>
      </c>
      <c r="AI63" s="51">
        <v>0</v>
      </c>
      <c r="AJ63" s="51">
        <v>0</v>
      </c>
      <c r="AK63" s="51">
        <v>0</v>
      </c>
      <c r="AL63" s="51">
        <v>0</v>
      </c>
      <c r="AM63" s="51">
        <v>0</v>
      </c>
      <c r="AN63" s="51">
        <v>0</v>
      </c>
      <c r="AO63" s="51">
        <v>0</v>
      </c>
      <c r="AP63" s="51">
        <v>0</v>
      </c>
      <c r="AQ63" s="51">
        <v>0</v>
      </c>
      <c r="AR63" s="51">
        <v>0</v>
      </c>
      <c r="AS63" s="51">
        <v>0</v>
      </c>
      <c r="AT63" s="201">
        <v>0</v>
      </c>
      <c r="AU63" s="51">
        <v>71.324315083538906</v>
      </c>
      <c r="AV63" s="51">
        <v>100.413946835041</v>
      </c>
      <c r="AW63" s="51">
        <v>128.34617990516099</v>
      </c>
      <c r="AX63" s="51">
        <v>22.799387094219099</v>
      </c>
      <c r="AY63" s="51">
        <v>38.941334566515202</v>
      </c>
      <c r="AZ63" s="51">
        <v>58.8528877035832</v>
      </c>
      <c r="BA63" s="51">
        <v>188.16168163523901</v>
      </c>
      <c r="BB63" s="51">
        <v>551.73658430722901</v>
      </c>
      <c r="BC63" s="51">
        <v>1141.18408720452</v>
      </c>
      <c r="BD63" s="51">
        <v>29.814888994955599</v>
      </c>
      <c r="BE63" s="51">
        <v>41.943445177403603</v>
      </c>
      <c r="BF63" s="51">
        <v>56.531981213149699</v>
      </c>
      <c r="BG63" s="51">
        <v>69.720965371247203</v>
      </c>
      <c r="BH63" s="51">
        <v>114.84179956340699</v>
      </c>
      <c r="BI63" s="201">
        <v>180.58166547462699</v>
      </c>
      <c r="BJ63" s="51">
        <v>0.37997833728908798</v>
      </c>
      <c r="BK63" s="51">
        <v>0.38849275456765098</v>
      </c>
      <c r="BL63" s="51">
        <v>0.39728694350580701</v>
      </c>
      <c r="BM63" s="51">
        <v>0.38020589947062899</v>
      </c>
      <c r="BN63" s="51">
        <v>0.38842761179579799</v>
      </c>
      <c r="BO63" s="51">
        <v>0.39710428524027402</v>
      </c>
      <c r="BP63" s="51">
        <v>0.38032241966268199</v>
      </c>
      <c r="BQ63" s="51">
        <v>0.38834564687965001</v>
      </c>
      <c r="BR63" s="51">
        <v>0.39716901472328198</v>
      </c>
      <c r="BS63" s="51">
        <v>0.38019777279920097</v>
      </c>
      <c r="BT63" s="51">
        <v>0.38842196973350401</v>
      </c>
      <c r="BU63" s="51">
        <v>0.39712617213894602</v>
      </c>
      <c r="BV63" s="51">
        <v>0.38028298861298998</v>
      </c>
      <c r="BW63" s="51">
        <v>0.38834657543018702</v>
      </c>
      <c r="BX63" s="201">
        <v>0.39706066457725497</v>
      </c>
      <c r="BY63" s="51">
        <v>1.6194987976113799</v>
      </c>
      <c r="BZ63" s="51">
        <v>1.86769050988059</v>
      </c>
      <c r="CA63" s="51">
        <v>2.17988418023186</v>
      </c>
      <c r="CB63" s="51">
        <v>1.6089288786129901</v>
      </c>
      <c r="CC63" s="51">
        <v>1.8585284932020301</v>
      </c>
      <c r="CD63" s="51">
        <v>2.1452434306305301</v>
      </c>
      <c r="CE63" s="51">
        <v>1.5833341885493899</v>
      </c>
      <c r="CF63" s="51">
        <v>1.8762767494583501</v>
      </c>
      <c r="CG63" s="51">
        <v>2.2102982127095001</v>
      </c>
      <c r="CH63" s="51">
        <v>1.56497621626116</v>
      </c>
      <c r="CI63" s="51">
        <v>1.77354116138756</v>
      </c>
      <c r="CJ63" s="51">
        <v>2.0334389401216399</v>
      </c>
      <c r="CK63" s="51">
        <v>1.61953322565405</v>
      </c>
      <c r="CL63" s="51">
        <v>1.8698036799185001</v>
      </c>
      <c r="CM63" s="201">
        <v>2.1926009333468501</v>
      </c>
    </row>
    <row r="64" spans="1:91" x14ac:dyDescent="0.2">
      <c r="A64" s="205">
        <v>18100204</v>
      </c>
      <c r="B64" s="51">
        <v>21.3940843412012</v>
      </c>
      <c r="C64" s="51">
        <v>22.449578007749601</v>
      </c>
      <c r="D64" s="51">
        <v>23.3982271485213</v>
      </c>
      <c r="E64" s="51">
        <v>21.388338321203801</v>
      </c>
      <c r="F64" s="51">
        <v>22.433628947951401</v>
      </c>
      <c r="G64" s="51">
        <v>23.380033811004399</v>
      </c>
      <c r="H64" s="51">
        <v>21.390534252184398</v>
      </c>
      <c r="I64" s="51">
        <v>22.431852440673602</v>
      </c>
      <c r="J64" s="51">
        <v>23.3644351371426</v>
      </c>
      <c r="K64" s="51">
        <v>21.417489940420801</v>
      </c>
      <c r="L64" s="51">
        <v>22.456804179437398</v>
      </c>
      <c r="M64" s="51">
        <v>23.373778041135701</v>
      </c>
      <c r="N64" s="51">
        <v>21.402736826510999</v>
      </c>
      <c r="O64" s="51">
        <v>22.4358220847854</v>
      </c>
      <c r="P64" s="201">
        <v>23.366747333272901</v>
      </c>
      <c r="Q64" s="51">
        <v>21.828511437909199</v>
      </c>
      <c r="R64" s="51">
        <v>23.409207613337301</v>
      </c>
      <c r="S64" s="51">
        <v>24.885463753150901</v>
      </c>
      <c r="T64" s="51">
        <v>23.595516153336501</v>
      </c>
      <c r="U64" s="51">
        <v>24.9400264389133</v>
      </c>
      <c r="V64" s="51">
        <v>26.243679665406599</v>
      </c>
      <c r="W64" s="51">
        <v>23.539929101054899</v>
      </c>
      <c r="X64" s="51">
        <v>25.746745153248899</v>
      </c>
      <c r="Y64" s="51">
        <v>27.7431984494857</v>
      </c>
      <c r="Z64" s="51">
        <v>21.291947649795901</v>
      </c>
      <c r="AA64" s="51">
        <v>22.581177764974999</v>
      </c>
      <c r="AB64" s="51">
        <v>23.9421678514225</v>
      </c>
      <c r="AC64" s="51">
        <v>23.219341646522501</v>
      </c>
      <c r="AD64" s="51">
        <v>24.912858692322398</v>
      </c>
      <c r="AE64" s="201">
        <v>26.6378260829213</v>
      </c>
      <c r="AF64" s="51">
        <v>0</v>
      </c>
      <c r="AG64" s="51">
        <v>0</v>
      </c>
      <c r="AH64" s="51">
        <v>0</v>
      </c>
      <c r="AI64" s="51">
        <v>0</v>
      </c>
      <c r="AJ64" s="51">
        <v>0</v>
      </c>
      <c r="AK64" s="51">
        <v>0</v>
      </c>
      <c r="AL64" s="51">
        <v>0</v>
      </c>
      <c r="AM64" s="51">
        <v>0</v>
      </c>
      <c r="AN64" s="51">
        <v>0</v>
      </c>
      <c r="AO64" s="51">
        <v>0</v>
      </c>
      <c r="AP64" s="51">
        <v>0</v>
      </c>
      <c r="AQ64" s="51">
        <v>0</v>
      </c>
      <c r="AR64" s="51">
        <v>0</v>
      </c>
      <c r="AS64" s="51">
        <v>0</v>
      </c>
      <c r="AT64" s="201">
        <v>0</v>
      </c>
      <c r="AU64" s="51">
        <v>688.96093794965702</v>
      </c>
      <c r="AV64" s="51">
        <v>1150.8540588548601</v>
      </c>
      <c r="AW64" s="51">
        <v>1568.5403820566801</v>
      </c>
      <c r="AX64" s="51">
        <v>872.93888117859399</v>
      </c>
      <c r="AY64" s="51">
        <v>1537.9962580378401</v>
      </c>
      <c r="AZ64" s="51">
        <v>2385.1438614229301</v>
      </c>
      <c r="BA64" s="51">
        <v>4139.38068790338</v>
      </c>
      <c r="BB64" s="51">
        <v>8858.1257154007108</v>
      </c>
      <c r="BC64" s="51">
        <v>15908.206880600501</v>
      </c>
      <c r="BD64" s="51">
        <v>1276.18849845001</v>
      </c>
      <c r="BE64" s="51">
        <v>1993.18271850623</v>
      </c>
      <c r="BF64" s="51">
        <v>2700.0627381196</v>
      </c>
      <c r="BG64" s="51">
        <v>888.38337836053097</v>
      </c>
      <c r="BH64" s="51">
        <v>1535.2933669409199</v>
      </c>
      <c r="BI64" s="201">
        <v>2363.2511825954498</v>
      </c>
      <c r="BJ64" s="51">
        <v>5.8398843258944497</v>
      </c>
      <c r="BK64" s="51">
        <v>5.8622904961706297</v>
      </c>
      <c r="BL64" s="51">
        <v>5.89323885874638</v>
      </c>
      <c r="BM64" s="51">
        <v>5.8395095463269104</v>
      </c>
      <c r="BN64" s="51">
        <v>5.8623832380119403</v>
      </c>
      <c r="BO64" s="51">
        <v>5.8936743464567698</v>
      </c>
      <c r="BP64" s="51">
        <v>5.8396432873884798</v>
      </c>
      <c r="BQ64" s="51">
        <v>5.8624288701257203</v>
      </c>
      <c r="BR64" s="51">
        <v>5.8937959543152401</v>
      </c>
      <c r="BS64" s="51">
        <v>5.8398947171315996</v>
      </c>
      <c r="BT64" s="51">
        <v>5.8623674195420197</v>
      </c>
      <c r="BU64" s="51">
        <v>5.8939437237097598</v>
      </c>
      <c r="BV64" s="51">
        <v>5.8394994814276897</v>
      </c>
      <c r="BW64" s="51">
        <v>5.8626825452308404</v>
      </c>
      <c r="BX64" s="201">
        <v>5.8942477043938899</v>
      </c>
      <c r="BY64" s="51">
        <v>0</v>
      </c>
      <c r="BZ64" s="51">
        <v>0</v>
      </c>
      <c r="CA64" s="51">
        <v>0</v>
      </c>
      <c r="CB64" s="51">
        <v>0</v>
      </c>
      <c r="CC64" s="51">
        <v>0</v>
      </c>
      <c r="CD64" s="51">
        <v>0</v>
      </c>
      <c r="CE64" s="51">
        <v>0</v>
      </c>
      <c r="CF64" s="51">
        <v>0</v>
      </c>
      <c r="CG64" s="51">
        <v>0</v>
      </c>
      <c r="CH64" s="51">
        <v>0</v>
      </c>
      <c r="CI64" s="51">
        <v>0</v>
      </c>
      <c r="CJ64" s="51">
        <v>0</v>
      </c>
      <c r="CK64" s="51">
        <v>0</v>
      </c>
      <c r="CL64" s="51">
        <v>0</v>
      </c>
      <c r="CM64" s="201">
        <v>0</v>
      </c>
    </row>
    <row r="65" spans="1:91" x14ac:dyDescent="0.2">
      <c r="A65" s="205">
        <v>16060013</v>
      </c>
      <c r="B65" s="51">
        <v>0.117342307287939</v>
      </c>
      <c r="C65" s="51">
        <v>0.124825360550984</v>
      </c>
      <c r="D65" s="51">
        <v>0.13179253183752199</v>
      </c>
      <c r="E65" s="51">
        <v>0.117359285886423</v>
      </c>
      <c r="F65" s="51">
        <v>0.12466833985486001</v>
      </c>
      <c r="G65" s="51">
        <v>0.13167227901754699</v>
      </c>
      <c r="H65" s="51">
        <v>0.117437951449487</v>
      </c>
      <c r="I65" s="51">
        <v>0.124796863398092</v>
      </c>
      <c r="J65" s="51">
        <v>0.13171850082049799</v>
      </c>
      <c r="K65" s="51">
        <v>0.117403803824257</v>
      </c>
      <c r="L65" s="51">
        <v>0.12489151844763099</v>
      </c>
      <c r="M65" s="51">
        <v>0.131774745672397</v>
      </c>
      <c r="N65" s="51">
        <v>0.117299114763787</v>
      </c>
      <c r="O65" s="51">
        <v>0.124774386372695</v>
      </c>
      <c r="P65" s="201">
        <v>0.131682364089798</v>
      </c>
      <c r="Q65" s="51">
        <v>6.1688129328031103</v>
      </c>
      <c r="R65" s="51">
        <v>6.7056733519476701</v>
      </c>
      <c r="S65" s="51">
        <v>7.3448309921008201</v>
      </c>
      <c r="T65" s="51">
        <v>5.9170651873947104</v>
      </c>
      <c r="U65" s="51">
        <v>6.5531585214069796</v>
      </c>
      <c r="V65" s="51">
        <v>7.1701161767132104</v>
      </c>
      <c r="W65" s="51">
        <v>6.2968569830674097</v>
      </c>
      <c r="X65" s="51">
        <v>7.1279114841667504</v>
      </c>
      <c r="Y65" s="51">
        <v>7.96573116258591</v>
      </c>
      <c r="Z65" s="51">
        <v>5.6769670751002597</v>
      </c>
      <c r="AA65" s="51">
        <v>6.2322691481515804</v>
      </c>
      <c r="AB65" s="51">
        <v>6.8562109154587496</v>
      </c>
      <c r="AC65" s="51">
        <v>6.3832140007680804</v>
      </c>
      <c r="AD65" s="51">
        <v>7.0831967440988004</v>
      </c>
      <c r="AE65" s="201">
        <v>7.91534964071543</v>
      </c>
      <c r="AF65" s="51">
        <v>0</v>
      </c>
      <c r="AG65" s="51">
        <v>0</v>
      </c>
      <c r="AH65" s="51">
        <v>0</v>
      </c>
      <c r="AI65" s="51">
        <v>0</v>
      </c>
      <c r="AJ65" s="51">
        <v>0</v>
      </c>
      <c r="AK65" s="51">
        <v>0</v>
      </c>
      <c r="AL65" s="51">
        <v>0</v>
      </c>
      <c r="AM65" s="51">
        <v>0</v>
      </c>
      <c r="AN65" s="51">
        <v>0</v>
      </c>
      <c r="AO65" s="51">
        <v>0</v>
      </c>
      <c r="AP65" s="51">
        <v>0</v>
      </c>
      <c r="AQ65" s="51">
        <v>0</v>
      </c>
      <c r="AR65" s="51">
        <v>0</v>
      </c>
      <c r="AS65" s="51">
        <v>0</v>
      </c>
      <c r="AT65" s="201">
        <v>0</v>
      </c>
      <c r="AU65" s="51">
        <v>44.260857697084603</v>
      </c>
      <c r="AV65" s="51">
        <v>69.163189411499999</v>
      </c>
      <c r="AW65" s="51">
        <v>103.455500090925</v>
      </c>
      <c r="AX65" s="51">
        <v>57.555723529087302</v>
      </c>
      <c r="AY65" s="51">
        <v>127.91856280856</v>
      </c>
      <c r="AZ65" s="51">
        <v>237.35618144844</v>
      </c>
      <c r="BA65" s="51">
        <v>110.53771745520901</v>
      </c>
      <c r="BB65" s="51">
        <v>234.59936190705599</v>
      </c>
      <c r="BC65" s="51">
        <v>427.42061564324001</v>
      </c>
      <c r="BD65" s="51">
        <v>36.501450107595602</v>
      </c>
      <c r="BE65" s="51">
        <v>59.039252188743603</v>
      </c>
      <c r="BF65" s="51">
        <v>93.867911633651502</v>
      </c>
      <c r="BG65" s="51">
        <v>81.97919376646</v>
      </c>
      <c r="BH65" s="51">
        <v>173.66670721493</v>
      </c>
      <c r="BI65" s="201">
        <v>319.06798090607901</v>
      </c>
      <c r="BJ65" s="51">
        <v>0.29314054146791102</v>
      </c>
      <c r="BK65" s="51">
        <v>0.29862453129852301</v>
      </c>
      <c r="BL65" s="51">
        <v>0.30455770816459898</v>
      </c>
      <c r="BM65" s="51">
        <v>0.29305508311626699</v>
      </c>
      <c r="BN65" s="51">
        <v>0.29857132961479599</v>
      </c>
      <c r="BO65" s="51">
        <v>0.30444675533479898</v>
      </c>
      <c r="BP65" s="51">
        <v>0.29309490897248802</v>
      </c>
      <c r="BQ65" s="51">
        <v>0.29847307286196501</v>
      </c>
      <c r="BR65" s="51">
        <v>0.30426580909698397</v>
      </c>
      <c r="BS65" s="51">
        <v>0.29311446773432098</v>
      </c>
      <c r="BT65" s="51">
        <v>0.29848108748101798</v>
      </c>
      <c r="BU65" s="51">
        <v>0.30444493162417202</v>
      </c>
      <c r="BV65" s="51">
        <v>0.29311918295571499</v>
      </c>
      <c r="BW65" s="51">
        <v>0.29855724111971899</v>
      </c>
      <c r="BX65" s="201">
        <v>0.30444075649383201</v>
      </c>
      <c r="BY65" s="51">
        <v>0</v>
      </c>
      <c r="BZ65" s="51">
        <v>0</v>
      </c>
      <c r="CA65" s="51">
        <v>0</v>
      </c>
      <c r="CB65" s="51">
        <v>0</v>
      </c>
      <c r="CC65" s="51">
        <v>0</v>
      </c>
      <c r="CD65" s="51">
        <v>0</v>
      </c>
      <c r="CE65" s="51">
        <v>0</v>
      </c>
      <c r="CF65" s="51">
        <v>0</v>
      </c>
      <c r="CG65" s="51">
        <v>0</v>
      </c>
      <c r="CH65" s="51">
        <v>0</v>
      </c>
      <c r="CI65" s="51">
        <v>0</v>
      </c>
      <c r="CJ65" s="51">
        <v>0</v>
      </c>
      <c r="CK65" s="51">
        <v>0</v>
      </c>
      <c r="CL65" s="51">
        <v>0</v>
      </c>
      <c r="CM65" s="201">
        <v>0</v>
      </c>
    </row>
    <row r="66" spans="1:91" x14ac:dyDescent="0.2">
      <c r="A66" s="205">
        <v>18090208</v>
      </c>
      <c r="B66" s="51">
        <v>9.2793937516672997</v>
      </c>
      <c r="C66" s="51">
        <v>9.7007696893785198</v>
      </c>
      <c r="D66" s="51">
        <v>10.083974605474101</v>
      </c>
      <c r="E66" s="51">
        <v>9.2787271330326195</v>
      </c>
      <c r="F66" s="51">
        <v>9.69487462856452</v>
      </c>
      <c r="G66" s="51">
        <v>10.0753505912066</v>
      </c>
      <c r="H66" s="51">
        <v>9.2862670990052703</v>
      </c>
      <c r="I66" s="51">
        <v>9.6972205542170702</v>
      </c>
      <c r="J66" s="51">
        <v>10.075239087040099</v>
      </c>
      <c r="K66" s="51">
        <v>9.2852760884646699</v>
      </c>
      <c r="L66" s="51">
        <v>9.6987096456957804</v>
      </c>
      <c r="M66" s="51">
        <v>10.0633637736954</v>
      </c>
      <c r="N66" s="51">
        <v>9.2823064195548604</v>
      </c>
      <c r="O66" s="51">
        <v>9.6982237944301097</v>
      </c>
      <c r="P66" s="201">
        <v>10.078170744698999</v>
      </c>
      <c r="Q66" s="51">
        <v>354.99050011574701</v>
      </c>
      <c r="R66" s="51">
        <v>390.683406750551</v>
      </c>
      <c r="S66" s="51">
        <v>431.87342977154799</v>
      </c>
      <c r="T66" s="51">
        <v>397.19957130956902</v>
      </c>
      <c r="U66" s="51">
        <v>431.97993999379599</v>
      </c>
      <c r="V66" s="51">
        <v>463.98658957515698</v>
      </c>
      <c r="W66" s="51">
        <v>426.39303091427797</v>
      </c>
      <c r="X66" s="51">
        <v>473.40565564203399</v>
      </c>
      <c r="Y66" s="51">
        <v>525.72666277122505</v>
      </c>
      <c r="Z66" s="51">
        <v>362.57259857689098</v>
      </c>
      <c r="AA66" s="51">
        <v>385.02148922616902</v>
      </c>
      <c r="AB66" s="51">
        <v>413.43980430161599</v>
      </c>
      <c r="AC66" s="51">
        <v>372.30820835939102</v>
      </c>
      <c r="AD66" s="51">
        <v>410.83867862454002</v>
      </c>
      <c r="AE66" s="201">
        <v>454.81226620285003</v>
      </c>
      <c r="AF66" s="51">
        <v>0</v>
      </c>
      <c r="AG66" s="51">
        <v>0</v>
      </c>
      <c r="AH66" s="51">
        <v>0</v>
      </c>
      <c r="AI66" s="51">
        <v>0</v>
      </c>
      <c r="AJ66" s="51">
        <v>0</v>
      </c>
      <c r="AK66" s="51">
        <v>0</v>
      </c>
      <c r="AL66" s="51">
        <v>0</v>
      </c>
      <c r="AM66" s="51">
        <v>0</v>
      </c>
      <c r="AN66" s="51">
        <v>0</v>
      </c>
      <c r="AO66" s="51">
        <v>0</v>
      </c>
      <c r="AP66" s="51">
        <v>0</v>
      </c>
      <c r="AQ66" s="51">
        <v>0</v>
      </c>
      <c r="AR66" s="51">
        <v>0</v>
      </c>
      <c r="AS66" s="51">
        <v>0</v>
      </c>
      <c r="AT66" s="201">
        <v>0</v>
      </c>
      <c r="AU66" s="51">
        <v>278.67516651555098</v>
      </c>
      <c r="AV66" s="51">
        <v>429.31377930958399</v>
      </c>
      <c r="AW66" s="51">
        <v>600.474411807043</v>
      </c>
      <c r="AX66" s="51">
        <v>626.09917923600801</v>
      </c>
      <c r="AY66" s="51">
        <v>1120.2065100426701</v>
      </c>
      <c r="AZ66" s="51">
        <v>1841.73683923986</v>
      </c>
      <c r="BA66" s="51">
        <v>1465.6402610037401</v>
      </c>
      <c r="BB66" s="51">
        <v>2916.4738515199301</v>
      </c>
      <c r="BC66" s="51">
        <v>5126.1407420648702</v>
      </c>
      <c r="BD66" s="51">
        <v>427.65800005673498</v>
      </c>
      <c r="BE66" s="51">
        <v>633.96760734715303</v>
      </c>
      <c r="BF66" s="51">
        <v>920.18376506823495</v>
      </c>
      <c r="BG66" s="51">
        <v>352.03555657505598</v>
      </c>
      <c r="BH66" s="51">
        <v>644.58066029835902</v>
      </c>
      <c r="BI66" s="201">
        <v>1105.7292462094999</v>
      </c>
      <c r="BJ66" s="51">
        <v>6.3934949825923004</v>
      </c>
      <c r="BK66" s="51">
        <v>6.40875775463459</v>
      </c>
      <c r="BL66" s="51">
        <v>6.4254188153785901</v>
      </c>
      <c r="BM66" s="51">
        <v>6.3936091729913098</v>
      </c>
      <c r="BN66" s="51">
        <v>6.4087030822529103</v>
      </c>
      <c r="BO66" s="51">
        <v>6.4253848961836004</v>
      </c>
      <c r="BP66" s="51">
        <v>6.3926220664987099</v>
      </c>
      <c r="BQ66" s="51">
        <v>6.4085884410445404</v>
      </c>
      <c r="BR66" s="51">
        <v>6.4249638143901597</v>
      </c>
      <c r="BS66" s="51">
        <v>6.3932310599792901</v>
      </c>
      <c r="BT66" s="51">
        <v>6.4087017907203601</v>
      </c>
      <c r="BU66" s="51">
        <v>6.4253784167572201</v>
      </c>
      <c r="BV66" s="51">
        <v>6.3929679617861899</v>
      </c>
      <c r="BW66" s="51">
        <v>6.4085082362566004</v>
      </c>
      <c r="BX66" s="201">
        <v>6.4253955668858502</v>
      </c>
      <c r="BY66" s="51">
        <v>4.7215561757672404</v>
      </c>
      <c r="BZ66" s="51">
        <v>5.6061983143217802</v>
      </c>
      <c r="CA66" s="51">
        <v>6.7615880966824298</v>
      </c>
      <c r="CB66" s="51">
        <v>4.6490411570423404</v>
      </c>
      <c r="CC66" s="51">
        <v>5.4924592838323099</v>
      </c>
      <c r="CD66" s="51">
        <v>6.5116481009524501</v>
      </c>
      <c r="CE66" s="51">
        <v>4.3931601873131303</v>
      </c>
      <c r="CF66" s="51">
        <v>5.2937783587228502</v>
      </c>
      <c r="CG66" s="51">
        <v>6.2258016267004601</v>
      </c>
      <c r="CH66" s="51">
        <v>4.3873461675879204</v>
      </c>
      <c r="CI66" s="51">
        <v>5.2100805073454497</v>
      </c>
      <c r="CJ66" s="51">
        <v>6.2267096323390696</v>
      </c>
      <c r="CK66" s="51">
        <v>4.7328934037872203</v>
      </c>
      <c r="CL66" s="51">
        <v>5.6146796834194399</v>
      </c>
      <c r="CM66" s="201">
        <v>6.7589088009382703</v>
      </c>
    </row>
    <row r="67" spans="1:91" x14ac:dyDescent="0.2">
      <c r="A67" s="205">
        <v>16060003</v>
      </c>
      <c r="B67" s="51">
        <v>7.8241748434991196E-2</v>
      </c>
      <c r="C67" s="51">
        <v>8.3307172946118904E-2</v>
      </c>
      <c r="D67" s="51">
        <v>8.7848844997941294E-2</v>
      </c>
      <c r="E67" s="51">
        <v>7.8190596741534002E-2</v>
      </c>
      <c r="F67" s="51">
        <v>8.30827880967802E-2</v>
      </c>
      <c r="G67" s="51">
        <v>8.7847859035727102E-2</v>
      </c>
      <c r="H67" s="51">
        <v>7.8316648527486696E-2</v>
      </c>
      <c r="I67" s="51">
        <v>8.31824804453241E-2</v>
      </c>
      <c r="J67" s="51">
        <v>8.7827681069467201E-2</v>
      </c>
      <c r="K67" s="51">
        <v>7.8234018436076594E-2</v>
      </c>
      <c r="L67" s="51">
        <v>8.3173745715286004E-2</v>
      </c>
      <c r="M67" s="51">
        <v>8.7849965931617702E-2</v>
      </c>
      <c r="N67" s="51">
        <v>7.8211945972069499E-2</v>
      </c>
      <c r="O67" s="51">
        <v>8.3144455808369905E-2</v>
      </c>
      <c r="P67" s="201">
        <v>8.7779225546859796E-2</v>
      </c>
      <c r="Q67" s="51">
        <v>4.3079846410429097</v>
      </c>
      <c r="R67" s="51">
        <v>4.6658494762989902</v>
      </c>
      <c r="S67" s="51">
        <v>5.1051597967545597</v>
      </c>
      <c r="T67" s="51">
        <v>4.1265219088787699</v>
      </c>
      <c r="U67" s="51">
        <v>4.5481678177045</v>
      </c>
      <c r="V67" s="51">
        <v>4.9683418251671396</v>
      </c>
      <c r="W67" s="51">
        <v>4.3920332887911897</v>
      </c>
      <c r="X67" s="51">
        <v>4.9746112251558401</v>
      </c>
      <c r="Y67" s="51">
        <v>5.5422502024147597</v>
      </c>
      <c r="Z67" s="51">
        <v>3.9533253088149798</v>
      </c>
      <c r="AA67" s="51">
        <v>4.3244250248674696</v>
      </c>
      <c r="AB67" s="51">
        <v>4.7350330428381202</v>
      </c>
      <c r="AC67" s="51">
        <v>4.45052795265621</v>
      </c>
      <c r="AD67" s="51">
        <v>4.93045660664243</v>
      </c>
      <c r="AE67" s="201">
        <v>5.4914065275440098</v>
      </c>
      <c r="AF67" s="51">
        <v>0</v>
      </c>
      <c r="AG67" s="51">
        <v>0</v>
      </c>
      <c r="AH67" s="51">
        <v>0</v>
      </c>
      <c r="AI67" s="51">
        <v>0</v>
      </c>
      <c r="AJ67" s="51">
        <v>0</v>
      </c>
      <c r="AK67" s="51">
        <v>0</v>
      </c>
      <c r="AL67" s="51">
        <v>0</v>
      </c>
      <c r="AM67" s="51">
        <v>0</v>
      </c>
      <c r="AN67" s="51">
        <v>0</v>
      </c>
      <c r="AO67" s="51">
        <v>0</v>
      </c>
      <c r="AP67" s="51">
        <v>0</v>
      </c>
      <c r="AQ67" s="51">
        <v>0</v>
      </c>
      <c r="AR67" s="51">
        <v>0</v>
      </c>
      <c r="AS67" s="51">
        <v>0</v>
      </c>
      <c r="AT67" s="201">
        <v>0</v>
      </c>
      <c r="AU67" s="51">
        <v>31.152981701500501</v>
      </c>
      <c r="AV67" s="51">
        <v>48.738257135645298</v>
      </c>
      <c r="AW67" s="51">
        <v>72.249573613772498</v>
      </c>
      <c r="AX67" s="51">
        <v>41.989001322359897</v>
      </c>
      <c r="AY67" s="51">
        <v>93.514277413170007</v>
      </c>
      <c r="AZ67" s="51">
        <v>174.54791009558201</v>
      </c>
      <c r="BA67" s="51">
        <v>81.271563381046604</v>
      </c>
      <c r="BB67" s="51">
        <v>169.52160020771899</v>
      </c>
      <c r="BC67" s="51">
        <v>309.41980598508502</v>
      </c>
      <c r="BD67" s="51">
        <v>25.503665069853501</v>
      </c>
      <c r="BE67" s="51">
        <v>41.510314868749198</v>
      </c>
      <c r="BF67" s="51">
        <v>65.7726123313074</v>
      </c>
      <c r="BG67" s="51">
        <v>59.083892626661402</v>
      </c>
      <c r="BH67" s="51">
        <v>127.795169478606</v>
      </c>
      <c r="BI67" s="201">
        <v>232.58344856765399</v>
      </c>
      <c r="BJ67" s="51">
        <v>0.20417623709555599</v>
      </c>
      <c r="BK67" s="51">
        <v>0.20792094205093201</v>
      </c>
      <c r="BL67" s="51">
        <v>0.212077745768815</v>
      </c>
      <c r="BM67" s="51">
        <v>0.204142272108367</v>
      </c>
      <c r="BN67" s="51">
        <v>0.207951513473626</v>
      </c>
      <c r="BO67" s="51">
        <v>0.212110014104543</v>
      </c>
      <c r="BP67" s="51">
        <v>0.20410687454301299</v>
      </c>
      <c r="BQ67" s="51">
        <v>0.20792999076496699</v>
      </c>
      <c r="BR67" s="51">
        <v>0.212097476245173</v>
      </c>
      <c r="BS67" s="51">
        <v>0.20412261353071001</v>
      </c>
      <c r="BT67" s="51">
        <v>0.20790056394338299</v>
      </c>
      <c r="BU67" s="51">
        <v>0.21206415029374201</v>
      </c>
      <c r="BV67" s="51">
        <v>0.20408790988316999</v>
      </c>
      <c r="BW67" s="51">
        <v>0.207928964316177</v>
      </c>
      <c r="BX67" s="201">
        <v>0.212111928215579</v>
      </c>
      <c r="BY67" s="51">
        <v>0</v>
      </c>
      <c r="BZ67" s="51">
        <v>0</v>
      </c>
      <c r="CA67" s="51">
        <v>0</v>
      </c>
      <c r="CB67" s="51">
        <v>0</v>
      </c>
      <c r="CC67" s="51">
        <v>0</v>
      </c>
      <c r="CD67" s="51">
        <v>0</v>
      </c>
      <c r="CE67" s="51">
        <v>0</v>
      </c>
      <c r="CF67" s="51">
        <v>0</v>
      </c>
      <c r="CG67" s="51">
        <v>0</v>
      </c>
      <c r="CH67" s="51">
        <v>0</v>
      </c>
      <c r="CI67" s="51">
        <v>0</v>
      </c>
      <c r="CJ67" s="51">
        <v>0</v>
      </c>
      <c r="CK67" s="51">
        <v>0</v>
      </c>
      <c r="CL67" s="51">
        <v>0</v>
      </c>
      <c r="CM67" s="201">
        <v>0</v>
      </c>
    </row>
    <row r="68" spans="1:91" x14ac:dyDescent="0.2">
      <c r="A68" s="205">
        <v>3050105</v>
      </c>
      <c r="B68" s="51">
        <v>66.923816390096704</v>
      </c>
      <c r="C68" s="51">
        <v>71.450723172947093</v>
      </c>
      <c r="D68" s="51">
        <v>75.719691130990199</v>
      </c>
      <c r="E68" s="51">
        <v>66.930296613682302</v>
      </c>
      <c r="F68" s="51">
        <v>71.481938685287403</v>
      </c>
      <c r="G68" s="51">
        <v>75.713391808480907</v>
      </c>
      <c r="H68" s="51">
        <v>66.9692506503674</v>
      </c>
      <c r="I68" s="51">
        <v>71.497094209803393</v>
      </c>
      <c r="J68" s="51">
        <v>75.776935816814003</v>
      </c>
      <c r="K68" s="51">
        <v>67.022371815668095</v>
      </c>
      <c r="L68" s="51">
        <v>71.485773312552098</v>
      </c>
      <c r="M68" s="51">
        <v>75.786354187398501</v>
      </c>
      <c r="N68" s="51">
        <v>67.030341737425502</v>
      </c>
      <c r="O68" s="51">
        <v>71.536014057613599</v>
      </c>
      <c r="P68" s="201">
        <v>75.801877736510207</v>
      </c>
      <c r="Q68" s="51">
        <v>12.362089807819499</v>
      </c>
      <c r="R68" s="51">
        <v>13.702735469127701</v>
      </c>
      <c r="S68" s="51">
        <v>15.2798380311995</v>
      </c>
      <c r="T68" s="51">
        <v>9.3616082318000604</v>
      </c>
      <c r="U68" s="51">
        <v>10.728068021413399</v>
      </c>
      <c r="V68" s="51">
        <v>12.144178394950501</v>
      </c>
      <c r="W68" s="51">
        <v>12.565813162282801</v>
      </c>
      <c r="X68" s="51">
        <v>13.683377098930899</v>
      </c>
      <c r="Y68" s="51">
        <v>14.6735681912256</v>
      </c>
      <c r="Z68" s="51">
        <v>12.023389801300301</v>
      </c>
      <c r="AA68" s="51">
        <v>12.8768347053496</v>
      </c>
      <c r="AB68" s="51">
        <v>13.6735954856604</v>
      </c>
      <c r="AC68" s="51">
        <v>12.341705266533699</v>
      </c>
      <c r="AD68" s="51">
        <v>13.1791558712167</v>
      </c>
      <c r="AE68" s="201">
        <v>14.030714646872701</v>
      </c>
      <c r="AF68" s="51">
        <v>3.0551997634029799</v>
      </c>
      <c r="AG68" s="51">
        <v>3.2445254009925502</v>
      </c>
      <c r="AH68" s="51">
        <v>3.4499029579809899</v>
      </c>
      <c r="AI68" s="51">
        <v>3.0560542346907198</v>
      </c>
      <c r="AJ68" s="51">
        <v>3.2454415883157601</v>
      </c>
      <c r="AK68" s="51">
        <v>3.44882452728055</v>
      </c>
      <c r="AL68" s="51">
        <v>3.0570737262809802</v>
      </c>
      <c r="AM68" s="51">
        <v>3.2452096686189802</v>
      </c>
      <c r="AN68" s="51">
        <v>3.44786624086864</v>
      </c>
      <c r="AO68" s="51">
        <v>3.0582778586327</v>
      </c>
      <c r="AP68" s="51">
        <v>3.24276213497305</v>
      </c>
      <c r="AQ68" s="51">
        <v>3.4439349568448798</v>
      </c>
      <c r="AR68" s="51">
        <v>3.0552098469930802</v>
      </c>
      <c r="AS68" s="51">
        <v>3.2505701838319201</v>
      </c>
      <c r="AT68" s="201">
        <v>3.4497671982528901</v>
      </c>
      <c r="AU68" s="51">
        <v>3.4040362871304199</v>
      </c>
      <c r="AV68" s="51">
        <v>4.9602501125697502</v>
      </c>
      <c r="AW68" s="51">
        <v>7.03309061154396</v>
      </c>
      <c r="AX68" s="51">
        <v>1.49775022536909</v>
      </c>
      <c r="AY68" s="51">
        <v>2.0384559309532202</v>
      </c>
      <c r="AZ68" s="51">
        <v>2.5931316881634001</v>
      </c>
      <c r="BA68" s="51">
        <v>4.3384659914311099</v>
      </c>
      <c r="BB68" s="51">
        <v>5.3999120710775896</v>
      </c>
      <c r="BC68" s="51">
        <v>6.7435462879080701</v>
      </c>
      <c r="BD68" s="51">
        <v>2.70375563558986</v>
      </c>
      <c r="BE68" s="51">
        <v>3.4579924105661202</v>
      </c>
      <c r="BF68" s="51">
        <v>4.1370563548027199</v>
      </c>
      <c r="BG68" s="51">
        <v>2.6951868140115902</v>
      </c>
      <c r="BH68" s="51">
        <v>3.2430408618748099</v>
      </c>
      <c r="BI68" s="201">
        <v>3.8656858120930799</v>
      </c>
      <c r="BJ68" s="51">
        <v>0.24040991589336699</v>
      </c>
      <c r="BK68" s="51">
        <v>0.24690490416015801</v>
      </c>
      <c r="BL68" s="51">
        <v>0.25342568613837901</v>
      </c>
      <c r="BM68" s="51">
        <v>0.24053478189142799</v>
      </c>
      <c r="BN68" s="51">
        <v>0.24698470020845101</v>
      </c>
      <c r="BO68" s="51">
        <v>0.25356602431471298</v>
      </c>
      <c r="BP68" s="51">
        <v>0.24053973331842801</v>
      </c>
      <c r="BQ68" s="51">
        <v>0.246995863680636</v>
      </c>
      <c r="BR68" s="51">
        <v>0.25375623277082099</v>
      </c>
      <c r="BS68" s="51">
        <v>0.240359862417418</v>
      </c>
      <c r="BT68" s="51">
        <v>0.24692363953169599</v>
      </c>
      <c r="BU68" s="51">
        <v>0.253602795910985</v>
      </c>
      <c r="BV68" s="51">
        <v>0.24054544038372</v>
      </c>
      <c r="BW68" s="51">
        <v>0.246994956957547</v>
      </c>
      <c r="BX68" s="201">
        <v>0.25376063968796098</v>
      </c>
      <c r="BY68" s="51">
        <v>4.5707280088611801</v>
      </c>
      <c r="BZ68" s="51">
        <v>5.31017174107859</v>
      </c>
      <c r="CA68" s="51">
        <v>6.2796803929562701</v>
      </c>
      <c r="CB68" s="51">
        <v>4.9787453612050996</v>
      </c>
      <c r="CC68" s="51">
        <v>6.10872060920412</v>
      </c>
      <c r="CD68" s="51">
        <v>7.39270678512427</v>
      </c>
      <c r="CE68" s="51">
        <v>4.8491643793398103</v>
      </c>
      <c r="CF68" s="51">
        <v>5.6317709397439</v>
      </c>
      <c r="CG68" s="51">
        <v>6.7341727808279996</v>
      </c>
      <c r="CH68" s="51">
        <v>4.40628351579333</v>
      </c>
      <c r="CI68" s="51">
        <v>5.0731894084198403</v>
      </c>
      <c r="CJ68" s="51">
        <v>5.84835084282658</v>
      </c>
      <c r="CK68" s="51">
        <v>4.5687295552398703</v>
      </c>
      <c r="CL68" s="51">
        <v>5.3032909595036202</v>
      </c>
      <c r="CM68" s="201">
        <v>6.2916099526026903</v>
      </c>
    </row>
    <row r="69" spans="1:91" x14ac:dyDescent="0.2">
      <c r="A69" s="205">
        <v>16040201</v>
      </c>
      <c r="B69" s="51">
        <v>0</v>
      </c>
      <c r="C69" s="51">
        <v>0</v>
      </c>
      <c r="D69" s="51">
        <v>0</v>
      </c>
      <c r="E69" s="51">
        <v>0</v>
      </c>
      <c r="F69" s="51">
        <v>0</v>
      </c>
      <c r="G69" s="51">
        <v>0</v>
      </c>
      <c r="H69" s="51">
        <v>0</v>
      </c>
      <c r="I69" s="51">
        <v>0</v>
      </c>
      <c r="J69" s="51">
        <v>0</v>
      </c>
      <c r="K69" s="51">
        <v>0</v>
      </c>
      <c r="L69" s="51">
        <v>0</v>
      </c>
      <c r="M69" s="51">
        <v>0</v>
      </c>
      <c r="N69" s="51">
        <v>0</v>
      </c>
      <c r="O69" s="51">
        <v>0</v>
      </c>
      <c r="P69" s="201">
        <v>0</v>
      </c>
      <c r="Q69" s="51">
        <v>3.0658467412922201</v>
      </c>
      <c r="R69" s="51">
        <v>3.2041708996826301</v>
      </c>
      <c r="S69" s="51">
        <v>3.3554488347284099</v>
      </c>
      <c r="T69" s="51">
        <v>3.1704997171865199</v>
      </c>
      <c r="U69" s="51">
        <v>3.28800682545261</v>
      </c>
      <c r="V69" s="51">
        <v>3.4100500294468099</v>
      </c>
      <c r="W69" s="51">
        <v>3.1455452843221701</v>
      </c>
      <c r="X69" s="51">
        <v>3.3055146689234101</v>
      </c>
      <c r="Y69" s="51">
        <v>3.4764384206366801</v>
      </c>
      <c r="Z69" s="51">
        <v>2.97318678904186</v>
      </c>
      <c r="AA69" s="51">
        <v>3.1019813815122199</v>
      </c>
      <c r="AB69" s="51">
        <v>3.2297672358240601</v>
      </c>
      <c r="AC69" s="51">
        <v>3.2598103146856401</v>
      </c>
      <c r="AD69" s="51">
        <v>3.40220253598897</v>
      </c>
      <c r="AE69" s="201">
        <v>3.6024271410686399</v>
      </c>
      <c r="AF69" s="51">
        <v>0</v>
      </c>
      <c r="AG69" s="51">
        <v>0</v>
      </c>
      <c r="AH69" s="51">
        <v>0</v>
      </c>
      <c r="AI69" s="51">
        <v>0</v>
      </c>
      <c r="AJ69" s="51">
        <v>0</v>
      </c>
      <c r="AK69" s="51">
        <v>0</v>
      </c>
      <c r="AL69" s="51">
        <v>0</v>
      </c>
      <c r="AM69" s="51">
        <v>0</v>
      </c>
      <c r="AN69" s="51">
        <v>0</v>
      </c>
      <c r="AO69" s="51">
        <v>0</v>
      </c>
      <c r="AP69" s="51">
        <v>0</v>
      </c>
      <c r="AQ69" s="51">
        <v>0</v>
      </c>
      <c r="AR69" s="51">
        <v>0</v>
      </c>
      <c r="AS69" s="51">
        <v>0</v>
      </c>
      <c r="AT69" s="201">
        <v>0</v>
      </c>
      <c r="AU69" s="51">
        <v>329.28927153757701</v>
      </c>
      <c r="AV69" s="51">
        <v>422.67889036868098</v>
      </c>
      <c r="AW69" s="51">
        <v>546.37647490642098</v>
      </c>
      <c r="AX69" s="51">
        <v>334.28788376442702</v>
      </c>
      <c r="AY69" s="51">
        <v>533.69109612611805</v>
      </c>
      <c r="AZ69" s="51">
        <v>822.41002719806204</v>
      </c>
      <c r="BA69" s="51">
        <v>527.28618737628096</v>
      </c>
      <c r="BB69" s="51">
        <v>809.98934333491104</v>
      </c>
      <c r="BC69" s="51">
        <v>1221.0745373152199</v>
      </c>
      <c r="BD69" s="51">
        <v>184.965192267845</v>
      </c>
      <c r="BE69" s="51">
        <v>246.16764514975699</v>
      </c>
      <c r="BF69" s="51">
        <v>323.96742550849501</v>
      </c>
      <c r="BG69" s="51">
        <v>516.50721102493901</v>
      </c>
      <c r="BH69" s="51">
        <v>856.15854989334503</v>
      </c>
      <c r="BI69" s="201">
        <v>1345.7277996186899</v>
      </c>
      <c r="BJ69" s="51">
        <v>0.88640006229767099</v>
      </c>
      <c r="BK69" s="51">
        <v>0.89491965428114395</v>
      </c>
      <c r="BL69" s="51">
        <v>0.90543024475850997</v>
      </c>
      <c r="BM69" s="51">
        <v>0.886487421462963</v>
      </c>
      <c r="BN69" s="51">
        <v>0.89483215488419299</v>
      </c>
      <c r="BO69" s="51">
        <v>0.90510254189544004</v>
      </c>
      <c r="BP69" s="51">
        <v>0.88643864090754299</v>
      </c>
      <c r="BQ69" s="51">
        <v>0.89488100500137202</v>
      </c>
      <c r="BR69" s="51">
        <v>0.90513550986693503</v>
      </c>
      <c r="BS69" s="51">
        <v>0.88645909628814401</v>
      </c>
      <c r="BT69" s="51">
        <v>0.89479368642649504</v>
      </c>
      <c r="BU69" s="51">
        <v>0.90514495380940896</v>
      </c>
      <c r="BV69" s="51">
        <v>0.88645865533725099</v>
      </c>
      <c r="BW69" s="51">
        <v>0.89480599279169204</v>
      </c>
      <c r="BX69" s="201">
        <v>0.90486614193540704</v>
      </c>
      <c r="BY69" s="51">
        <v>0.81526694927398402</v>
      </c>
      <c r="BZ69" s="51">
        <v>0.916932576012089</v>
      </c>
      <c r="CA69" s="51">
        <v>1.03279440840947</v>
      </c>
      <c r="CB69" s="51">
        <v>0.80582322967755105</v>
      </c>
      <c r="CC69" s="51">
        <v>0.91054020797201596</v>
      </c>
      <c r="CD69" s="51">
        <v>1.02118817811924</v>
      </c>
      <c r="CE69" s="51">
        <v>0.79350317858282604</v>
      </c>
      <c r="CF69" s="51">
        <v>0.89320392408368299</v>
      </c>
      <c r="CG69" s="51">
        <v>0.99576742920760497</v>
      </c>
      <c r="CH69" s="51">
        <v>0.78891512610303105</v>
      </c>
      <c r="CI69" s="51">
        <v>0.88911524934101005</v>
      </c>
      <c r="CJ69" s="51">
        <v>0.99229753486474703</v>
      </c>
      <c r="CK69" s="51">
        <v>0.81615398792035099</v>
      </c>
      <c r="CL69" s="51">
        <v>0.91687635113874799</v>
      </c>
      <c r="CM69" s="201">
        <v>1.0350883581144401</v>
      </c>
    </row>
    <row r="70" spans="1:91" x14ac:dyDescent="0.2">
      <c r="A70" s="205">
        <v>14030005</v>
      </c>
      <c r="B70" s="51">
        <v>5.3200235230672001E-2</v>
      </c>
      <c r="C70" s="51">
        <v>5.6625310954458399E-2</v>
      </c>
      <c r="D70" s="51">
        <v>5.9774666782359397E-2</v>
      </c>
      <c r="E70" s="51">
        <v>5.3281849180065802E-2</v>
      </c>
      <c r="F70" s="51">
        <v>5.66908774851436E-2</v>
      </c>
      <c r="G70" s="51">
        <v>5.9833371836800597E-2</v>
      </c>
      <c r="H70" s="51">
        <v>5.3256883756967799E-2</v>
      </c>
      <c r="I70" s="51">
        <v>5.6614285321847597E-2</v>
      </c>
      <c r="J70" s="51">
        <v>5.9798698585988901E-2</v>
      </c>
      <c r="K70" s="51">
        <v>5.32442425221911E-2</v>
      </c>
      <c r="L70" s="51">
        <v>5.66496833410675E-2</v>
      </c>
      <c r="M70" s="51">
        <v>5.9762504437697102E-2</v>
      </c>
      <c r="N70" s="51">
        <v>5.3195385018247901E-2</v>
      </c>
      <c r="O70" s="51">
        <v>5.6600889209332102E-2</v>
      </c>
      <c r="P70" s="201">
        <v>5.9742234247729398E-2</v>
      </c>
      <c r="Q70" s="51">
        <v>2.1761264758275001</v>
      </c>
      <c r="R70" s="51">
        <v>2.2722060327437101</v>
      </c>
      <c r="S70" s="51">
        <v>2.36566060865121</v>
      </c>
      <c r="T70" s="51">
        <v>1.9325148918477499</v>
      </c>
      <c r="U70" s="51">
        <v>2.0420992604460202</v>
      </c>
      <c r="V70" s="51">
        <v>2.1617719133240301</v>
      </c>
      <c r="W70" s="51">
        <v>2.0275629183750898</v>
      </c>
      <c r="X70" s="51">
        <v>2.2398547225040999</v>
      </c>
      <c r="Y70" s="51">
        <v>2.4721024428168699</v>
      </c>
      <c r="Z70" s="51">
        <v>1.9332349902327499</v>
      </c>
      <c r="AA70" s="51">
        <v>2.0298468835788799</v>
      </c>
      <c r="AB70" s="51">
        <v>2.13141396341614</v>
      </c>
      <c r="AC70" s="51">
        <v>2.1545523020854298</v>
      </c>
      <c r="AD70" s="51">
        <v>2.2715138974339402</v>
      </c>
      <c r="AE70" s="201">
        <v>2.4083342433043602</v>
      </c>
      <c r="AF70" s="51">
        <v>5.8688121806015098E-2</v>
      </c>
      <c r="AG70" s="51">
        <v>6.3224453456621796E-2</v>
      </c>
      <c r="AH70" s="51">
        <v>6.7949799194987101E-2</v>
      </c>
      <c r="AI70" s="51">
        <v>5.8744319340439E-2</v>
      </c>
      <c r="AJ70" s="51">
        <v>6.3199037784029799E-2</v>
      </c>
      <c r="AK70" s="51">
        <v>6.7885076547233095E-2</v>
      </c>
      <c r="AL70" s="51">
        <v>5.86860761137772E-2</v>
      </c>
      <c r="AM70" s="51">
        <v>6.3162073179545794E-2</v>
      </c>
      <c r="AN70" s="51">
        <v>6.79414143677292E-2</v>
      </c>
      <c r="AO70" s="51">
        <v>5.8675248457437601E-2</v>
      </c>
      <c r="AP70" s="51">
        <v>6.3174693251736302E-2</v>
      </c>
      <c r="AQ70" s="51">
        <v>6.7914107220355194E-2</v>
      </c>
      <c r="AR70" s="51">
        <v>5.8560903305008599E-2</v>
      </c>
      <c r="AS70" s="51">
        <v>6.32043783452855E-2</v>
      </c>
      <c r="AT70" s="201">
        <v>6.7976390371939893E-2</v>
      </c>
      <c r="AU70" s="51">
        <v>24.504258611940202</v>
      </c>
      <c r="AV70" s="51">
        <v>34.7256573256373</v>
      </c>
      <c r="AW70" s="51">
        <v>46.984818844284497</v>
      </c>
      <c r="AX70" s="51">
        <v>8.91111331902807</v>
      </c>
      <c r="AY70" s="51">
        <v>14.676492902236401</v>
      </c>
      <c r="AZ70" s="51">
        <v>22.978692649403399</v>
      </c>
      <c r="BA70" s="51">
        <v>29.752280823387</v>
      </c>
      <c r="BB70" s="51">
        <v>68.727385877918906</v>
      </c>
      <c r="BC70" s="51">
        <v>131.675674519637</v>
      </c>
      <c r="BD70" s="51">
        <v>12.266954768169599</v>
      </c>
      <c r="BE70" s="51">
        <v>15.6758852194107</v>
      </c>
      <c r="BF70" s="51">
        <v>19.888715551798899</v>
      </c>
      <c r="BG70" s="51">
        <v>28.518008736079601</v>
      </c>
      <c r="BH70" s="51">
        <v>53.857917685689799</v>
      </c>
      <c r="BI70" s="201">
        <v>94.149215009836297</v>
      </c>
      <c r="BJ70" s="51">
        <v>0.10393433636348599</v>
      </c>
      <c r="BK70" s="51">
        <v>0.105788473583886</v>
      </c>
      <c r="BL70" s="51">
        <v>0.10787912660389901</v>
      </c>
      <c r="BM70" s="51">
        <v>0.103912102897242</v>
      </c>
      <c r="BN70" s="51">
        <v>0.105769029463473</v>
      </c>
      <c r="BO70" s="51">
        <v>0.10783002508247901</v>
      </c>
      <c r="BP70" s="51">
        <v>0.10392142143749</v>
      </c>
      <c r="BQ70" s="51">
        <v>0.10576952784759</v>
      </c>
      <c r="BR70" s="51">
        <v>0.10791842870412401</v>
      </c>
      <c r="BS70" s="51">
        <v>0.103937095995583</v>
      </c>
      <c r="BT70" s="51">
        <v>0.105793034574947</v>
      </c>
      <c r="BU70" s="51">
        <v>0.107848098020322</v>
      </c>
      <c r="BV70" s="51">
        <v>0.103943241761487</v>
      </c>
      <c r="BW70" s="51">
        <v>0.105802589220602</v>
      </c>
      <c r="BX70" s="201">
        <v>0.10790204194672</v>
      </c>
      <c r="BY70" s="51">
        <v>0</v>
      </c>
      <c r="BZ70" s="51">
        <v>0</v>
      </c>
      <c r="CA70" s="51">
        <v>0</v>
      </c>
      <c r="CB70" s="51">
        <v>0</v>
      </c>
      <c r="CC70" s="51">
        <v>0</v>
      </c>
      <c r="CD70" s="51">
        <v>0</v>
      </c>
      <c r="CE70" s="51">
        <v>0</v>
      </c>
      <c r="CF70" s="51">
        <v>0</v>
      </c>
      <c r="CG70" s="51">
        <v>0</v>
      </c>
      <c r="CH70" s="51">
        <v>0</v>
      </c>
      <c r="CI70" s="51">
        <v>0</v>
      </c>
      <c r="CJ70" s="51">
        <v>0</v>
      </c>
      <c r="CK70" s="51">
        <v>0</v>
      </c>
      <c r="CL70" s="51">
        <v>0</v>
      </c>
      <c r="CM70" s="201">
        <v>0</v>
      </c>
    </row>
    <row r="71" spans="1:91" x14ac:dyDescent="0.2">
      <c r="A71" s="205">
        <v>3050102</v>
      </c>
      <c r="B71" s="51">
        <v>1.7074821258122299</v>
      </c>
      <c r="C71" s="51">
        <v>1.8365943957386901</v>
      </c>
      <c r="D71" s="51">
        <v>1.9560315310047101</v>
      </c>
      <c r="E71" s="51">
        <v>1.70622956865604</v>
      </c>
      <c r="F71" s="51">
        <v>1.83333248168815</v>
      </c>
      <c r="G71" s="51">
        <v>1.95786760298327</v>
      </c>
      <c r="H71" s="51">
        <v>1.70627716920484</v>
      </c>
      <c r="I71" s="51">
        <v>1.8356096010478999</v>
      </c>
      <c r="J71" s="51">
        <v>1.95702340355139</v>
      </c>
      <c r="K71" s="51">
        <v>1.7081082382900501</v>
      </c>
      <c r="L71" s="51">
        <v>1.8367977626460901</v>
      </c>
      <c r="M71" s="51">
        <v>1.95596573811633</v>
      </c>
      <c r="N71" s="51">
        <v>1.70586062445321</v>
      </c>
      <c r="O71" s="51">
        <v>1.8375526749329001</v>
      </c>
      <c r="P71" s="201">
        <v>1.9587155050964</v>
      </c>
      <c r="Q71" s="51">
        <v>8.1273732189940695</v>
      </c>
      <c r="R71" s="51">
        <v>9.11137145595149</v>
      </c>
      <c r="S71" s="51">
        <v>10.312073622831299</v>
      </c>
      <c r="T71" s="51">
        <v>5.4495667842632196</v>
      </c>
      <c r="U71" s="51">
        <v>6.4991953301521699</v>
      </c>
      <c r="V71" s="51">
        <v>7.4944647576865</v>
      </c>
      <c r="W71" s="51">
        <v>8.0677305704420501</v>
      </c>
      <c r="X71" s="51">
        <v>9.0266630735948095</v>
      </c>
      <c r="Y71" s="51">
        <v>9.8460165557476103</v>
      </c>
      <c r="Z71" s="51">
        <v>7.6445493062317</v>
      </c>
      <c r="AA71" s="51">
        <v>8.3713617547958599</v>
      </c>
      <c r="AB71" s="51">
        <v>9.0630385787760908</v>
      </c>
      <c r="AC71" s="51">
        <v>7.9827843739370197</v>
      </c>
      <c r="AD71" s="51">
        <v>8.6786102373519398</v>
      </c>
      <c r="AE71" s="201">
        <v>9.4532993030766992</v>
      </c>
      <c r="AF71" s="51">
        <v>0.15761722983295201</v>
      </c>
      <c r="AG71" s="51">
        <v>0.165145287294996</v>
      </c>
      <c r="AH71" s="51">
        <v>0.17328303744599399</v>
      </c>
      <c r="AI71" s="51">
        <v>0.15770228405529599</v>
      </c>
      <c r="AJ71" s="51">
        <v>0.16533488403447599</v>
      </c>
      <c r="AK71" s="51">
        <v>0.173365724680416</v>
      </c>
      <c r="AL71" s="51">
        <v>0.157860768066513</v>
      </c>
      <c r="AM71" s="51">
        <v>0.16526501712158401</v>
      </c>
      <c r="AN71" s="51">
        <v>0.17341382674007699</v>
      </c>
      <c r="AO71" s="51">
        <v>0.15760879354683999</v>
      </c>
      <c r="AP71" s="51">
        <v>0.165325269273081</v>
      </c>
      <c r="AQ71" s="51">
        <v>0.17322866151706601</v>
      </c>
      <c r="AR71" s="51">
        <v>0.15772005715131401</v>
      </c>
      <c r="AS71" s="51">
        <v>0.16531034200250999</v>
      </c>
      <c r="AT71" s="201">
        <v>0.173441465545844</v>
      </c>
      <c r="AU71" s="51">
        <v>4.5697787531537699</v>
      </c>
      <c r="AV71" s="51">
        <v>6.7084395044502898</v>
      </c>
      <c r="AW71" s="51">
        <v>9.5756971440918601</v>
      </c>
      <c r="AX71" s="51">
        <v>1.9334251100847699</v>
      </c>
      <c r="AY71" s="51">
        <v>2.6516463046690699</v>
      </c>
      <c r="AZ71" s="51">
        <v>3.3544091904960101</v>
      </c>
      <c r="BA71" s="51">
        <v>5.2554031427668004</v>
      </c>
      <c r="BB71" s="51">
        <v>6.5948626232009602</v>
      </c>
      <c r="BC71" s="51">
        <v>8.2224697644134093</v>
      </c>
      <c r="BD71" s="51">
        <v>3.3273538436878498</v>
      </c>
      <c r="BE71" s="51">
        <v>4.2465733790037197</v>
      </c>
      <c r="BF71" s="51">
        <v>5.0433340539291898</v>
      </c>
      <c r="BG71" s="51">
        <v>3.5277563922935999</v>
      </c>
      <c r="BH71" s="51">
        <v>4.29251140806499</v>
      </c>
      <c r="BI71" s="201">
        <v>5.1407351390905101</v>
      </c>
      <c r="BJ71" s="51">
        <v>0.40267815882317198</v>
      </c>
      <c r="BK71" s="51">
        <v>0.413977574871499</v>
      </c>
      <c r="BL71" s="51">
        <v>0.42569018442355899</v>
      </c>
      <c r="BM71" s="51">
        <v>0.40288467305045</v>
      </c>
      <c r="BN71" s="51">
        <v>0.41394324557440898</v>
      </c>
      <c r="BO71" s="51">
        <v>0.42547990112872902</v>
      </c>
      <c r="BP71" s="51">
        <v>0.40272559474425101</v>
      </c>
      <c r="BQ71" s="51">
        <v>0.413991051508729</v>
      </c>
      <c r="BR71" s="51">
        <v>0.42550194269285002</v>
      </c>
      <c r="BS71" s="51">
        <v>0.40261356132367598</v>
      </c>
      <c r="BT71" s="51">
        <v>0.41408551509130498</v>
      </c>
      <c r="BU71" s="51">
        <v>0.42579160414138501</v>
      </c>
      <c r="BV71" s="51">
        <v>0.40300536301279599</v>
      </c>
      <c r="BW71" s="51">
        <v>0.414120789366963</v>
      </c>
      <c r="BX71" s="201">
        <v>0.42570230395679298</v>
      </c>
      <c r="BY71" s="51">
        <v>4.1497671188681498</v>
      </c>
      <c r="BZ71" s="51">
        <v>4.8231643343437698</v>
      </c>
      <c r="CA71" s="51">
        <v>5.7187516279584196</v>
      </c>
      <c r="CB71" s="51">
        <v>4.50530647601874</v>
      </c>
      <c r="CC71" s="51">
        <v>5.5370660503239204</v>
      </c>
      <c r="CD71" s="51">
        <v>6.6823622864894903</v>
      </c>
      <c r="CE71" s="51">
        <v>4.37566924601657</v>
      </c>
      <c r="CF71" s="51">
        <v>5.0815621576853403</v>
      </c>
      <c r="CG71" s="51">
        <v>6.06521160140713</v>
      </c>
      <c r="CH71" s="51">
        <v>3.9827026602023001</v>
      </c>
      <c r="CI71" s="51">
        <v>4.5982674580275802</v>
      </c>
      <c r="CJ71" s="51">
        <v>5.3145627159056401</v>
      </c>
      <c r="CK71" s="51">
        <v>4.1699220685741496</v>
      </c>
      <c r="CL71" s="51">
        <v>4.8228401747493503</v>
      </c>
      <c r="CM71" s="201">
        <v>5.7359221410749504</v>
      </c>
    </row>
    <row r="72" spans="1:91" x14ac:dyDescent="0.2">
      <c r="A72" s="205">
        <v>16060010</v>
      </c>
      <c r="B72" s="51">
        <v>17.2003122768675</v>
      </c>
      <c r="C72" s="51">
        <v>18.006754360335702</v>
      </c>
      <c r="D72" s="51">
        <v>18.726116093624402</v>
      </c>
      <c r="E72" s="51">
        <v>17.197759705161001</v>
      </c>
      <c r="F72" s="51">
        <v>17.9972238765274</v>
      </c>
      <c r="G72" s="51">
        <v>18.7405863177332</v>
      </c>
      <c r="H72" s="51">
        <v>17.2078182468615</v>
      </c>
      <c r="I72" s="51">
        <v>18.007084977474101</v>
      </c>
      <c r="J72" s="51">
        <v>18.750847368238901</v>
      </c>
      <c r="K72" s="51">
        <v>17.204113083867298</v>
      </c>
      <c r="L72" s="51">
        <v>18.001590616546899</v>
      </c>
      <c r="M72" s="51">
        <v>18.7314053192346</v>
      </c>
      <c r="N72" s="51">
        <v>17.215719925315799</v>
      </c>
      <c r="O72" s="51">
        <v>17.9976072087589</v>
      </c>
      <c r="P72" s="201">
        <v>18.741552334718602</v>
      </c>
      <c r="Q72" s="51">
        <v>0.91845694113120402</v>
      </c>
      <c r="R72" s="51">
        <v>0.98490390158303098</v>
      </c>
      <c r="S72" s="51">
        <v>1.0585645167587501</v>
      </c>
      <c r="T72" s="51">
        <v>0.91602067692378697</v>
      </c>
      <c r="U72" s="51">
        <v>0.97912682388954098</v>
      </c>
      <c r="V72" s="51">
        <v>1.0347441301395699</v>
      </c>
      <c r="W72" s="51">
        <v>0.99496034014845103</v>
      </c>
      <c r="X72" s="51">
        <v>1.0839911983774599</v>
      </c>
      <c r="Y72" s="51">
        <v>1.1845974331762199</v>
      </c>
      <c r="Z72" s="51">
        <v>0.83982303473679898</v>
      </c>
      <c r="AA72" s="51">
        <v>0.89132613322129395</v>
      </c>
      <c r="AB72" s="51">
        <v>0.94340254117164901</v>
      </c>
      <c r="AC72" s="51">
        <v>0.92639951036264501</v>
      </c>
      <c r="AD72" s="51">
        <v>0.99725894748234101</v>
      </c>
      <c r="AE72" s="201">
        <v>1.0843206074993601</v>
      </c>
      <c r="AF72" s="51">
        <v>0</v>
      </c>
      <c r="AG72" s="51">
        <v>0</v>
      </c>
      <c r="AH72" s="51">
        <v>0</v>
      </c>
      <c r="AI72" s="51">
        <v>0</v>
      </c>
      <c r="AJ72" s="51">
        <v>0</v>
      </c>
      <c r="AK72" s="51">
        <v>0</v>
      </c>
      <c r="AL72" s="51">
        <v>0</v>
      </c>
      <c r="AM72" s="51">
        <v>0</v>
      </c>
      <c r="AN72" s="51">
        <v>0</v>
      </c>
      <c r="AO72" s="51">
        <v>0</v>
      </c>
      <c r="AP72" s="51">
        <v>0</v>
      </c>
      <c r="AQ72" s="51">
        <v>0</v>
      </c>
      <c r="AR72" s="51">
        <v>0</v>
      </c>
      <c r="AS72" s="51">
        <v>0</v>
      </c>
      <c r="AT72" s="201">
        <v>0</v>
      </c>
      <c r="AU72" s="51">
        <v>24.473653372824401</v>
      </c>
      <c r="AV72" s="51">
        <v>37.281135128571101</v>
      </c>
      <c r="AW72" s="51">
        <v>53.247183977112201</v>
      </c>
      <c r="AX72" s="51">
        <v>36.451615383542503</v>
      </c>
      <c r="AY72" s="51">
        <v>77.533463464201603</v>
      </c>
      <c r="AZ72" s="51">
        <v>143.82778277654</v>
      </c>
      <c r="BA72" s="51">
        <v>74.414085477643994</v>
      </c>
      <c r="BB72" s="51">
        <v>156.50104120705399</v>
      </c>
      <c r="BC72" s="51">
        <v>290.18514270683499</v>
      </c>
      <c r="BD72" s="51">
        <v>21.213061904694001</v>
      </c>
      <c r="BE72" s="51">
        <v>32.990685136477403</v>
      </c>
      <c r="BF72" s="51">
        <v>49.786212782904698</v>
      </c>
      <c r="BG72" s="51">
        <v>37.4559502993595</v>
      </c>
      <c r="BH72" s="51">
        <v>84.828773872830894</v>
      </c>
      <c r="BI72" s="201">
        <v>158.614006569292</v>
      </c>
      <c r="BJ72" s="51">
        <v>9.2819489590281301E-2</v>
      </c>
      <c r="BK72" s="51">
        <v>9.3237701088296904E-2</v>
      </c>
      <c r="BL72" s="51">
        <v>9.3823984448831194E-2</v>
      </c>
      <c r="BM72" s="51">
        <v>9.2816330638570102E-2</v>
      </c>
      <c r="BN72" s="51">
        <v>9.32376366898095E-2</v>
      </c>
      <c r="BO72" s="51">
        <v>9.3806795622342107E-2</v>
      </c>
      <c r="BP72" s="51">
        <v>9.2817159048160403E-2</v>
      </c>
      <c r="BQ72" s="51">
        <v>9.3241931729970098E-2</v>
      </c>
      <c r="BR72" s="51">
        <v>9.3808169602524596E-2</v>
      </c>
      <c r="BS72" s="51">
        <v>9.2820847575458207E-2</v>
      </c>
      <c r="BT72" s="51">
        <v>9.32317349927545E-2</v>
      </c>
      <c r="BU72" s="51">
        <v>9.3818484183826906E-2</v>
      </c>
      <c r="BV72" s="51">
        <v>9.2816053546090099E-2</v>
      </c>
      <c r="BW72" s="51">
        <v>9.32333952010405E-2</v>
      </c>
      <c r="BX72" s="201">
        <v>9.3813375711326794E-2</v>
      </c>
      <c r="BY72" s="51">
        <v>0</v>
      </c>
      <c r="BZ72" s="51">
        <v>0</v>
      </c>
      <c r="CA72" s="51">
        <v>0</v>
      </c>
      <c r="CB72" s="51">
        <v>0</v>
      </c>
      <c r="CC72" s="51">
        <v>0</v>
      </c>
      <c r="CD72" s="51">
        <v>0</v>
      </c>
      <c r="CE72" s="51">
        <v>0</v>
      </c>
      <c r="CF72" s="51">
        <v>0</v>
      </c>
      <c r="CG72" s="51">
        <v>0</v>
      </c>
      <c r="CH72" s="51">
        <v>0</v>
      </c>
      <c r="CI72" s="51">
        <v>0</v>
      </c>
      <c r="CJ72" s="51">
        <v>0</v>
      </c>
      <c r="CK72" s="51">
        <v>0</v>
      </c>
      <c r="CL72" s="51">
        <v>0</v>
      </c>
      <c r="CM72" s="201">
        <v>0</v>
      </c>
    </row>
    <row r="73" spans="1:91" ht="16" thickBot="1" x14ac:dyDescent="0.25">
      <c r="A73" s="206">
        <v>11140205</v>
      </c>
      <c r="B73" s="203">
        <v>1.2311577727582901</v>
      </c>
      <c r="C73" s="203">
        <v>1.2878138598040101</v>
      </c>
      <c r="D73" s="203">
        <v>1.34110978173992</v>
      </c>
      <c r="E73" s="203">
        <v>1.2326622980217401</v>
      </c>
      <c r="F73" s="203">
        <v>1.2889757526625201</v>
      </c>
      <c r="G73" s="203">
        <v>1.34118476748627</v>
      </c>
      <c r="H73" s="203">
        <v>1.2313864717010199</v>
      </c>
      <c r="I73" s="203">
        <v>1.28881144936362</v>
      </c>
      <c r="J73" s="203">
        <v>1.34165371710254</v>
      </c>
      <c r="K73" s="203">
        <v>1.2327351267928801</v>
      </c>
      <c r="L73" s="203">
        <v>1.2889163360918501</v>
      </c>
      <c r="M73" s="203">
        <v>1.3421405979755701</v>
      </c>
      <c r="N73" s="203">
        <v>1.2300496276425701</v>
      </c>
      <c r="O73" s="203">
        <v>1.2889098705100099</v>
      </c>
      <c r="P73" s="204">
        <v>1.3413068624129501</v>
      </c>
      <c r="Q73" s="203">
        <v>3.4080321285014801</v>
      </c>
      <c r="R73" s="203">
        <v>3.8782638182305802</v>
      </c>
      <c r="S73" s="203">
        <v>4.3891265077995101</v>
      </c>
      <c r="T73" s="203">
        <v>3.4121533004847602</v>
      </c>
      <c r="U73" s="203">
        <v>3.9337496922786199</v>
      </c>
      <c r="V73" s="203">
        <v>4.6172982274941603</v>
      </c>
      <c r="W73" s="203">
        <v>3.12876805965724</v>
      </c>
      <c r="X73" s="203">
        <v>3.62588803545288</v>
      </c>
      <c r="Y73" s="203">
        <v>4.07391560843101</v>
      </c>
      <c r="Z73" s="203">
        <v>3.0592360652998498</v>
      </c>
      <c r="AA73" s="203">
        <v>3.4168597588229201</v>
      </c>
      <c r="AB73" s="203">
        <v>3.8078680366586499</v>
      </c>
      <c r="AC73" s="203">
        <v>3.3470514268640001</v>
      </c>
      <c r="AD73" s="203">
        <v>3.7889448074991199</v>
      </c>
      <c r="AE73" s="204">
        <v>4.2898395807893301</v>
      </c>
      <c r="AF73" s="203">
        <v>1.6843344539417E-2</v>
      </c>
      <c r="AG73" s="203">
        <v>1.7595829052723701E-2</v>
      </c>
      <c r="AH73" s="203">
        <v>1.84009418164684E-2</v>
      </c>
      <c r="AI73" s="203">
        <v>1.6860059732388199E-2</v>
      </c>
      <c r="AJ73" s="203">
        <v>1.7605932283218401E-2</v>
      </c>
      <c r="AK73" s="203">
        <v>1.83994857648642E-2</v>
      </c>
      <c r="AL73" s="203">
        <v>1.6859228360592199E-2</v>
      </c>
      <c r="AM73" s="203">
        <v>1.75942116065387E-2</v>
      </c>
      <c r="AN73" s="203">
        <v>1.8380040525530598E-2</v>
      </c>
      <c r="AO73" s="203">
        <v>1.6876097599257501E-2</v>
      </c>
      <c r="AP73" s="203">
        <v>1.7596277503824E-2</v>
      </c>
      <c r="AQ73" s="203">
        <v>1.8394333507751302E-2</v>
      </c>
      <c r="AR73" s="203">
        <v>1.68722091923037E-2</v>
      </c>
      <c r="AS73" s="203">
        <v>1.7598838995393801E-2</v>
      </c>
      <c r="AT73" s="204">
        <v>1.8386265010133501E-2</v>
      </c>
      <c r="AU73" s="203">
        <v>3.5321112997679398</v>
      </c>
      <c r="AV73" s="203">
        <v>4.9495180844275302</v>
      </c>
      <c r="AW73" s="203">
        <v>6.77649717642932</v>
      </c>
      <c r="AX73" s="203">
        <v>3.4573230492295002</v>
      </c>
      <c r="AY73" s="203">
        <v>5.8961634587916603</v>
      </c>
      <c r="AZ73" s="203">
        <v>9.3441005447974401</v>
      </c>
      <c r="BA73" s="203">
        <v>2.7319544612212598</v>
      </c>
      <c r="BB73" s="203">
        <v>4.0314780740961904</v>
      </c>
      <c r="BC73" s="203">
        <v>5.7370798990705802</v>
      </c>
      <c r="BD73" s="203">
        <v>3.05495912752234</v>
      </c>
      <c r="BE73" s="203">
        <v>4.0903927697065399</v>
      </c>
      <c r="BF73" s="203">
        <v>5.3833758832189798</v>
      </c>
      <c r="BG73" s="203">
        <v>3.2095089320740802</v>
      </c>
      <c r="BH73" s="203">
        <v>4.3227990419091604</v>
      </c>
      <c r="BI73" s="204">
        <v>5.8357773747364101</v>
      </c>
      <c r="BJ73" s="203">
        <v>0.42916212717852698</v>
      </c>
      <c r="BK73" s="203">
        <v>0.431479037859613</v>
      </c>
      <c r="BL73" s="203">
        <v>0.43470232993199798</v>
      </c>
      <c r="BM73" s="203">
        <v>0.42920549943360098</v>
      </c>
      <c r="BN73" s="203">
        <v>0.43153402325760398</v>
      </c>
      <c r="BO73" s="203">
        <v>0.43474934390696401</v>
      </c>
      <c r="BP73" s="203">
        <v>0.42907423617602902</v>
      </c>
      <c r="BQ73" s="203">
        <v>0.43143905812808098</v>
      </c>
      <c r="BR73" s="203">
        <v>0.43467933368341999</v>
      </c>
      <c r="BS73" s="203">
        <v>0.429175112913665</v>
      </c>
      <c r="BT73" s="203">
        <v>0.43151128358996099</v>
      </c>
      <c r="BU73" s="203">
        <v>0.43476429358537599</v>
      </c>
      <c r="BV73" s="203">
        <v>0.42917513224513898</v>
      </c>
      <c r="BW73" s="203">
        <v>0.43146713312040402</v>
      </c>
      <c r="BX73" s="204">
        <v>0.43465101553184299</v>
      </c>
      <c r="BY73" s="203">
        <v>1.08643786244547</v>
      </c>
      <c r="BZ73" s="203">
        <v>1.3216192921210299</v>
      </c>
      <c r="CA73" s="203">
        <v>1.6361103198432501</v>
      </c>
      <c r="CB73" s="203">
        <v>1.1104658585918099</v>
      </c>
      <c r="CC73" s="203">
        <v>1.37835598806667</v>
      </c>
      <c r="CD73" s="203">
        <v>1.69387380295005</v>
      </c>
      <c r="CE73" s="203">
        <v>1.18738792699125</v>
      </c>
      <c r="CF73" s="203">
        <v>1.4216879262786299</v>
      </c>
      <c r="CG73" s="203">
        <v>1.7382690114364501</v>
      </c>
      <c r="CH73" s="203">
        <v>0.98214188795442603</v>
      </c>
      <c r="CI73" s="203">
        <v>1.16556486281159</v>
      </c>
      <c r="CJ73" s="203">
        <v>1.3620183764438101</v>
      </c>
      <c r="CK73" s="203">
        <v>1.0907687771230099</v>
      </c>
      <c r="CL73" s="203">
        <v>1.3174661859241601</v>
      </c>
      <c r="CM73" s="204">
        <v>1.63508747439964</v>
      </c>
    </row>
    <row r="75" spans="1:91" ht="16" thickBot="1" x14ac:dyDescent="0.25">
      <c r="A75" s="32" t="s">
        <v>470</v>
      </c>
    </row>
    <row r="76" spans="1:91" ht="16" thickBot="1" x14ac:dyDescent="0.25">
      <c r="A76" s="192" t="s">
        <v>408</v>
      </c>
      <c r="B76" s="471" t="s">
        <v>410</v>
      </c>
      <c r="C76" s="471"/>
      <c r="D76" s="471"/>
      <c r="E76" s="471"/>
      <c r="F76" s="471"/>
      <c r="G76" s="471"/>
      <c r="H76" s="471"/>
      <c r="I76" s="471"/>
      <c r="J76" s="471"/>
      <c r="K76" s="471"/>
      <c r="L76" s="471"/>
      <c r="M76" s="471"/>
      <c r="N76" s="471"/>
      <c r="O76" s="471"/>
      <c r="P76" s="437"/>
      <c r="Q76" s="471" t="s">
        <v>428</v>
      </c>
      <c r="R76" s="471"/>
      <c r="S76" s="471"/>
      <c r="T76" s="471"/>
      <c r="U76" s="471"/>
      <c r="V76" s="471"/>
      <c r="W76" s="471"/>
      <c r="X76" s="471"/>
      <c r="Y76" s="471"/>
      <c r="Z76" s="471"/>
      <c r="AA76" s="471"/>
      <c r="AB76" s="471"/>
      <c r="AC76" s="471"/>
      <c r="AD76" s="471"/>
      <c r="AE76" s="437"/>
      <c r="AF76" s="471" t="s">
        <v>429</v>
      </c>
      <c r="AG76" s="471"/>
      <c r="AH76" s="471"/>
      <c r="AI76" s="471"/>
      <c r="AJ76" s="471"/>
      <c r="AK76" s="471"/>
      <c r="AL76" s="471"/>
      <c r="AM76" s="471"/>
      <c r="AN76" s="471"/>
      <c r="AO76" s="471"/>
      <c r="AP76" s="471"/>
      <c r="AQ76" s="471"/>
      <c r="AR76" s="471"/>
      <c r="AS76" s="471"/>
      <c r="AT76" s="437"/>
      <c r="AU76" s="471" t="s">
        <v>430</v>
      </c>
      <c r="AV76" s="471"/>
      <c r="AW76" s="471"/>
      <c r="AX76" s="471"/>
      <c r="AY76" s="471"/>
      <c r="AZ76" s="471"/>
      <c r="BA76" s="471"/>
      <c r="BB76" s="471"/>
      <c r="BC76" s="471"/>
      <c r="BD76" s="471"/>
      <c r="BE76" s="471"/>
      <c r="BF76" s="471"/>
      <c r="BG76" s="471"/>
      <c r="BH76" s="471"/>
      <c r="BI76" s="437"/>
      <c r="BJ76" s="471" t="s">
        <v>431</v>
      </c>
      <c r="BK76" s="471"/>
      <c r="BL76" s="471"/>
      <c r="BM76" s="471"/>
      <c r="BN76" s="471"/>
      <c r="BO76" s="471"/>
      <c r="BP76" s="471"/>
      <c r="BQ76" s="471"/>
      <c r="BR76" s="471"/>
      <c r="BS76" s="471"/>
      <c r="BT76" s="471"/>
      <c r="BU76" s="471"/>
      <c r="BV76" s="471"/>
      <c r="BW76" s="471"/>
      <c r="BX76" s="437"/>
      <c r="BY76" s="471" t="s">
        <v>432</v>
      </c>
      <c r="BZ76" s="471"/>
      <c r="CA76" s="471"/>
      <c r="CB76" s="471"/>
      <c r="CC76" s="471"/>
      <c r="CD76" s="471"/>
      <c r="CE76" s="471"/>
      <c r="CF76" s="471"/>
      <c r="CG76" s="471"/>
      <c r="CH76" s="471"/>
      <c r="CI76" s="471"/>
      <c r="CJ76" s="471"/>
      <c r="CK76" s="471"/>
      <c r="CL76" s="471"/>
      <c r="CM76" s="437"/>
    </row>
    <row r="77" spans="1:91" ht="16" thickBot="1" x14ac:dyDescent="0.25">
      <c r="A77" s="192" t="s">
        <v>409</v>
      </c>
      <c r="B77" s="471" t="s">
        <v>457</v>
      </c>
      <c r="C77" s="471"/>
      <c r="D77" s="437"/>
      <c r="E77" s="436" t="s">
        <v>458</v>
      </c>
      <c r="F77" s="471"/>
      <c r="G77" s="437"/>
      <c r="H77" s="436" t="s">
        <v>459</v>
      </c>
      <c r="I77" s="471"/>
      <c r="J77" s="437"/>
      <c r="K77" s="436" t="s">
        <v>460</v>
      </c>
      <c r="L77" s="471"/>
      <c r="M77" s="437"/>
      <c r="N77" s="436" t="s">
        <v>461</v>
      </c>
      <c r="O77" s="471"/>
      <c r="P77" s="437"/>
      <c r="Q77" s="471" t="s">
        <v>457</v>
      </c>
      <c r="R77" s="471"/>
      <c r="S77" s="437"/>
      <c r="T77" s="436" t="s">
        <v>458</v>
      </c>
      <c r="U77" s="471"/>
      <c r="V77" s="437"/>
      <c r="W77" s="436" t="s">
        <v>459</v>
      </c>
      <c r="X77" s="471"/>
      <c r="Y77" s="437"/>
      <c r="Z77" s="436" t="s">
        <v>460</v>
      </c>
      <c r="AA77" s="471"/>
      <c r="AB77" s="437"/>
      <c r="AC77" s="436" t="s">
        <v>461</v>
      </c>
      <c r="AD77" s="471"/>
      <c r="AE77" s="437"/>
      <c r="AF77" s="471" t="s">
        <v>457</v>
      </c>
      <c r="AG77" s="471"/>
      <c r="AH77" s="437"/>
      <c r="AI77" s="436" t="s">
        <v>458</v>
      </c>
      <c r="AJ77" s="471"/>
      <c r="AK77" s="437"/>
      <c r="AL77" s="436" t="s">
        <v>459</v>
      </c>
      <c r="AM77" s="471"/>
      <c r="AN77" s="437"/>
      <c r="AO77" s="436" t="s">
        <v>460</v>
      </c>
      <c r="AP77" s="471"/>
      <c r="AQ77" s="437"/>
      <c r="AR77" s="436" t="s">
        <v>461</v>
      </c>
      <c r="AS77" s="471"/>
      <c r="AT77" s="437"/>
      <c r="AU77" s="471" t="s">
        <v>457</v>
      </c>
      <c r="AV77" s="471"/>
      <c r="AW77" s="437"/>
      <c r="AX77" s="436" t="s">
        <v>458</v>
      </c>
      <c r="AY77" s="471"/>
      <c r="AZ77" s="437"/>
      <c r="BA77" s="436" t="s">
        <v>459</v>
      </c>
      <c r="BB77" s="471"/>
      <c r="BC77" s="437"/>
      <c r="BD77" s="436" t="s">
        <v>460</v>
      </c>
      <c r="BE77" s="471"/>
      <c r="BF77" s="437"/>
      <c r="BG77" s="436" t="s">
        <v>461</v>
      </c>
      <c r="BH77" s="471"/>
      <c r="BI77" s="437"/>
      <c r="BJ77" s="471" t="s">
        <v>457</v>
      </c>
      <c r="BK77" s="471"/>
      <c r="BL77" s="437"/>
      <c r="BM77" s="436" t="s">
        <v>458</v>
      </c>
      <c r="BN77" s="471"/>
      <c r="BO77" s="437"/>
      <c r="BP77" s="436" t="s">
        <v>459</v>
      </c>
      <c r="BQ77" s="471"/>
      <c r="BR77" s="437"/>
      <c r="BS77" s="436" t="s">
        <v>460</v>
      </c>
      <c r="BT77" s="471"/>
      <c r="BU77" s="437"/>
      <c r="BV77" s="436" t="s">
        <v>461</v>
      </c>
      <c r="BW77" s="471"/>
      <c r="BX77" s="437"/>
      <c r="BY77" s="471" t="s">
        <v>457</v>
      </c>
      <c r="BZ77" s="471"/>
      <c r="CA77" s="437"/>
      <c r="CB77" s="436" t="s">
        <v>458</v>
      </c>
      <c r="CC77" s="471"/>
      <c r="CD77" s="437"/>
      <c r="CE77" s="436" t="s">
        <v>459</v>
      </c>
      <c r="CF77" s="471"/>
      <c r="CG77" s="437"/>
      <c r="CH77" s="436" t="s">
        <v>460</v>
      </c>
      <c r="CI77" s="471"/>
      <c r="CJ77" s="437"/>
      <c r="CK77" s="436" t="s">
        <v>461</v>
      </c>
      <c r="CL77" s="471"/>
      <c r="CM77" s="437"/>
    </row>
    <row r="78" spans="1:91" ht="16" thickBot="1" x14ac:dyDescent="0.25">
      <c r="A78" s="192" t="s">
        <v>179</v>
      </c>
      <c r="B78" s="195" t="s">
        <v>396</v>
      </c>
      <c r="C78" s="195" t="s">
        <v>397</v>
      </c>
      <c r="D78" s="196" t="s">
        <v>398</v>
      </c>
      <c r="E78" s="194" t="s">
        <v>396</v>
      </c>
      <c r="F78" s="195" t="s">
        <v>397</v>
      </c>
      <c r="G78" s="196" t="s">
        <v>398</v>
      </c>
      <c r="H78" s="194" t="s">
        <v>396</v>
      </c>
      <c r="I78" s="195" t="s">
        <v>397</v>
      </c>
      <c r="J78" s="196" t="s">
        <v>398</v>
      </c>
      <c r="K78" s="194" t="s">
        <v>396</v>
      </c>
      <c r="L78" s="195" t="s">
        <v>397</v>
      </c>
      <c r="M78" s="196" t="s">
        <v>398</v>
      </c>
      <c r="N78" s="194" t="s">
        <v>396</v>
      </c>
      <c r="O78" s="195" t="s">
        <v>397</v>
      </c>
      <c r="P78" s="196" t="s">
        <v>398</v>
      </c>
      <c r="Q78" s="195" t="s">
        <v>396</v>
      </c>
      <c r="R78" s="195" t="s">
        <v>397</v>
      </c>
      <c r="S78" s="196" t="s">
        <v>398</v>
      </c>
      <c r="T78" s="194" t="s">
        <v>396</v>
      </c>
      <c r="U78" s="195" t="s">
        <v>397</v>
      </c>
      <c r="V78" s="196" t="s">
        <v>398</v>
      </c>
      <c r="W78" s="194" t="s">
        <v>396</v>
      </c>
      <c r="X78" s="195" t="s">
        <v>397</v>
      </c>
      <c r="Y78" s="196" t="s">
        <v>398</v>
      </c>
      <c r="Z78" s="194" t="s">
        <v>396</v>
      </c>
      <c r="AA78" s="195" t="s">
        <v>397</v>
      </c>
      <c r="AB78" s="196" t="s">
        <v>398</v>
      </c>
      <c r="AC78" s="194" t="s">
        <v>396</v>
      </c>
      <c r="AD78" s="195" t="s">
        <v>397</v>
      </c>
      <c r="AE78" s="196" t="s">
        <v>398</v>
      </c>
      <c r="AF78" s="195" t="s">
        <v>396</v>
      </c>
      <c r="AG78" s="195" t="s">
        <v>397</v>
      </c>
      <c r="AH78" s="196" t="s">
        <v>398</v>
      </c>
      <c r="AI78" s="194" t="s">
        <v>396</v>
      </c>
      <c r="AJ78" s="195" t="s">
        <v>397</v>
      </c>
      <c r="AK78" s="196" t="s">
        <v>398</v>
      </c>
      <c r="AL78" s="194" t="s">
        <v>396</v>
      </c>
      <c r="AM78" s="195" t="s">
        <v>397</v>
      </c>
      <c r="AN78" s="196" t="s">
        <v>398</v>
      </c>
      <c r="AO78" s="194" t="s">
        <v>396</v>
      </c>
      <c r="AP78" s="195" t="s">
        <v>397</v>
      </c>
      <c r="AQ78" s="196" t="s">
        <v>398</v>
      </c>
      <c r="AR78" s="194" t="s">
        <v>396</v>
      </c>
      <c r="AS78" s="195" t="s">
        <v>397</v>
      </c>
      <c r="AT78" s="196" t="s">
        <v>398</v>
      </c>
      <c r="AU78" s="195" t="s">
        <v>396</v>
      </c>
      <c r="AV78" s="195" t="s">
        <v>397</v>
      </c>
      <c r="AW78" s="196" t="s">
        <v>398</v>
      </c>
      <c r="AX78" s="194" t="s">
        <v>396</v>
      </c>
      <c r="AY78" s="195" t="s">
        <v>397</v>
      </c>
      <c r="AZ78" s="196" t="s">
        <v>398</v>
      </c>
      <c r="BA78" s="194" t="s">
        <v>396</v>
      </c>
      <c r="BB78" s="195" t="s">
        <v>397</v>
      </c>
      <c r="BC78" s="196" t="s">
        <v>398</v>
      </c>
      <c r="BD78" s="194" t="s">
        <v>396</v>
      </c>
      <c r="BE78" s="195" t="s">
        <v>397</v>
      </c>
      <c r="BF78" s="196" t="s">
        <v>398</v>
      </c>
      <c r="BG78" s="194" t="s">
        <v>396</v>
      </c>
      <c r="BH78" s="195" t="s">
        <v>397</v>
      </c>
      <c r="BI78" s="196" t="s">
        <v>398</v>
      </c>
      <c r="BJ78" s="195" t="s">
        <v>396</v>
      </c>
      <c r="BK78" s="195" t="s">
        <v>397</v>
      </c>
      <c r="BL78" s="196" t="s">
        <v>398</v>
      </c>
      <c r="BM78" s="194" t="s">
        <v>396</v>
      </c>
      <c r="BN78" s="195" t="s">
        <v>397</v>
      </c>
      <c r="BO78" s="196" t="s">
        <v>398</v>
      </c>
      <c r="BP78" s="194" t="s">
        <v>396</v>
      </c>
      <c r="BQ78" s="195" t="s">
        <v>397</v>
      </c>
      <c r="BR78" s="196" t="s">
        <v>398</v>
      </c>
      <c r="BS78" s="194" t="s">
        <v>396</v>
      </c>
      <c r="BT78" s="195" t="s">
        <v>397</v>
      </c>
      <c r="BU78" s="196" t="s">
        <v>398</v>
      </c>
      <c r="BV78" s="194" t="s">
        <v>396</v>
      </c>
      <c r="BW78" s="195" t="s">
        <v>397</v>
      </c>
      <c r="BX78" s="196" t="s">
        <v>398</v>
      </c>
      <c r="BY78" s="195" t="s">
        <v>396</v>
      </c>
      <c r="BZ78" s="195" t="s">
        <v>397</v>
      </c>
      <c r="CA78" s="196" t="s">
        <v>398</v>
      </c>
      <c r="CB78" s="194" t="s">
        <v>396</v>
      </c>
      <c r="CC78" s="195" t="s">
        <v>397</v>
      </c>
      <c r="CD78" s="196" t="s">
        <v>398</v>
      </c>
      <c r="CE78" s="194" t="s">
        <v>396</v>
      </c>
      <c r="CF78" s="195" t="s">
        <v>397</v>
      </c>
      <c r="CG78" s="196" t="s">
        <v>398</v>
      </c>
      <c r="CH78" s="194" t="s">
        <v>396</v>
      </c>
      <c r="CI78" s="195" t="s">
        <v>397</v>
      </c>
      <c r="CJ78" s="196" t="s">
        <v>398</v>
      </c>
      <c r="CK78" s="194" t="s">
        <v>396</v>
      </c>
      <c r="CL78" s="195" t="s">
        <v>397</v>
      </c>
      <c r="CM78" s="196" t="s">
        <v>398</v>
      </c>
    </row>
    <row r="79" spans="1:91" x14ac:dyDescent="0.2">
      <c r="A79" s="205">
        <v>16060011</v>
      </c>
      <c r="B79" s="51">
        <v>7.8832353261260701E-2</v>
      </c>
      <c r="C79" s="51">
        <v>8.3844077066623904E-2</v>
      </c>
      <c r="D79" s="51">
        <v>8.8409007792146097E-2</v>
      </c>
      <c r="E79" s="51">
        <v>7.88066284175339E-2</v>
      </c>
      <c r="F79" s="51">
        <v>8.3776448680741494E-2</v>
      </c>
      <c r="G79" s="51">
        <v>8.8347044625814303E-2</v>
      </c>
      <c r="H79" s="51">
        <v>7.8816885409441595E-2</v>
      </c>
      <c r="I79" s="51">
        <v>8.3803697282737094E-2</v>
      </c>
      <c r="J79" s="51">
        <v>8.8419452080196706E-2</v>
      </c>
      <c r="K79" s="51">
        <v>7.8812535258894104E-2</v>
      </c>
      <c r="L79" s="51">
        <v>8.3785632019526601E-2</v>
      </c>
      <c r="M79" s="51">
        <v>8.8406970754754802E-2</v>
      </c>
      <c r="N79" s="51">
        <v>7.8834402672356002E-2</v>
      </c>
      <c r="O79" s="51">
        <v>8.3839974981818499E-2</v>
      </c>
      <c r="P79" s="201">
        <v>8.8392363923031195E-2</v>
      </c>
      <c r="Q79" s="51">
        <v>6.5780754054521999</v>
      </c>
      <c r="R79" s="51">
        <v>7.1159275139851204</v>
      </c>
      <c r="S79" s="51">
        <v>7.7538307640161497</v>
      </c>
      <c r="T79" s="51">
        <v>6.4257244806685803</v>
      </c>
      <c r="U79" s="51">
        <v>7.0284383267336503</v>
      </c>
      <c r="V79" s="51">
        <v>7.6830037474953601</v>
      </c>
      <c r="W79" s="51">
        <v>5.7953637583736199</v>
      </c>
      <c r="X79" s="51">
        <v>6.2774686602312197</v>
      </c>
      <c r="Y79" s="51">
        <v>6.8589198530897004</v>
      </c>
      <c r="Z79" s="51">
        <v>5.8900108765411296</v>
      </c>
      <c r="AA79" s="51">
        <v>6.5048596855097296</v>
      </c>
      <c r="AB79" s="51">
        <v>7.00438496039156</v>
      </c>
      <c r="AC79" s="51">
        <v>5.5444404456432297</v>
      </c>
      <c r="AD79" s="51">
        <v>6.1158706517849897</v>
      </c>
      <c r="AE79" s="201">
        <v>6.7177319432677702</v>
      </c>
      <c r="AF79" s="51">
        <v>0</v>
      </c>
      <c r="AG79" s="51">
        <v>0</v>
      </c>
      <c r="AH79" s="51">
        <v>0</v>
      </c>
      <c r="AI79" s="51">
        <v>0</v>
      </c>
      <c r="AJ79" s="51">
        <v>0</v>
      </c>
      <c r="AK79" s="51">
        <v>0</v>
      </c>
      <c r="AL79" s="51">
        <v>0</v>
      </c>
      <c r="AM79" s="51">
        <v>0</v>
      </c>
      <c r="AN79" s="51">
        <v>0</v>
      </c>
      <c r="AO79" s="51">
        <v>0</v>
      </c>
      <c r="AP79" s="51">
        <v>0</v>
      </c>
      <c r="AQ79" s="51">
        <v>0</v>
      </c>
      <c r="AR79" s="51">
        <v>0</v>
      </c>
      <c r="AS79" s="51">
        <v>0</v>
      </c>
      <c r="AT79" s="201">
        <v>0</v>
      </c>
      <c r="AU79" s="51">
        <v>47.340007980820303</v>
      </c>
      <c r="AV79" s="51">
        <v>72.306680805720404</v>
      </c>
      <c r="AW79" s="51">
        <v>102.862042422922</v>
      </c>
      <c r="AX79" s="51">
        <v>51.069411700852697</v>
      </c>
      <c r="AY79" s="51">
        <v>74.842511702138694</v>
      </c>
      <c r="AZ79" s="51">
        <v>105.990291752616</v>
      </c>
      <c r="BA79" s="51">
        <v>9.8061895330612696</v>
      </c>
      <c r="BB79" s="51">
        <v>16.2247806814844</v>
      </c>
      <c r="BC79" s="51">
        <v>25.162967327621601</v>
      </c>
      <c r="BD79" s="51">
        <v>46.290235495363802</v>
      </c>
      <c r="BE79" s="51">
        <v>63.849630663022602</v>
      </c>
      <c r="BF79" s="51">
        <v>83.854142571108696</v>
      </c>
      <c r="BG79" s="51">
        <v>12.8125869350045</v>
      </c>
      <c r="BH79" s="51">
        <v>25.5423559508986</v>
      </c>
      <c r="BI79" s="201">
        <v>44.579802491204902</v>
      </c>
      <c r="BJ79" s="51">
        <v>0.202283428232086</v>
      </c>
      <c r="BK79" s="51">
        <v>0.20653669643428499</v>
      </c>
      <c r="BL79" s="51">
        <v>0.21064028868622101</v>
      </c>
      <c r="BM79" s="51">
        <v>0.202350659821734</v>
      </c>
      <c r="BN79" s="51">
        <v>0.206661346683922</v>
      </c>
      <c r="BO79" s="51">
        <v>0.210697736034342</v>
      </c>
      <c r="BP79" s="51">
        <v>0.20224930539129399</v>
      </c>
      <c r="BQ79" s="51">
        <v>0.20649178943395499</v>
      </c>
      <c r="BR79" s="51">
        <v>0.210551512628704</v>
      </c>
      <c r="BS79" s="51">
        <v>0.20232786463171901</v>
      </c>
      <c r="BT79" s="51">
        <v>0.20653951032485299</v>
      </c>
      <c r="BU79" s="51">
        <v>0.21063638268638901</v>
      </c>
      <c r="BV79" s="51">
        <v>0.202347401479052</v>
      </c>
      <c r="BW79" s="51">
        <v>0.20654432191973199</v>
      </c>
      <c r="BX79" s="201">
        <v>0.21062933025508901</v>
      </c>
      <c r="BY79" s="51">
        <v>0</v>
      </c>
      <c r="BZ79" s="51">
        <v>0</v>
      </c>
      <c r="CA79" s="51">
        <v>0</v>
      </c>
      <c r="CB79" s="51">
        <v>0</v>
      </c>
      <c r="CC79" s="51">
        <v>0</v>
      </c>
      <c r="CD79" s="51">
        <v>0</v>
      </c>
      <c r="CE79" s="51">
        <v>0</v>
      </c>
      <c r="CF79" s="51">
        <v>0</v>
      </c>
      <c r="CG79" s="51">
        <v>0</v>
      </c>
      <c r="CH79" s="51">
        <v>0</v>
      </c>
      <c r="CI79" s="51">
        <v>0</v>
      </c>
      <c r="CJ79" s="51">
        <v>0</v>
      </c>
      <c r="CK79" s="51">
        <v>0</v>
      </c>
      <c r="CL79" s="51">
        <v>0</v>
      </c>
      <c r="CM79" s="201">
        <v>0</v>
      </c>
    </row>
    <row r="80" spans="1:91" x14ac:dyDescent="0.2">
      <c r="A80" s="205">
        <v>15030202</v>
      </c>
      <c r="B80" s="51">
        <v>19.6021900426088</v>
      </c>
      <c r="C80" s="51">
        <v>20.872813626421401</v>
      </c>
      <c r="D80" s="51">
        <v>22.013782270743601</v>
      </c>
      <c r="E80" s="51">
        <v>19.646797215813599</v>
      </c>
      <c r="F80" s="51">
        <v>20.896747269517199</v>
      </c>
      <c r="G80" s="51">
        <v>22.029837630625298</v>
      </c>
      <c r="H80" s="51">
        <v>19.638101353440401</v>
      </c>
      <c r="I80" s="51">
        <v>20.858522890939799</v>
      </c>
      <c r="J80" s="51">
        <v>22.0059904705059</v>
      </c>
      <c r="K80" s="51">
        <v>19.628380215595101</v>
      </c>
      <c r="L80" s="51">
        <v>20.8726286570909</v>
      </c>
      <c r="M80" s="51">
        <v>22.029888593328401</v>
      </c>
      <c r="N80" s="51">
        <v>19.603389730705</v>
      </c>
      <c r="O80" s="51">
        <v>20.8563261346936</v>
      </c>
      <c r="P80" s="201">
        <v>22.0097031415579</v>
      </c>
      <c r="Q80" s="51">
        <v>46.085393494622402</v>
      </c>
      <c r="R80" s="51">
        <v>49.095940437032901</v>
      </c>
      <c r="S80" s="51">
        <v>52.244755020887403</v>
      </c>
      <c r="T80" s="51">
        <v>44.861914965800501</v>
      </c>
      <c r="U80" s="51">
        <v>48.2885421139366</v>
      </c>
      <c r="V80" s="51">
        <v>51.353205166695901</v>
      </c>
      <c r="W80" s="51">
        <v>42.509825853738</v>
      </c>
      <c r="X80" s="51">
        <v>45.265614351258399</v>
      </c>
      <c r="Y80" s="51">
        <v>48.279865502950003</v>
      </c>
      <c r="Z80" s="51">
        <v>41.057631306930702</v>
      </c>
      <c r="AA80" s="51">
        <v>44.5930129778273</v>
      </c>
      <c r="AB80" s="51">
        <v>47.902730380759202</v>
      </c>
      <c r="AC80" s="51">
        <v>39.555659998061998</v>
      </c>
      <c r="AD80" s="51">
        <v>43.933273148318698</v>
      </c>
      <c r="AE80" s="201">
        <v>48.7002323466291</v>
      </c>
      <c r="AF80" s="51">
        <v>0</v>
      </c>
      <c r="AG80" s="51">
        <v>0</v>
      </c>
      <c r="AH80" s="51">
        <v>0</v>
      </c>
      <c r="AI80" s="51">
        <v>0</v>
      </c>
      <c r="AJ80" s="51">
        <v>0</v>
      </c>
      <c r="AK80" s="51">
        <v>0</v>
      </c>
      <c r="AL80" s="51">
        <v>0</v>
      </c>
      <c r="AM80" s="51">
        <v>0</v>
      </c>
      <c r="AN80" s="51">
        <v>0</v>
      </c>
      <c r="AO80" s="51">
        <v>0</v>
      </c>
      <c r="AP80" s="51">
        <v>0</v>
      </c>
      <c r="AQ80" s="51">
        <v>0</v>
      </c>
      <c r="AR80" s="51">
        <v>0</v>
      </c>
      <c r="AS80" s="51">
        <v>0</v>
      </c>
      <c r="AT80" s="201">
        <v>0</v>
      </c>
      <c r="AU80" s="51">
        <v>45.706204487261999</v>
      </c>
      <c r="AV80" s="51">
        <v>78.432809736383305</v>
      </c>
      <c r="AW80" s="51">
        <v>120.282200806896</v>
      </c>
      <c r="AX80" s="51">
        <v>41.129415610490803</v>
      </c>
      <c r="AY80" s="51">
        <v>63.8191438840229</v>
      </c>
      <c r="AZ80" s="51">
        <v>98.081549865203002</v>
      </c>
      <c r="BA80" s="51">
        <v>22.3213584437623</v>
      </c>
      <c r="BB80" s="51">
        <v>36.232620355516403</v>
      </c>
      <c r="BC80" s="51">
        <v>55.0015980516459</v>
      </c>
      <c r="BD80" s="51">
        <v>39.2960853777941</v>
      </c>
      <c r="BE80" s="51">
        <v>57.681505213858202</v>
      </c>
      <c r="BF80" s="51">
        <v>78.802289454317105</v>
      </c>
      <c r="BG80" s="51">
        <v>15.8138530086954</v>
      </c>
      <c r="BH80" s="51">
        <v>28.355384887370501</v>
      </c>
      <c r="BI80" s="201">
        <v>44.083245396307603</v>
      </c>
      <c r="BJ80" s="51">
        <v>0.36425294586870199</v>
      </c>
      <c r="BK80" s="51">
        <v>0.372057563112416</v>
      </c>
      <c r="BL80" s="51">
        <v>0.379449344749343</v>
      </c>
      <c r="BM80" s="51">
        <v>0.36409658102661802</v>
      </c>
      <c r="BN80" s="51">
        <v>0.37194868316667701</v>
      </c>
      <c r="BO80" s="51">
        <v>0.379285047372388</v>
      </c>
      <c r="BP80" s="51">
        <v>0.36408105777712302</v>
      </c>
      <c r="BQ80" s="51">
        <v>0.37196182731369798</v>
      </c>
      <c r="BR80" s="51">
        <v>0.37921949309038799</v>
      </c>
      <c r="BS80" s="51">
        <v>0.36422765852462202</v>
      </c>
      <c r="BT80" s="51">
        <v>0.37209121929697397</v>
      </c>
      <c r="BU80" s="51">
        <v>0.37949811340915501</v>
      </c>
      <c r="BV80" s="51">
        <v>0.36416093498021501</v>
      </c>
      <c r="BW80" s="51">
        <v>0.37214566431114199</v>
      </c>
      <c r="BX80" s="201">
        <v>0.379338271407058</v>
      </c>
      <c r="BY80" s="51">
        <v>1.5568278628896901</v>
      </c>
      <c r="BZ80" s="51">
        <v>1.83048185924814</v>
      </c>
      <c r="CA80" s="51">
        <v>2.1810722726004399</v>
      </c>
      <c r="CB80" s="51">
        <v>1.3898836518321001</v>
      </c>
      <c r="CC80" s="51">
        <v>1.5231188908457101</v>
      </c>
      <c r="CD80" s="51">
        <v>1.65469527228179</v>
      </c>
      <c r="CE80" s="51">
        <v>1.66999356762221</v>
      </c>
      <c r="CF80" s="51">
        <v>1.9856237001516099</v>
      </c>
      <c r="CG80" s="51">
        <v>2.3757867501747398</v>
      </c>
      <c r="CH80" s="51">
        <v>1.53920620537193</v>
      </c>
      <c r="CI80" s="51">
        <v>1.72965073038858</v>
      </c>
      <c r="CJ80" s="51">
        <v>1.9613490752173299</v>
      </c>
      <c r="CK80" s="51">
        <v>1.61349464507753</v>
      </c>
      <c r="CL80" s="51">
        <v>1.8362249807926201</v>
      </c>
      <c r="CM80" s="201">
        <v>2.09979286980818</v>
      </c>
    </row>
    <row r="81" spans="1:91" x14ac:dyDescent="0.2">
      <c r="A81" s="205">
        <v>15030201</v>
      </c>
      <c r="B81" s="51">
        <v>19.6225836455367</v>
      </c>
      <c r="C81" s="51">
        <v>20.899197081964001</v>
      </c>
      <c r="D81" s="51">
        <v>22.037041122343901</v>
      </c>
      <c r="E81" s="51">
        <v>19.612314241055401</v>
      </c>
      <c r="F81" s="51">
        <v>20.888817175014001</v>
      </c>
      <c r="G81" s="51">
        <v>22.037933850165</v>
      </c>
      <c r="H81" s="51">
        <v>19.598454142280701</v>
      </c>
      <c r="I81" s="51">
        <v>20.869804547649299</v>
      </c>
      <c r="J81" s="51">
        <v>22.020757787469101</v>
      </c>
      <c r="K81" s="51">
        <v>19.620148433537199</v>
      </c>
      <c r="L81" s="51">
        <v>20.884067252887402</v>
      </c>
      <c r="M81" s="51">
        <v>22.040153296650999</v>
      </c>
      <c r="N81" s="51">
        <v>19.642642601161899</v>
      </c>
      <c r="O81" s="51">
        <v>20.863092063418001</v>
      </c>
      <c r="P81" s="201">
        <v>22.005137004929001</v>
      </c>
      <c r="Q81" s="51">
        <v>46.112284256709899</v>
      </c>
      <c r="R81" s="51">
        <v>49.0286775994118</v>
      </c>
      <c r="S81" s="51">
        <v>52.237845541640098</v>
      </c>
      <c r="T81" s="51">
        <v>44.954008164564698</v>
      </c>
      <c r="U81" s="51">
        <v>48.250160054105997</v>
      </c>
      <c r="V81" s="51">
        <v>51.315435341405397</v>
      </c>
      <c r="W81" s="51">
        <v>42.582706677553197</v>
      </c>
      <c r="X81" s="51">
        <v>45.307826356248398</v>
      </c>
      <c r="Y81" s="51">
        <v>48.2572472739201</v>
      </c>
      <c r="Z81" s="51">
        <v>41.013419345625998</v>
      </c>
      <c r="AA81" s="51">
        <v>44.519686861745797</v>
      </c>
      <c r="AB81" s="51">
        <v>47.805960525349803</v>
      </c>
      <c r="AC81" s="51">
        <v>39.6191780173396</v>
      </c>
      <c r="AD81" s="51">
        <v>43.896878337147903</v>
      </c>
      <c r="AE81" s="201">
        <v>48.688432394842302</v>
      </c>
      <c r="AF81" s="51">
        <v>0</v>
      </c>
      <c r="AG81" s="51">
        <v>0</v>
      </c>
      <c r="AH81" s="51">
        <v>0</v>
      </c>
      <c r="AI81" s="51">
        <v>0</v>
      </c>
      <c r="AJ81" s="51">
        <v>0</v>
      </c>
      <c r="AK81" s="51">
        <v>0</v>
      </c>
      <c r="AL81" s="51">
        <v>0</v>
      </c>
      <c r="AM81" s="51">
        <v>0</v>
      </c>
      <c r="AN81" s="51">
        <v>0</v>
      </c>
      <c r="AO81" s="51">
        <v>0</v>
      </c>
      <c r="AP81" s="51">
        <v>0</v>
      </c>
      <c r="AQ81" s="51">
        <v>0</v>
      </c>
      <c r="AR81" s="51">
        <v>0</v>
      </c>
      <c r="AS81" s="51">
        <v>0</v>
      </c>
      <c r="AT81" s="201">
        <v>0</v>
      </c>
      <c r="AU81" s="51">
        <v>46.226521991652298</v>
      </c>
      <c r="AV81" s="51">
        <v>78.303532180051604</v>
      </c>
      <c r="AW81" s="51">
        <v>120.309668246464</v>
      </c>
      <c r="AX81" s="51">
        <v>41.182007040355302</v>
      </c>
      <c r="AY81" s="51">
        <v>63.905192768720902</v>
      </c>
      <c r="AZ81" s="51">
        <v>97.612121433445907</v>
      </c>
      <c r="BA81" s="51">
        <v>22.534713395435102</v>
      </c>
      <c r="BB81" s="51">
        <v>36.425241733602199</v>
      </c>
      <c r="BC81" s="51">
        <v>55.003626330189</v>
      </c>
      <c r="BD81" s="51">
        <v>38.998447018406097</v>
      </c>
      <c r="BE81" s="51">
        <v>57.907970492319699</v>
      </c>
      <c r="BF81" s="51">
        <v>78.885020120421501</v>
      </c>
      <c r="BG81" s="51">
        <v>15.508741369245399</v>
      </c>
      <c r="BH81" s="51">
        <v>27.850450849777602</v>
      </c>
      <c r="BI81" s="201">
        <v>43.824682435980598</v>
      </c>
      <c r="BJ81" s="51">
        <v>0.364062940690913</v>
      </c>
      <c r="BK81" s="51">
        <v>0.37196896539657398</v>
      </c>
      <c r="BL81" s="51">
        <v>0.37924938156473897</v>
      </c>
      <c r="BM81" s="51">
        <v>0.36410147694946898</v>
      </c>
      <c r="BN81" s="51">
        <v>0.37199710926958901</v>
      </c>
      <c r="BO81" s="51">
        <v>0.37924447294228902</v>
      </c>
      <c r="BP81" s="51">
        <v>0.36419632511168698</v>
      </c>
      <c r="BQ81" s="51">
        <v>0.37196089110089198</v>
      </c>
      <c r="BR81" s="51">
        <v>0.37930815732470302</v>
      </c>
      <c r="BS81" s="51">
        <v>0.36414577385640901</v>
      </c>
      <c r="BT81" s="51">
        <v>0.37198189932727399</v>
      </c>
      <c r="BU81" s="51">
        <v>0.37937899997089602</v>
      </c>
      <c r="BV81" s="51">
        <v>0.364013358826274</v>
      </c>
      <c r="BW81" s="51">
        <v>0.371992284617151</v>
      </c>
      <c r="BX81" s="201">
        <v>0.37927781437143099</v>
      </c>
      <c r="BY81" s="51">
        <v>1.55156514989867</v>
      </c>
      <c r="BZ81" s="51">
        <v>1.82396181733566</v>
      </c>
      <c r="CA81" s="51">
        <v>2.1875072746152702</v>
      </c>
      <c r="CB81" s="51">
        <v>1.39327288662291</v>
      </c>
      <c r="CC81" s="51">
        <v>1.52471465879364</v>
      </c>
      <c r="CD81" s="51">
        <v>1.6570201719658699</v>
      </c>
      <c r="CE81" s="51">
        <v>1.6715763687707199</v>
      </c>
      <c r="CF81" s="51">
        <v>1.9811766144643801</v>
      </c>
      <c r="CG81" s="51">
        <v>2.3793522828739699</v>
      </c>
      <c r="CH81" s="51">
        <v>1.5385324616764999</v>
      </c>
      <c r="CI81" s="51">
        <v>1.7303439202197299</v>
      </c>
      <c r="CJ81" s="51">
        <v>1.9601689678024501</v>
      </c>
      <c r="CK81" s="51">
        <v>1.61231491087493</v>
      </c>
      <c r="CL81" s="51">
        <v>1.8320924560913601</v>
      </c>
      <c r="CM81" s="201">
        <v>2.09751635031374</v>
      </c>
    </row>
    <row r="82" spans="1:91" x14ac:dyDescent="0.2">
      <c r="A82" s="205">
        <v>18100204</v>
      </c>
      <c r="B82" s="51">
        <v>13.304879909571399</v>
      </c>
      <c r="C82" s="51">
        <v>13.8692760183313</v>
      </c>
      <c r="D82" s="51">
        <v>14.372040001551801</v>
      </c>
      <c r="E82" s="51">
        <v>13.3029672029497</v>
      </c>
      <c r="F82" s="51">
        <v>13.875256561915601</v>
      </c>
      <c r="G82" s="51">
        <v>14.3741276510316</v>
      </c>
      <c r="H82" s="51">
        <v>13.296000625283099</v>
      </c>
      <c r="I82" s="51">
        <v>13.870263806923999</v>
      </c>
      <c r="J82" s="51">
        <v>14.370738701554799</v>
      </c>
      <c r="K82" s="51">
        <v>13.295664075837401</v>
      </c>
      <c r="L82" s="51">
        <v>13.869686587797601</v>
      </c>
      <c r="M82" s="51">
        <v>14.3719457808643</v>
      </c>
      <c r="N82" s="51">
        <v>13.2911580214666</v>
      </c>
      <c r="O82" s="51">
        <v>13.8815160371239</v>
      </c>
      <c r="P82" s="201">
        <v>14.3768660724716</v>
      </c>
      <c r="Q82" s="51">
        <v>25.543217939320598</v>
      </c>
      <c r="R82" s="51">
        <v>26.7162095618135</v>
      </c>
      <c r="S82" s="51">
        <v>27.824501005145699</v>
      </c>
      <c r="T82" s="51">
        <v>23.968018029371201</v>
      </c>
      <c r="U82" s="51">
        <v>25.653459301611601</v>
      </c>
      <c r="V82" s="51">
        <v>27.102557617314599</v>
      </c>
      <c r="W82" s="51">
        <v>23.698994073829301</v>
      </c>
      <c r="X82" s="51">
        <v>24.4765248963337</v>
      </c>
      <c r="Y82" s="51">
        <v>25.243611547174801</v>
      </c>
      <c r="Z82" s="51">
        <v>22.5618144248287</v>
      </c>
      <c r="AA82" s="51">
        <v>23.587768282726799</v>
      </c>
      <c r="AB82" s="51">
        <v>24.478525633953399</v>
      </c>
      <c r="AC82" s="51">
        <v>21.5077579170799</v>
      </c>
      <c r="AD82" s="51">
        <v>23.628848104677701</v>
      </c>
      <c r="AE82" s="201">
        <v>25.410256197070701</v>
      </c>
      <c r="AF82" s="51">
        <v>0</v>
      </c>
      <c r="AG82" s="51">
        <v>0</v>
      </c>
      <c r="AH82" s="51">
        <v>0</v>
      </c>
      <c r="AI82" s="51">
        <v>0</v>
      </c>
      <c r="AJ82" s="51">
        <v>0</v>
      </c>
      <c r="AK82" s="51">
        <v>0</v>
      </c>
      <c r="AL82" s="51">
        <v>0</v>
      </c>
      <c r="AM82" s="51">
        <v>0</v>
      </c>
      <c r="AN82" s="51">
        <v>0</v>
      </c>
      <c r="AO82" s="51">
        <v>0</v>
      </c>
      <c r="AP82" s="51">
        <v>0</v>
      </c>
      <c r="AQ82" s="51">
        <v>0</v>
      </c>
      <c r="AR82" s="51">
        <v>0</v>
      </c>
      <c r="AS82" s="51">
        <v>0</v>
      </c>
      <c r="AT82" s="201">
        <v>0</v>
      </c>
      <c r="AU82" s="51">
        <v>1469.4550419469001</v>
      </c>
      <c r="AV82" s="51">
        <v>2965.8013747039699</v>
      </c>
      <c r="AW82" s="51">
        <v>5042.7966951146</v>
      </c>
      <c r="AX82" s="51">
        <v>1068.48280335035</v>
      </c>
      <c r="AY82" s="51">
        <v>1827.13946635667</v>
      </c>
      <c r="AZ82" s="51">
        <v>2898.6485793944698</v>
      </c>
      <c r="BA82" s="51">
        <v>480.91751989111998</v>
      </c>
      <c r="BB82" s="51">
        <v>867.04185985399704</v>
      </c>
      <c r="BC82" s="51">
        <v>1363.9770571423001</v>
      </c>
      <c r="BD82" s="51">
        <v>1572.0730443667901</v>
      </c>
      <c r="BE82" s="51">
        <v>2426.4085889394701</v>
      </c>
      <c r="BF82" s="51">
        <v>3358.8117258396701</v>
      </c>
      <c r="BG82" s="51">
        <v>697.24280142066095</v>
      </c>
      <c r="BH82" s="51">
        <v>1524.2000066939399</v>
      </c>
      <c r="BI82" s="201">
        <v>2663.9647867952599</v>
      </c>
      <c r="BJ82" s="51">
        <v>3.63451684371437</v>
      </c>
      <c r="BK82" s="51">
        <v>3.6414007863624098</v>
      </c>
      <c r="BL82" s="51">
        <v>3.64702468866609</v>
      </c>
      <c r="BM82" s="51">
        <v>3.63437216191475</v>
      </c>
      <c r="BN82" s="51">
        <v>3.6414484210306899</v>
      </c>
      <c r="BO82" s="51">
        <v>3.64703246146476</v>
      </c>
      <c r="BP82" s="51">
        <v>3.6343976590499998</v>
      </c>
      <c r="BQ82" s="51">
        <v>3.64139867981865</v>
      </c>
      <c r="BR82" s="51">
        <v>3.6470833877955</v>
      </c>
      <c r="BS82" s="51">
        <v>3.6343732675311</v>
      </c>
      <c r="BT82" s="51">
        <v>3.6415198793558101</v>
      </c>
      <c r="BU82" s="51">
        <v>3.6470827101964698</v>
      </c>
      <c r="BV82" s="51">
        <v>3.6344548327014699</v>
      </c>
      <c r="BW82" s="51">
        <v>3.6413895531301401</v>
      </c>
      <c r="BX82" s="201">
        <v>3.6470820772188901</v>
      </c>
      <c r="BY82" s="51">
        <v>0</v>
      </c>
      <c r="BZ82" s="51">
        <v>0</v>
      </c>
      <c r="CA82" s="51">
        <v>0</v>
      </c>
      <c r="CB82" s="51"/>
      <c r="CC82" s="51"/>
      <c r="CD82" s="51"/>
      <c r="CE82" s="51">
        <v>0</v>
      </c>
      <c r="CF82" s="51">
        <v>0</v>
      </c>
      <c r="CG82" s="51">
        <v>0</v>
      </c>
      <c r="CH82" s="51">
        <v>0</v>
      </c>
      <c r="CI82" s="51">
        <v>0</v>
      </c>
      <c r="CJ82" s="51">
        <v>0</v>
      </c>
      <c r="CK82" s="51">
        <v>0</v>
      </c>
      <c r="CL82" s="51">
        <v>0</v>
      </c>
      <c r="CM82" s="201">
        <v>0</v>
      </c>
    </row>
    <row r="83" spans="1:91" x14ac:dyDescent="0.2">
      <c r="A83" s="205">
        <v>16060013</v>
      </c>
      <c r="B83" s="51">
        <v>7.8714938028443399E-2</v>
      </c>
      <c r="C83" s="51">
        <v>8.3854849495661604E-2</v>
      </c>
      <c r="D83" s="51">
        <v>8.8429793323161296E-2</v>
      </c>
      <c r="E83" s="51">
        <v>7.8853484475017305E-2</v>
      </c>
      <c r="F83" s="51">
        <v>8.3847928893785895E-2</v>
      </c>
      <c r="G83" s="51">
        <v>8.8462178578359293E-2</v>
      </c>
      <c r="H83" s="51">
        <v>7.8866517949840897E-2</v>
      </c>
      <c r="I83" s="51">
        <v>8.3858708984909103E-2</v>
      </c>
      <c r="J83" s="51">
        <v>8.8307444940406293E-2</v>
      </c>
      <c r="K83" s="51">
        <v>7.8792043940663997E-2</v>
      </c>
      <c r="L83" s="51">
        <v>8.38233801453903E-2</v>
      </c>
      <c r="M83" s="51">
        <v>8.8381671116558896E-2</v>
      </c>
      <c r="N83" s="51">
        <v>7.8800630482446496E-2</v>
      </c>
      <c r="O83" s="51">
        <v>8.3813261226567098E-2</v>
      </c>
      <c r="P83" s="201">
        <v>8.8366110801320799E-2</v>
      </c>
      <c r="Q83" s="51">
        <v>6.57956438493951</v>
      </c>
      <c r="R83" s="51">
        <v>7.1204323878668596</v>
      </c>
      <c r="S83" s="51">
        <v>7.7553807692034704</v>
      </c>
      <c r="T83" s="51">
        <v>6.4254430116369896</v>
      </c>
      <c r="U83" s="51">
        <v>7.03280716484708</v>
      </c>
      <c r="V83" s="51">
        <v>7.6790684030566299</v>
      </c>
      <c r="W83" s="51">
        <v>5.7968521483254696</v>
      </c>
      <c r="X83" s="51">
        <v>6.2790002641839804</v>
      </c>
      <c r="Y83" s="51">
        <v>6.8493865997852899</v>
      </c>
      <c r="Z83" s="51">
        <v>5.8908117353502698</v>
      </c>
      <c r="AA83" s="51">
        <v>6.5067359639290201</v>
      </c>
      <c r="AB83" s="51">
        <v>7.0037801205239898</v>
      </c>
      <c r="AC83" s="51">
        <v>5.5341733843115604</v>
      </c>
      <c r="AD83" s="51">
        <v>6.1170189486254403</v>
      </c>
      <c r="AE83" s="201">
        <v>6.7138610414230397</v>
      </c>
      <c r="AF83" s="51">
        <v>0</v>
      </c>
      <c r="AG83" s="51">
        <v>0</v>
      </c>
      <c r="AH83" s="51">
        <v>0</v>
      </c>
      <c r="AI83" s="51">
        <v>0</v>
      </c>
      <c r="AJ83" s="51">
        <v>0</v>
      </c>
      <c r="AK83" s="51">
        <v>0</v>
      </c>
      <c r="AL83" s="51">
        <v>0</v>
      </c>
      <c r="AM83" s="51">
        <v>0</v>
      </c>
      <c r="AN83" s="51">
        <v>0</v>
      </c>
      <c r="AO83" s="51">
        <v>0</v>
      </c>
      <c r="AP83" s="51">
        <v>0</v>
      </c>
      <c r="AQ83" s="51">
        <v>0</v>
      </c>
      <c r="AR83" s="51">
        <v>0</v>
      </c>
      <c r="AS83" s="51">
        <v>0</v>
      </c>
      <c r="AT83" s="201">
        <v>0</v>
      </c>
      <c r="AU83" s="51">
        <v>47.434972724765501</v>
      </c>
      <c r="AV83" s="51">
        <v>71.947154770107502</v>
      </c>
      <c r="AW83" s="51">
        <v>103.211560557244</v>
      </c>
      <c r="AX83" s="51">
        <v>50.691625318907299</v>
      </c>
      <c r="AY83" s="51">
        <v>75.008111506462797</v>
      </c>
      <c r="AZ83" s="51">
        <v>105.74131739292901</v>
      </c>
      <c r="BA83" s="51">
        <v>10.0194362532776</v>
      </c>
      <c r="BB83" s="51">
        <v>16.343583513230399</v>
      </c>
      <c r="BC83" s="51">
        <v>25.092186891044701</v>
      </c>
      <c r="BD83" s="51">
        <v>46.187167499030899</v>
      </c>
      <c r="BE83" s="51">
        <v>63.858052692022298</v>
      </c>
      <c r="BF83" s="51">
        <v>84.048189987267605</v>
      </c>
      <c r="BG83" s="51">
        <v>12.6246076508253</v>
      </c>
      <c r="BH83" s="51">
        <v>25.6201265977258</v>
      </c>
      <c r="BI83" s="201">
        <v>44.2520051498078</v>
      </c>
      <c r="BJ83" s="51">
        <v>0.20231075406447699</v>
      </c>
      <c r="BK83" s="51">
        <v>0.20657881067262099</v>
      </c>
      <c r="BL83" s="51">
        <v>0.21061466690734501</v>
      </c>
      <c r="BM83" s="51">
        <v>0.20241282384504999</v>
      </c>
      <c r="BN83" s="51">
        <v>0.20665451383136299</v>
      </c>
      <c r="BO83" s="51">
        <v>0.210700189446756</v>
      </c>
      <c r="BP83" s="51">
        <v>0.20229068328018199</v>
      </c>
      <c r="BQ83" s="51">
        <v>0.206567122060488</v>
      </c>
      <c r="BR83" s="51">
        <v>0.21067277993569</v>
      </c>
      <c r="BS83" s="51">
        <v>0.202345174842579</v>
      </c>
      <c r="BT83" s="51">
        <v>0.20652572180302001</v>
      </c>
      <c r="BU83" s="51">
        <v>0.210544051867394</v>
      </c>
      <c r="BV83" s="51">
        <v>0.20229796740875999</v>
      </c>
      <c r="BW83" s="51">
        <v>0.20656330552048299</v>
      </c>
      <c r="BX83" s="201">
        <v>0.21054594220679199</v>
      </c>
      <c r="BY83" s="51">
        <v>0</v>
      </c>
      <c r="BZ83" s="51">
        <v>0</v>
      </c>
      <c r="CA83" s="51">
        <v>0</v>
      </c>
      <c r="CB83" s="51">
        <v>0</v>
      </c>
      <c r="CC83" s="51">
        <v>0</v>
      </c>
      <c r="CD83" s="51">
        <v>0</v>
      </c>
      <c r="CE83" s="51">
        <v>0</v>
      </c>
      <c r="CF83" s="51">
        <v>0</v>
      </c>
      <c r="CG83" s="51">
        <v>0</v>
      </c>
      <c r="CH83" s="51">
        <v>0</v>
      </c>
      <c r="CI83" s="51">
        <v>0</v>
      </c>
      <c r="CJ83" s="51">
        <v>0</v>
      </c>
      <c r="CK83" s="51">
        <v>0</v>
      </c>
      <c r="CL83" s="51">
        <v>0</v>
      </c>
      <c r="CM83" s="201">
        <v>0</v>
      </c>
    </row>
    <row r="84" spans="1:91" x14ac:dyDescent="0.2">
      <c r="A84" s="205">
        <v>18090208</v>
      </c>
      <c r="B84" s="51">
        <v>7.3998845085921401</v>
      </c>
      <c r="C84" s="51">
        <v>7.7073548308465396</v>
      </c>
      <c r="D84" s="51">
        <v>7.9720551852661696</v>
      </c>
      <c r="E84" s="51">
        <v>7.3931834813810804</v>
      </c>
      <c r="F84" s="51">
        <v>7.7061116124860396</v>
      </c>
      <c r="G84" s="51">
        <v>7.96889784173643</v>
      </c>
      <c r="H84" s="51">
        <v>7.39657179668714</v>
      </c>
      <c r="I84" s="51">
        <v>7.7008818630743203</v>
      </c>
      <c r="J84" s="51">
        <v>7.9702982125515698</v>
      </c>
      <c r="K84" s="51">
        <v>7.3920357777485304</v>
      </c>
      <c r="L84" s="51">
        <v>7.7059505588383104</v>
      </c>
      <c r="M84" s="51">
        <v>7.9707278614685801</v>
      </c>
      <c r="N84" s="51">
        <v>7.3921245484539702</v>
      </c>
      <c r="O84" s="51">
        <v>7.7037488826300997</v>
      </c>
      <c r="P84" s="201">
        <v>7.9697672593992603</v>
      </c>
      <c r="Q84" s="51">
        <v>412.47365885183302</v>
      </c>
      <c r="R84" s="51">
        <v>441.76427179632998</v>
      </c>
      <c r="S84" s="51">
        <v>468.00308928578698</v>
      </c>
      <c r="T84" s="51">
        <v>424.00259409012</v>
      </c>
      <c r="U84" s="51">
        <v>460.57026525516102</v>
      </c>
      <c r="V84" s="51">
        <v>493.33629319411801</v>
      </c>
      <c r="W84" s="51">
        <v>358.60823062824602</v>
      </c>
      <c r="X84" s="51">
        <v>389.12207009408201</v>
      </c>
      <c r="Y84" s="51">
        <v>424.72993354333897</v>
      </c>
      <c r="Z84" s="51">
        <v>369.09947798109499</v>
      </c>
      <c r="AA84" s="51">
        <v>391.36996236337001</v>
      </c>
      <c r="AB84" s="51">
        <v>415.40398288822098</v>
      </c>
      <c r="AC84" s="51">
        <v>370.10863427183398</v>
      </c>
      <c r="AD84" s="51">
        <v>399.42124550875599</v>
      </c>
      <c r="AE84" s="201">
        <v>424.88454547212098</v>
      </c>
      <c r="AF84" s="51">
        <v>0</v>
      </c>
      <c r="AG84" s="51">
        <v>0</v>
      </c>
      <c r="AH84" s="51">
        <v>0</v>
      </c>
      <c r="AI84" s="51">
        <v>0</v>
      </c>
      <c r="AJ84" s="51">
        <v>0</v>
      </c>
      <c r="AK84" s="51">
        <v>0</v>
      </c>
      <c r="AL84" s="51">
        <v>0</v>
      </c>
      <c r="AM84" s="51">
        <v>0</v>
      </c>
      <c r="AN84" s="51">
        <v>0</v>
      </c>
      <c r="AO84" s="51">
        <v>0</v>
      </c>
      <c r="AP84" s="51">
        <v>0</v>
      </c>
      <c r="AQ84" s="51">
        <v>0</v>
      </c>
      <c r="AR84" s="51">
        <v>0</v>
      </c>
      <c r="AS84" s="51">
        <v>0</v>
      </c>
      <c r="AT84" s="201">
        <v>0</v>
      </c>
      <c r="AU84" s="51">
        <v>427.10425841662101</v>
      </c>
      <c r="AV84" s="51">
        <v>725.93510316629101</v>
      </c>
      <c r="AW84" s="51">
        <v>1151.84189718934</v>
      </c>
      <c r="AX84" s="51">
        <v>1080.16148196176</v>
      </c>
      <c r="AY84" s="51">
        <v>1704.34069298129</v>
      </c>
      <c r="AZ84" s="51">
        <v>2431.9135522704801</v>
      </c>
      <c r="BA84" s="51">
        <v>131.604371274215</v>
      </c>
      <c r="BB84" s="51">
        <v>224.18593853125799</v>
      </c>
      <c r="BC84" s="51">
        <v>334.55335161787502</v>
      </c>
      <c r="BD84" s="51">
        <v>613.00731399392498</v>
      </c>
      <c r="BE84" s="51">
        <v>1024.9775735353101</v>
      </c>
      <c r="BF84" s="51">
        <v>1640.3263063475399</v>
      </c>
      <c r="BG84" s="51">
        <v>185.06042214951401</v>
      </c>
      <c r="BH84" s="51">
        <v>331.24156278547201</v>
      </c>
      <c r="BI84" s="201">
        <v>529.07123740357997</v>
      </c>
      <c r="BJ84" s="51">
        <v>5.3890540982288098</v>
      </c>
      <c r="BK84" s="51">
        <v>5.3962583091826799</v>
      </c>
      <c r="BL84" s="51">
        <v>5.4021660861661598</v>
      </c>
      <c r="BM84" s="51">
        <v>5.3891739347760801</v>
      </c>
      <c r="BN84" s="51">
        <v>5.3961982069226497</v>
      </c>
      <c r="BO84" s="51">
        <v>5.4023232166635502</v>
      </c>
      <c r="BP84" s="51">
        <v>5.3891696984719202</v>
      </c>
      <c r="BQ84" s="51">
        <v>5.3962312090872402</v>
      </c>
      <c r="BR84" s="51">
        <v>5.4023002135717499</v>
      </c>
      <c r="BS84" s="51">
        <v>5.38892662580235</v>
      </c>
      <c r="BT84" s="51">
        <v>5.3962304162923997</v>
      </c>
      <c r="BU84" s="51">
        <v>5.4022952050065101</v>
      </c>
      <c r="BV84" s="51">
        <v>5.3889708019593803</v>
      </c>
      <c r="BW84" s="51">
        <v>5.3962665198873303</v>
      </c>
      <c r="BX84" s="201">
        <v>5.4023902461937503</v>
      </c>
      <c r="BY84" s="51">
        <v>4.4725433681578899</v>
      </c>
      <c r="BZ84" s="51">
        <v>5.2367801091289596</v>
      </c>
      <c r="CA84" s="51">
        <v>6.2308772583989898</v>
      </c>
      <c r="CB84" s="51">
        <v>3.9624180692295399</v>
      </c>
      <c r="CC84" s="51">
        <v>4.3426250965092903</v>
      </c>
      <c r="CD84" s="51">
        <v>4.7203370634883601</v>
      </c>
      <c r="CE84" s="51">
        <v>4.7902650058315199</v>
      </c>
      <c r="CF84" s="51">
        <v>5.6886799285201999</v>
      </c>
      <c r="CG84" s="51">
        <v>6.7624169803091601</v>
      </c>
      <c r="CH84" s="51">
        <v>4.3989554347955204</v>
      </c>
      <c r="CI84" s="51">
        <v>5.0039147679946803</v>
      </c>
      <c r="CJ84" s="51">
        <v>5.6313143102449397</v>
      </c>
      <c r="CK84" s="51">
        <v>4.5701811156987402</v>
      </c>
      <c r="CL84" s="51">
        <v>5.2592745255927396</v>
      </c>
      <c r="CM84" s="201">
        <v>6.01535150653873</v>
      </c>
    </row>
    <row r="85" spans="1:91" x14ac:dyDescent="0.2">
      <c r="A85" s="205">
        <v>16060003</v>
      </c>
      <c r="B85" s="51">
        <v>5.2478284160757699E-2</v>
      </c>
      <c r="C85" s="51">
        <v>5.5838180745526003E-2</v>
      </c>
      <c r="D85" s="51">
        <v>5.8908962629935599E-2</v>
      </c>
      <c r="E85" s="51">
        <v>5.2597644629682E-2</v>
      </c>
      <c r="F85" s="51">
        <v>5.5907218888009501E-2</v>
      </c>
      <c r="G85" s="51">
        <v>5.8936439121545198E-2</v>
      </c>
      <c r="H85" s="51">
        <v>5.2592265292637101E-2</v>
      </c>
      <c r="I85" s="51">
        <v>5.58654648423106E-2</v>
      </c>
      <c r="J85" s="51">
        <v>5.8933812059776498E-2</v>
      </c>
      <c r="K85" s="51">
        <v>5.2464378269068898E-2</v>
      </c>
      <c r="L85" s="51">
        <v>5.5893687948552602E-2</v>
      </c>
      <c r="M85" s="51">
        <v>5.8986630172875601E-2</v>
      </c>
      <c r="N85" s="51">
        <v>5.2575889326718597E-2</v>
      </c>
      <c r="O85" s="51">
        <v>5.5895892551437398E-2</v>
      </c>
      <c r="P85" s="201">
        <v>5.8874845338910402E-2</v>
      </c>
      <c r="Q85" s="51">
        <v>4.57676095412089</v>
      </c>
      <c r="R85" s="51">
        <v>4.9360095203920897</v>
      </c>
      <c r="S85" s="51">
        <v>5.3740191088745801</v>
      </c>
      <c r="T85" s="51">
        <v>4.4745630757541601</v>
      </c>
      <c r="U85" s="51">
        <v>4.8895390025627101</v>
      </c>
      <c r="V85" s="51">
        <v>5.32918429455255</v>
      </c>
      <c r="W85" s="51">
        <v>4.0379332788454896</v>
      </c>
      <c r="X85" s="51">
        <v>4.3655761379190396</v>
      </c>
      <c r="Y85" s="51">
        <v>4.7541825312947301</v>
      </c>
      <c r="Z85" s="51">
        <v>4.1075086455635503</v>
      </c>
      <c r="AA85" s="51">
        <v>4.51621051101219</v>
      </c>
      <c r="AB85" s="51">
        <v>4.8526285294757798</v>
      </c>
      <c r="AC85" s="51">
        <v>3.8574013511301599</v>
      </c>
      <c r="AD85" s="51">
        <v>4.2451029579207296</v>
      </c>
      <c r="AE85" s="201">
        <v>4.6497521087282401</v>
      </c>
      <c r="AF85" s="51">
        <v>0</v>
      </c>
      <c r="AG85" s="51">
        <v>0</v>
      </c>
      <c r="AH85" s="51">
        <v>0</v>
      </c>
      <c r="AI85" s="51">
        <v>0</v>
      </c>
      <c r="AJ85" s="51">
        <v>0</v>
      </c>
      <c r="AK85" s="51">
        <v>0</v>
      </c>
      <c r="AL85" s="51">
        <v>0</v>
      </c>
      <c r="AM85" s="51">
        <v>0</v>
      </c>
      <c r="AN85" s="51">
        <v>0</v>
      </c>
      <c r="AO85" s="51">
        <v>0</v>
      </c>
      <c r="AP85" s="51">
        <v>0</v>
      </c>
      <c r="AQ85" s="51">
        <v>0</v>
      </c>
      <c r="AR85" s="51">
        <v>0</v>
      </c>
      <c r="AS85" s="51">
        <v>0</v>
      </c>
      <c r="AT85" s="201">
        <v>0</v>
      </c>
      <c r="AU85" s="51">
        <v>34.056377721491202</v>
      </c>
      <c r="AV85" s="51">
        <v>51.396234348918199</v>
      </c>
      <c r="AW85" s="51">
        <v>73.355085612654506</v>
      </c>
      <c r="AX85" s="51">
        <v>37.782505743989901</v>
      </c>
      <c r="AY85" s="51">
        <v>56.190553017748698</v>
      </c>
      <c r="AZ85" s="51">
        <v>79.365693101494799</v>
      </c>
      <c r="BA85" s="51">
        <v>7.3538181859298897</v>
      </c>
      <c r="BB85" s="51">
        <v>11.9785656606493</v>
      </c>
      <c r="BC85" s="51">
        <v>18.176025288277501</v>
      </c>
      <c r="BD85" s="51">
        <v>34.0037850454463</v>
      </c>
      <c r="BE85" s="51">
        <v>46.529846434988301</v>
      </c>
      <c r="BF85" s="51">
        <v>60.394526686625497</v>
      </c>
      <c r="BG85" s="51">
        <v>9.2171967150825491</v>
      </c>
      <c r="BH85" s="51">
        <v>18.754919900878701</v>
      </c>
      <c r="BI85" s="201">
        <v>32.226361082166299</v>
      </c>
      <c r="BJ85" s="51">
        <v>0.142479148382117</v>
      </c>
      <c r="BK85" s="51">
        <v>0.145533531976408</v>
      </c>
      <c r="BL85" s="51">
        <v>0.148448083158401</v>
      </c>
      <c r="BM85" s="51">
        <v>0.14251533341709899</v>
      </c>
      <c r="BN85" s="51">
        <v>0.145514329117893</v>
      </c>
      <c r="BO85" s="51">
        <v>0.148397746564123</v>
      </c>
      <c r="BP85" s="51">
        <v>0.14254435627634901</v>
      </c>
      <c r="BQ85" s="51">
        <v>0.14554780739040801</v>
      </c>
      <c r="BR85" s="51">
        <v>0.14837160537906699</v>
      </c>
      <c r="BS85" s="51">
        <v>0.142605135637284</v>
      </c>
      <c r="BT85" s="51">
        <v>0.14559942317872901</v>
      </c>
      <c r="BU85" s="51">
        <v>0.14846456615436701</v>
      </c>
      <c r="BV85" s="51">
        <v>0.14255074877437601</v>
      </c>
      <c r="BW85" s="51">
        <v>0.145565922787115</v>
      </c>
      <c r="BX85" s="201">
        <v>0.14841237697788001</v>
      </c>
      <c r="BY85" s="51">
        <v>0</v>
      </c>
      <c r="BZ85" s="51">
        <v>0</v>
      </c>
      <c r="CA85" s="51">
        <v>0</v>
      </c>
      <c r="CB85" s="51">
        <v>0</v>
      </c>
      <c r="CC85" s="51">
        <v>0</v>
      </c>
      <c r="CD85" s="51">
        <v>0</v>
      </c>
      <c r="CE85" s="51">
        <v>0</v>
      </c>
      <c r="CF85" s="51">
        <v>0</v>
      </c>
      <c r="CG85" s="51">
        <v>0</v>
      </c>
      <c r="CH85" s="51">
        <v>0</v>
      </c>
      <c r="CI85" s="51">
        <v>0</v>
      </c>
      <c r="CJ85" s="51">
        <v>0</v>
      </c>
      <c r="CK85" s="51">
        <v>0</v>
      </c>
      <c r="CL85" s="51">
        <v>0</v>
      </c>
      <c r="CM85" s="201">
        <v>0</v>
      </c>
    </row>
    <row r="86" spans="1:91" x14ac:dyDescent="0.2">
      <c r="A86" s="205">
        <v>3050105</v>
      </c>
      <c r="B86" s="51">
        <v>45.1096210246968</v>
      </c>
      <c r="C86" s="51">
        <v>48.049942115995599</v>
      </c>
      <c r="D86" s="51">
        <v>50.694762709215397</v>
      </c>
      <c r="E86" s="51">
        <v>45.1641846047293</v>
      </c>
      <c r="F86" s="51">
        <v>48.056765830945302</v>
      </c>
      <c r="G86" s="51">
        <v>50.713851198641898</v>
      </c>
      <c r="H86" s="51">
        <v>45.179187351554198</v>
      </c>
      <c r="I86" s="51">
        <v>48.058101839665603</v>
      </c>
      <c r="J86" s="51">
        <v>50.675432961679</v>
      </c>
      <c r="K86" s="51">
        <v>45.189092815932497</v>
      </c>
      <c r="L86" s="51">
        <v>48.059091707787303</v>
      </c>
      <c r="M86" s="51">
        <v>50.717319511810999</v>
      </c>
      <c r="N86" s="51">
        <v>45.140343037516203</v>
      </c>
      <c r="O86" s="51">
        <v>48.093484063573896</v>
      </c>
      <c r="P86" s="201">
        <v>50.733140124592701</v>
      </c>
      <c r="Q86" s="51">
        <v>12.5713773782467</v>
      </c>
      <c r="R86" s="51">
        <v>13.7497604880545</v>
      </c>
      <c r="S86" s="51">
        <v>15.1391657619996</v>
      </c>
      <c r="T86" s="51">
        <v>15.3590969565987</v>
      </c>
      <c r="U86" s="51">
        <v>17.020242379542001</v>
      </c>
      <c r="V86" s="51">
        <v>19.083834868561301</v>
      </c>
      <c r="W86" s="51">
        <v>11.8349616795062</v>
      </c>
      <c r="X86" s="51">
        <v>12.8053182663024</v>
      </c>
      <c r="Y86" s="51">
        <v>13.6042612049522</v>
      </c>
      <c r="Z86" s="51">
        <v>12.630783477764201</v>
      </c>
      <c r="AA86" s="51">
        <v>13.3303564405307</v>
      </c>
      <c r="AB86" s="51">
        <v>14.0982634368678</v>
      </c>
      <c r="AC86" s="51">
        <v>13.388755946038399</v>
      </c>
      <c r="AD86" s="51">
        <v>14.1625494623352</v>
      </c>
      <c r="AE86" s="201">
        <v>15.119505137718299</v>
      </c>
      <c r="AF86" s="51">
        <v>2.9234470052142298</v>
      </c>
      <c r="AG86" s="51">
        <v>3.0943453760959301</v>
      </c>
      <c r="AH86" s="51">
        <v>3.26852428036341</v>
      </c>
      <c r="AI86" s="51">
        <v>2.9259848590746902</v>
      </c>
      <c r="AJ86" s="51">
        <v>3.0933172080001499</v>
      </c>
      <c r="AK86" s="51">
        <v>3.2650012144925</v>
      </c>
      <c r="AL86" s="51">
        <v>2.9197428224663602</v>
      </c>
      <c r="AM86" s="51">
        <v>3.09279211647699</v>
      </c>
      <c r="AN86" s="51">
        <v>3.2671288000782002</v>
      </c>
      <c r="AO86" s="51">
        <v>2.9242004878208001</v>
      </c>
      <c r="AP86" s="51">
        <v>3.09142586428767</v>
      </c>
      <c r="AQ86" s="51">
        <v>3.2621979528379099</v>
      </c>
      <c r="AR86" s="51">
        <v>2.92429205117765</v>
      </c>
      <c r="AS86" s="51">
        <v>3.0919371632183998</v>
      </c>
      <c r="AT86" s="201">
        <v>3.2627281331590101</v>
      </c>
      <c r="AU86" s="51">
        <v>3.1867394007173799</v>
      </c>
      <c r="AV86" s="51">
        <v>4.4975455392120098</v>
      </c>
      <c r="AW86" s="51">
        <v>6.42433904882291</v>
      </c>
      <c r="AX86" s="51">
        <v>5.9814670162581303</v>
      </c>
      <c r="AY86" s="51">
        <v>11.025390523132</v>
      </c>
      <c r="AZ86" s="51">
        <v>18.366517942374301</v>
      </c>
      <c r="BA86" s="51">
        <v>3.0244470392695399</v>
      </c>
      <c r="BB86" s="51">
        <v>3.7849508765930802</v>
      </c>
      <c r="BC86" s="51">
        <v>4.63447904935878</v>
      </c>
      <c r="BD86" s="51">
        <v>2.964698331578</v>
      </c>
      <c r="BE86" s="51">
        <v>3.72114127173873</v>
      </c>
      <c r="BF86" s="51">
        <v>4.5175272683540699</v>
      </c>
      <c r="BG86" s="51">
        <v>4.5351790185280496</v>
      </c>
      <c r="BH86" s="51">
        <v>5.4463534634561803</v>
      </c>
      <c r="BI86" s="201">
        <v>6.60794120009502</v>
      </c>
      <c r="BJ86" s="51">
        <v>0.227728567148753</v>
      </c>
      <c r="BK86" s="51">
        <v>0.23359375367247201</v>
      </c>
      <c r="BL86" s="51">
        <v>0.238930757672211</v>
      </c>
      <c r="BM86" s="51">
        <v>0.22779995655958901</v>
      </c>
      <c r="BN86" s="51">
        <v>0.23354936835075099</v>
      </c>
      <c r="BO86" s="51">
        <v>0.23902613384167001</v>
      </c>
      <c r="BP86" s="51">
        <v>0.227796161790916</v>
      </c>
      <c r="BQ86" s="51">
        <v>0.23351140701094</v>
      </c>
      <c r="BR86" s="51">
        <v>0.23907121318067101</v>
      </c>
      <c r="BS86" s="51">
        <v>0.227772305441867</v>
      </c>
      <c r="BT86" s="51">
        <v>0.233557581257332</v>
      </c>
      <c r="BU86" s="51">
        <v>0.238974959625047</v>
      </c>
      <c r="BV86" s="51">
        <v>0.227729654948441</v>
      </c>
      <c r="BW86" s="51">
        <v>0.23358922971895699</v>
      </c>
      <c r="BX86" s="201">
        <v>0.23896332318441799</v>
      </c>
      <c r="BY86" s="51">
        <v>4.5873072938841002</v>
      </c>
      <c r="BZ86" s="51">
        <v>5.5122025358706699</v>
      </c>
      <c r="CA86" s="51">
        <v>6.6183112647723199</v>
      </c>
      <c r="CB86" s="51">
        <v>3.8800688771460101</v>
      </c>
      <c r="CC86" s="51">
        <v>4.2702616572743803</v>
      </c>
      <c r="CD86" s="51">
        <v>4.6533555671554403</v>
      </c>
      <c r="CE86" s="51">
        <v>4.5125966376889801</v>
      </c>
      <c r="CF86" s="51">
        <v>5.4093531719532502</v>
      </c>
      <c r="CG86" s="51">
        <v>6.4522946363346101</v>
      </c>
      <c r="CH86" s="51">
        <v>4.5527027579825496</v>
      </c>
      <c r="CI86" s="51">
        <v>5.1689962332946404</v>
      </c>
      <c r="CJ86" s="51">
        <v>5.9980051411167103</v>
      </c>
      <c r="CK86" s="51">
        <v>4.7055076609998601</v>
      </c>
      <c r="CL86" s="51">
        <v>5.3856951991371904</v>
      </c>
      <c r="CM86" s="201">
        <v>6.2161019133707098</v>
      </c>
    </row>
    <row r="87" spans="1:91" x14ac:dyDescent="0.2">
      <c r="A87" s="205">
        <v>16040201</v>
      </c>
      <c r="B87" s="51">
        <v>0</v>
      </c>
      <c r="C87" s="51">
        <v>0</v>
      </c>
      <c r="D87" s="51">
        <v>0</v>
      </c>
      <c r="E87" s="51">
        <v>0</v>
      </c>
      <c r="F87" s="51">
        <v>0</v>
      </c>
      <c r="G87" s="51">
        <v>0</v>
      </c>
      <c r="H87" s="51">
        <v>0</v>
      </c>
      <c r="I87" s="51">
        <v>0</v>
      </c>
      <c r="J87" s="51">
        <v>0</v>
      </c>
      <c r="K87" s="51">
        <v>0</v>
      </c>
      <c r="L87" s="51">
        <v>0</v>
      </c>
      <c r="M87" s="51">
        <v>0</v>
      </c>
      <c r="N87" s="51">
        <v>0</v>
      </c>
      <c r="O87" s="51">
        <v>0</v>
      </c>
      <c r="P87" s="201">
        <v>0</v>
      </c>
      <c r="Q87" s="51">
        <v>3.0344576338043798</v>
      </c>
      <c r="R87" s="51">
        <v>3.1677949581900702</v>
      </c>
      <c r="S87" s="51">
        <v>3.3085153601022301</v>
      </c>
      <c r="T87" s="51">
        <v>3.1129392891030201</v>
      </c>
      <c r="U87" s="51">
        <v>3.2577081548695799</v>
      </c>
      <c r="V87" s="51">
        <v>3.4088733656871</v>
      </c>
      <c r="W87" s="51">
        <v>2.9227128778201901</v>
      </c>
      <c r="X87" s="51">
        <v>3.0468780077413999</v>
      </c>
      <c r="Y87" s="51">
        <v>3.1790120037051599</v>
      </c>
      <c r="Z87" s="51">
        <v>3.1656863530200501</v>
      </c>
      <c r="AA87" s="51">
        <v>3.27467730153373</v>
      </c>
      <c r="AB87" s="51">
        <v>3.3848092565197798</v>
      </c>
      <c r="AC87" s="51">
        <v>2.9362741390698601</v>
      </c>
      <c r="AD87" s="51">
        <v>3.05994257025203</v>
      </c>
      <c r="AE87" s="201">
        <v>3.20049257245195</v>
      </c>
      <c r="AF87" s="51">
        <v>0</v>
      </c>
      <c r="AG87" s="51">
        <v>0</v>
      </c>
      <c r="AH87" s="51">
        <v>0</v>
      </c>
      <c r="AI87" s="51">
        <v>0</v>
      </c>
      <c r="AJ87" s="51">
        <v>0</v>
      </c>
      <c r="AK87" s="51">
        <v>0</v>
      </c>
      <c r="AL87" s="51">
        <v>0</v>
      </c>
      <c r="AM87" s="51">
        <v>0</v>
      </c>
      <c r="AN87" s="51">
        <v>0</v>
      </c>
      <c r="AO87" s="51">
        <v>0</v>
      </c>
      <c r="AP87" s="51">
        <v>0</v>
      </c>
      <c r="AQ87" s="51">
        <v>0</v>
      </c>
      <c r="AR87" s="51">
        <v>0</v>
      </c>
      <c r="AS87" s="51">
        <v>0</v>
      </c>
      <c r="AT87" s="201">
        <v>0</v>
      </c>
      <c r="AU87" s="51">
        <v>364.30244365996498</v>
      </c>
      <c r="AV87" s="51">
        <v>504.84238531736599</v>
      </c>
      <c r="AW87" s="51">
        <v>692.15048138627299</v>
      </c>
      <c r="AX87" s="51">
        <v>418.84522169377601</v>
      </c>
      <c r="AY87" s="51">
        <v>567.29412598690203</v>
      </c>
      <c r="AZ87" s="51">
        <v>735.24405690750905</v>
      </c>
      <c r="BA87" s="51">
        <v>168.47938909956301</v>
      </c>
      <c r="BB87" s="51">
        <v>238.711982048338</v>
      </c>
      <c r="BC87" s="51">
        <v>321.636883843818</v>
      </c>
      <c r="BD87" s="51">
        <v>386.99840593316497</v>
      </c>
      <c r="BE87" s="51">
        <v>517.48556787995994</v>
      </c>
      <c r="BF87" s="51">
        <v>668.13895237312101</v>
      </c>
      <c r="BG87" s="51">
        <v>269.54363789498302</v>
      </c>
      <c r="BH87" s="51">
        <v>366.10100746769399</v>
      </c>
      <c r="BI87" s="201">
        <v>478.37667326089797</v>
      </c>
      <c r="BJ87" s="51">
        <v>0.77663261367594305</v>
      </c>
      <c r="BK87" s="51">
        <v>0.78484948663018195</v>
      </c>
      <c r="BL87" s="51">
        <v>0.79289141356278703</v>
      </c>
      <c r="BM87" s="51">
        <v>0.77663137235660495</v>
      </c>
      <c r="BN87" s="51">
        <v>0.78502187660718603</v>
      </c>
      <c r="BO87" s="51">
        <v>0.79286139362534602</v>
      </c>
      <c r="BP87" s="51">
        <v>0.77656573805486095</v>
      </c>
      <c r="BQ87" s="51">
        <v>0.78493442660551604</v>
      </c>
      <c r="BR87" s="51">
        <v>0.79291152820844502</v>
      </c>
      <c r="BS87" s="51">
        <v>0.776593218124216</v>
      </c>
      <c r="BT87" s="51">
        <v>0.78485168844382502</v>
      </c>
      <c r="BU87" s="51">
        <v>0.79306869737630203</v>
      </c>
      <c r="BV87" s="51">
        <v>0.77654243957371005</v>
      </c>
      <c r="BW87" s="51">
        <v>0.78491774581929596</v>
      </c>
      <c r="BX87" s="201">
        <v>0.79309407892995798</v>
      </c>
      <c r="BY87" s="51">
        <v>0.77344766272068499</v>
      </c>
      <c r="BZ87" s="51">
        <v>0.87640506790140904</v>
      </c>
      <c r="CA87" s="51">
        <v>0.98947721312329895</v>
      </c>
      <c r="CB87" s="51">
        <v>0.75094022448324604</v>
      </c>
      <c r="CC87" s="51">
        <v>0.82269750676712405</v>
      </c>
      <c r="CD87" s="51">
        <v>0.89322967378482498</v>
      </c>
      <c r="CE87" s="51">
        <v>0.81070769253320796</v>
      </c>
      <c r="CF87" s="51">
        <v>0.91180014154031697</v>
      </c>
      <c r="CG87" s="51">
        <v>1.0324371454222001</v>
      </c>
      <c r="CH87" s="51">
        <v>0.77852002437027801</v>
      </c>
      <c r="CI87" s="51">
        <v>0.85925898218294405</v>
      </c>
      <c r="CJ87" s="51">
        <v>0.948911227973813</v>
      </c>
      <c r="CK87" s="51">
        <v>0.78721205736211197</v>
      </c>
      <c r="CL87" s="51">
        <v>0.87443698265576097</v>
      </c>
      <c r="CM87" s="201">
        <v>0.96361304427288397</v>
      </c>
    </row>
    <row r="88" spans="1:91" x14ac:dyDescent="0.2">
      <c r="A88" s="205">
        <v>14030005</v>
      </c>
      <c r="B88" s="51">
        <v>5.0409468972776698E-2</v>
      </c>
      <c r="C88" s="51">
        <v>5.3504125925861297E-2</v>
      </c>
      <c r="D88" s="51">
        <v>5.6379365628233397E-2</v>
      </c>
      <c r="E88" s="51">
        <v>5.0449042080925502E-2</v>
      </c>
      <c r="F88" s="51">
        <v>5.3537106207261403E-2</v>
      </c>
      <c r="G88" s="51">
        <v>5.6336178761231502E-2</v>
      </c>
      <c r="H88" s="51">
        <v>5.0439585631982899E-2</v>
      </c>
      <c r="I88" s="51">
        <v>5.3543183488308603E-2</v>
      </c>
      <c r="J88" s="51">
        <v>5.6384012262903897E-2</v>
      </c>
      <c r="K88" s="51">
        <v>5.03827753300371E-2</v>
      </c>
      <c r="L88" s="51">
        <v>5.3529465705385297E-2</v>
      </c>
      <c r="M88" s="51">
        <v>5.6408211302016301E-2</v>
      </c>
      <c r="N88" s="51">
        <v>5.0362147220033598E-2</v>
      </c>
      <c r="O88" s="51">
        <v>5.3518872143251503E-2</v>
      </c>
      <c r="P88" s="201">
        <v>5.6343814475877399E-2</v>
      </c>
      <c r="Q88" s="51">
        <v>2.03161398695286</v>
      </c>
      <c r="R88" s="51">
        <v>2.1410510499453301</v>
      </c>
      <c r="S88" s="51">
        <v>2.27013244563005</v>
      </c>
      <c r="T88" s="51">
        <v>2.1033136007664699</v>
      </c>
      <c r="U88" s="51">
        <v>2.2078539851651602</v>
      </c>
      <c r="V88" s="51">
        <v>2.3016076487250001</v>
      </c>
      <c r="W88" s="51">
        <v>2.0752609517856002</v>
      </c>
      <c r="X88" s="51">
        <v>2.1670799097981899</v>
      </c>
      <c r="Y88" s="51">
        <v>2.2916648645831201</v>
      </c>
      <c r="Z88" s="51">
        <v>2.0478028822510601</v>
      </c>
      <c r="AA88" s="51">
        <v>2.1392653346299402</v>
      </c>
      <c r="AB88" s="51">
        <v>2.21769170131821</v>
      </c>
      <c r="AC88" s="51">
        <v>1.9055122939474201</v>
      </c>
      <c r="AD88" s="51">
        <v>2.0555804850281301</v>
      </c>
      <c r="AE88" s="201">
        <v>2.2296016682527799</v>
      </c>
      <c r="AF88" s="51">
        <v>5.6007121790844702E-2</v>
      </c>
      <c r="AG88" s="51">
        <v>6.0070966224793701E-2</v>
      </c>
      <c r="AH88" s="51">
        <v>6.4208130455171195E-2</v>
      </c>
      <c r="AI88" s="51">
        <v>5.6079226414370603E-2</v>
      </c>
      <c r="AJ88" s="51">
        <v>6.0084128343021702E-2</v>
      </c>
      <c r="AK88" s="51">
        <v>6.4250808206619298E-2</v>
      </c>
      <c r="AL88" s="51">
        <v>5.59832463131111E-2</v>
      </c>
      <c r="AM88" s="51">
        <v>6.0083208277032597E-2</v>
      </c>
      <c r="AN88" s="51">
        <v>6.4212158421316001E-2</v>
      </c>
      <c r="AO88" s="51">
        <v>5.6022811752610202E-2</v>
      </c>
      <c r="AP88" s="51">
        <v>5.9998079110302499E-2</v>
      </c>
      <c r="AQ88" s="51">
        <v>6.41224198215226E-2</v>
      </c>
      <c r="AR88" s="51">
        <v>5.5988457830499702E-2</v>
      </c>
      <c r="AS88" s="51">
        <v>5.9984007937746997E-2</v>
      </c>
      <c r="AT88" s="201">
        <v>6.4116582189490595E-2</v>
      </c>
      <c r="AU88" s="51">
        <v>14.054433596026801</v>
      </c>
      <c r="AV88" s="51">
        <v>18.940499838764801</v>
      </c>
      <c r="AW88" s="51">
        <v>24.726163495959799</v>
      </c>
      <c r="AX88" s="51">
        <v>17.626166873342601</v>
      </c>
      <c r="AY88" s="51">
        <v>24.9271019804006</v>
      </c>
      <c r="AZ88" s="51">
        <v>35.2707010627012</v>
      </c>
      <c r="BA88" s="51">
        <v>14.218973734419899</v>
      </c>
      <c r="BB88" s="51">
        <v>19.643328957202399</v>
      </c>
      <c r="BC88" s="51">
        <v>27.0904604416857</v>
      </c>
      <c r="BD88" s="51">
        <v>19.9679457468675</v>
      </c>
      <c r="BE88" s="51">
        <v>25.0748893164007</v>
      </c>
      <c r="BF88" s="51">
        <v>31.1240378232064</v>
      </c>
      <c r="BG88" s="51">
        <v>13.466194578351301</v>
      </c>
      <c r="BH88" s="51">
        <v>21.5097206777282</v>
      </c>
      <c r="BI88" s="201">
        <v>32.091817168119199</v>
      </c>
      <c r="BJ88" s="51">
        <v>9.9765742316103107E-2</v>
      </c>
      <c r="BK88" s="51">
        <v>0.101726460139974</v>
      </c>
      <c r="BL88" s="51">
        <v>0.103571265532058</v>
      </c>
      <c r="BM88" s="51">
        <v>9.9831366515042194E-2</v>
      </c>
      <c r="BN88" s="51">
        <v>0.101697590722179</v>
      </c>
      <c r="BO88" s="51">
        <v>0.103579478090444</v>
      </c>
      <c r="BP88" s="51">
        <v>9.9811163951799994E-2</v>
      </c>
      <c r="BQ88" s="51">
        <v>0.101717486123587</v>
      </c>
      <c r="BR88" s="51">
        <v>0.10359726958500701</v>
      </c>
      <c r="BS88" s="51">
        <v>9.98268320214699E-2</v>
      </c>
      <c r="BT88" s="51">
        <v>0.101723409170214</v>
      </c>
      <c r="BU88" s="51">
        <v>0.103556977626081</v>
      </c>
      <c r="BV88" s="51">
        <v>9.9802846795570901E-2</v>
      </c>
      <c r="BW88" s="51">
        <v>0.101706300002379</v>
      </c>
      <c r="BX88" s="201">
        <v>0.103562351503568</v>
      </c>
      <c r="BY88" s="51">
        <v>0</v>
      </c>
      <c r="BZ88" s="51">
        <v>0</v>
      </c>
      <c r="CA88" s="51">
        <v>0</v>
      </c>
      <c r="CB88" s="51">
        <v>0</v>
      </c>
      <c r="CC88" s="51">
        <v>0</v>
      </c>
      <c r="CD88" s="51">
        <v>0</v>
      </c>
      <c r="CE88" s="51">
        <v>0</v>
      </c>
      <c r="CF88" s="51">
        <v>0</v>
      </c>
      <c r="CG88" s="51">
        <v>0</v>
      </c>
      <c r="CH88" s="51">
        <v>0</v>
      </c>
      <c r="CI88" s="51">
        <v>0</v>
      </c>
      <c r="CJ88" s="51">
        <v>0</v>
      </c>
      <c r="CK88" s="51">
        <v>0</v>
      </c>
      <c r="CL88" s="51">
        <v>0</v>
      </c>
      <c r="CM88" s="201">
        <v>0</v>
      </c>
    </row>
    <row r="89" spans="1:91" x14ac:dyDescent="0.2">
      <c r="A89" s="205">
        <v>3050102</v>
      </c>
      <c r="B89" s="51">
        <v>1.6242833955804601</v>
      </c>
      <c r="C89" s="51">
        <v>1.7445691995520201</v>
      </c>
      <c r="D89" s="51">
        <v>1.8538269570412</v>
      </c>
      <c r="E89" s="51">
        <v>1.6229681296621401</v>
      </c>
      <c r="F89" s="51">
        <v>1.7444090248666999</v>
      </c>
      <c r="G89" s="51">
        <v>1.85550066776239</v>
      </c>
      <c r="H89" s="51">
        <v>1.6251694296652199</v>
      </c>
      <c r="I89" s="51">
        <v>1.7430101873344901</v>
      </c>
      <c r="J89" s="51">
        <v>1.85254682459287</v>
      </c>
      <c r="K89" s="51">
        <v>1.62292241996211</v>
      </c>
      <c r="L89" s="51">
        <v>1.7457301196561701</v>
      </c>
      <c r="M89" s="51">
        <v>1.85517221226371</v>
      </c>
      <c r="N89" s="51">
        <v>1.6220991835943901</v>
      </c>
      <c r="O89" s="51">
        <v>1.74342898730997</v>
      </c>
      <c r="P89" s="201">
        <v>1.85852044519545</v>
      </c>
      <c r="Q89" s="51">
        <v>7.9572070391397398</v>
      </c>
      <c r="R89" s="51">
        <v>8.9901253031055202</v>
      </c>
      <c r="S89" s="51">
        <v>10.1732231237315</v>
      </c>
      <c r="T89" s="51">
        <v>10.445919453668299</v>
      </c>
      <c r="U89" s="51">
        <v>11.758798308918401</v>
      </c>
      <c r="V89" s="51">
        <v>13.438842858583801</v>
      </c>
      <c r="W89" s="51">
        <v>7.6197711046748502</v>
      </c>
      <c r="X89" s="51">
        <v>8.4493378735252396</v>
      </c>
      <c r="Y89" s="51">
        <v>9.1965034247753596</v>
      </c>
      <c r="Z89" s="51">
        <v>8.0492885900805096</v>
      </c>
      <c r="AA89" s="51">
        <v>8.6620494654976099</v>
      </c>
      <c r="AB89" s="51">
        <v>9.2815430875861704</v>
      </c>
      <c r="AC89" s="51">
        <v>8.8617455956427502</v>
      </c>
      <c r="AD89" s="51">
        <v>9.4993273777804994</v>
      </c>
      <c r="AE89" s="201">
        <v>10.2927212551394</v>
      </c>
      <c r="AF89" s="51">
        <v>0.15091207802331</v>
      </c>
      <c r="AG89" s="51">
        <v>0.15742319484066</v>
      </c>
      <c r="AH89" s="51">
        <v>0.16427187211497399</v>
      </c>
      <c r="AI89" s="51">
        <v>0.15103731549567301</v>
      </c>
      <c r="AJ89" s="51">
        <v>0.157454064877325</v>
      </c>
      <c r="AK89" s="51">
        <v>0.164272622190623</v>
      </c>
      <c r="AL89" s="51">
        <v>0.151004928550732</v>
      </c>
      <c r="AM89" s="51">
        <v>0.15739653176650201</v>
      </c>
      <c r="AN89" s="51">
        <v>0.164221897019312</v>
      </c>
      <c r="AO89" s="51">
        <v>0.15087653275580401</v>
      </c>
      <c r="AP89" s="51">
        <v>0.15740014022923399</v>
      </c>
      <c r="AQ89" s="51">
        <v>0.16416312298428201</v>
      </c>
      <c r="AR89" s="51">
        <v>0.150913189498984</v>
      </c>
      <c r="AS89" s="51">
        <v>0.15752574993222601</v>
      </c>
      <c r="AT89" s="201">
        <v>0.16434635887438201</v>
      </c>
      <c r="AU89" s="51">
        <v>4.1255139976739397</v>
      </c>
      <c r="AV89" s="51">
        <v>5.8904290515547704</v>
      </c>
      <c r="AW89" s="51">
        <v>8.5337241411851998</v>
      </c>
      <c r="AX89" s="51">
        <v>8.0041230977344995</v>
      </c>
      <c r="AY89" s="51">
        <v>14.3349074332841</v>
      </c>
      <c r="AZ89" s="51">
        <v>24.037900169830099</v>
      </c>
      <c r="BA89" s="51">
        <v>4.0786937170613902</v>
      </c>
      <c r="BB89" s="51">
        <v>5.0725002606166196</v>
      </c>
      <c r="BC89" s="51">
        <v>6.2486623353664603</v>
      </c>
      <c r="BD89" s="51">
        <v>3.9459800781342498</v>
      </c>
      <c r="BE89" s="51">
        <v>4.9151338765934796</v>
      </c>
      <c r="BF89" s="51">
        <v>5.9443553397506097</v>
      </c>
      <c r="BG89" s="51">
        <v>5.7538040434296098</v>
      </c>
      <c r="BH89" s="51">
        <v>7.0808309188176501</v>
      </c>
      <c r="BI89" s="201">
        <v>8.7259525489973697</v>
      </c>
      <c r="BJ89" s="51">
        <v>0.39276033754270501</v>
      </c>
      <c r="BK89" s="51">
        <v>0.40323897537137399</v>
      </c>
      <c r="BL89" s="51">
        <v>0.41257669909341999</v>
      </c>
      <c r="BM89" s="51">
        <v>0.39281228177028399</v>
      </c>
      <c r="BN89" s="51">
        <v>0.40307113369598202</v>
      </c>
      <c r="BO89" s="51">
        <v>0.41266912522712701</v>
      </c>
      <c r="BP89" s="51">
        <v>0.39240372350334002</v>
      </c>
      <c r="BQ89" s="51">
        <v>0.40300461787179298</v>
      </c>
      <c r="BR89" s="51">
        <v>0.41269759310637</v>
      </c>
      <c r="BS89" s="51">
        <v>0.39235135882616301</v>
      </c>
      <c r="BT89" s="51">
        <v>0.40302061722993099</v>
      </c>
      <c r="BU89" s="51">
        <v>0.41285088494553701</v>
      </c>
      <c r="BV89" s="51">
        <v>0.39248039504091797</v>
      </c>
      <c r="BW89" s="51">
        <v>0.40289480441320702</v>
      </c>
      <c r="BX89" s="201">
        <v>0.41263050813108298</v>
      </c>
      <c r="BY89" s="51">
        <v>4.1454776054297602</v>
      </c>
      <c r="BZ89" s="51">
        <v>4.9866317426827598</v>
      </c>
      <c r="CA89" s="51">
        <v>5.9825542431543397</v>
      </c>
      <c r="CB89" s="51">
        <v>3.5128948256685799</v>
      </c>
      <c r="CC89" s="51">
        <v>3.8577020102040902</v>
      </c>
      <c r="CD89" s="51">
        <v>4.2002791458404696</v>
      </c>
      <c r="CE89" s="51">
        <v>4.0842185350191604</v>
      </c>
      <c r="CF89" s="51">
        <v>4.92874718038889</v>
      </c>
      <c r="CG89" s="51">
        <v>5.8723842144549598</v>
      </c>
      <c r="CH89" s="51">
        <v>4.1211542536703796</v>
      </c>
      <c r="CI89" s="51">
        <v>4.6609349201743697</v>
      </c>
      <c r="CJ89" s="51">
        <v>5.40895103253985</v>
      </c>
      <c r="CK89" s="51">
        <v>4.2561782182096302</v>
      </c>
      <c r="CL89" s="51">
        <v>4.9055526889699097</v>
      </c>
      <c r="CM89" s="201">
        <v>5.6715206231068098</v>
      </c>
    </row>
    <row r="90" spans="1:91" x14ac:dyDescent="0.2">
      <c r="A90" s="205">
        <v>16060010</v>
      </c>
      <c r="B90" s="51">
        <v>12.896346543897501</v>
      </c>
      <c r="C90" s="51">
        <v>13.453524483465699</v>
      </c>
      <c r="D90" s="51">
        <v>13.9303998916475</v>
      </c>
      <c r="E90" s="51">
        <v>12.895985750885201</v>
      </c>
      <c r="F90" s="51">
        <v>13.438375881525801</v>
      </c>
      <c r="G90" s="51">
        <v>13.9199252272732</v>
      </c>
      <c r="H90" s="51">
        <v>12.8852460932422</v>
      </c>
      <c r="I90" s="51">
        <v>13.443529126878</v>
      </c>
      <c r="J90" s="51">
        <v>13.923967095620201</v>
      </c>
      <c r="K90" s="51">
        <v>12.889382186696601</v>
      </c>
      <c r="L90" s="51">
        <v>13.437657780234</v>
      </c>
      <c r="M90" s="51">
        <v>13.929207979824399</v>
      </c>
      <c r="N90" s="51">
        <v>12.8817145592862</v>
      </c>
      <c r="O90" s="51">
        <v>13.4416953383085</v>
      </c>
      <c r="P90" s="201">
        <v>13.934224062642199</v>
      </c>
      <c r="Q90" s="51">
        <v>0.99693778752088502</v>
      </c>
      <c r="R90" s="51">
        <v>1.05883019600379</v>
      </c>
      <c r="S90" s="51">
        <v>1.11350219116253</v>
      </c>
      <c r="T90" s="51">
        <v>1.01769823193589</v>
      </c>
      <c r="U90" s="51">
        <v>1.08250716558529</v>
      </c>
      <c r="V90" s="51">
        <v>1.14243072065888</v>
      </c>
      <c r="W90" s="51">
        <v>0.83495768299615503</v>
      </c>
      <c r="X90" s="51">
        <v>0.90900541460543705</v>
      </c>
      <c r="Y90" s="51">
        <v>0.98592174075323702</v>
      </c>
      <c r="Z90" s="51">
        <v>0.92291445091350199</v>
      </c>
      <c r="AA90" s="51">
        <v>0.96568515853853598</v>
      </c>
      <c r="AB90" s="51">
        <v>1.0080088268790599</v>
      </c>
      <c r="AC90" s="51">
        <v>0.80076398972573704</v>
      </c>
      <c r="AD90" s="51">
        <v>0.88038425705997003</v>
      </c>
      <c r="AE90" s="201">
        <v>0.94812721244659803</v>
      </c>
      <c r="AF90" s="51">
        <v>0</v>
      </c>
      <c r="AG90" s="51">
        <v>0</v>
      </c>
      <c r="AH90" s="51">
        <v>0</v>
      </c>
      <c r="AI90" s="51">
        <v>0</v>
      </c>
      <c r="AJ90" s="51">
        <v>0</v>
      </c>
      <c r="AK90" s="51">
        <v>0</v>
      </c>
      <c r="AL90" s="51">
        <v>0</v>
      </c>
      <c r="AM90" s="51">
        <v>0</v>
      </c>
      <c r="AN90" s="51">
        <v>0</v>
      </c>
      <c r="AO90" s="51">
        <v>0</v>
      </c>
      <c r="AP90" s="51">
        <v>0</v>
      </c>
      <c r="AQ90" s="51">
        <v>0</v>
      </c>
      <c r="AR90" s="51">
        <v>0</v>
      </c>
      <c r="AS90" s="51">
        <v>0</v>
      </c>
      <c r="AT90" s="201">
        <v>0</v>
      </c>
      <c r="AU90" s="51">
        <v>29.049191277598201</v>
      </c>
      <c r="AV90" s="51">
        <v>41.989738828089799</v>
      </c>
      <c r="AW90" s="51">
        <v>57.836565304756299</v>
      </c>
      <c r="AX90" s="51">
        <v>42.151814522800201</v>
      </c>
      <c r="AY90" s="51">
        <v>67.700064505780503</v>
      </c>
      <c r="AZ90" s="51">
        <v>97.783341611216201</v>
      </c>
      <c r="BA90" s="51">
        <v>6.9068326811609904</v>
      </c>
      <c r="BB90" s="51">
        <v>11.2309732886979</v>
      </c>
      <c r="BC90" s="51">
        <v>17.020957081446699</v>
      </c>
      <c r="BD90" s="51">
        <v>28.389259525942599</v>
      </c>
      <c r="BE90" s="51">
        <v>39.034114783007901</v>
      </c>
      <c r="BF90" s="51">
        <v>50.421710666731101</v>
      </c>
      <c r="BG90" s="51">
        <v>8.7477655305037096</v>
      </c>
      <c r="BH90" s="51">
        <v>17.120496959598999</v>
      </c>
      <c r="BI90" s="201">
        <v>29.897662810521801</v>
      </c>
      <c r="BJ90" s="51">
        <v>7.3448019213773197E-2</v>
      </c>
      <c r="BK90" s="51">
        <v>7.3786355774003096E-2</v>
      </c>
      <c r="BL90" s="51">
        <v>7.4101964588293795E-2</v>
      </c>
      <c r="BM90" s="51">
        <v>7.3451750938702307E-2</v>
      </c>
      <c r="BN90" s="51">
        <v>7.3789207673663398E-2</v>
      </c>
      <c r="BO90" s="51">
        <v>7.4104825448284395E-2</v>
      </c>
      <c r="BP90" s="51">
        <v>7.3450899046826501E-2</v>
      </c>
      <c r="BQ90" s="51">
        <v>7.3789012751123595E-2</v>
      </c>
      <c r="BR90" s="51">
        <v>7.4099286875830603E-2</v>
      </c>
      <c r="BS90" s="51">
        <v>7.3456864705368496E-2</v>
      </c>
      <c r="BT90" s="51">
        <v>7.3789238387212394E-2</v>
      </c>
      <c r="BU90" s="51">
        <v>7.4105706926546597E-2</v>
      </c>
      <c r="BV90" s="51">
        <v>7.3448632176839904E-2</v>
      </c>
      <c r="BW90" s="51">
        <v>7.3783133123105901E-2</v>
      </c>
      <c r="BX90" s="201">
        <v>7.4092135822934904E-2</v>
      </c>
      <c r="BY90" s="51">
        <v>0</v>
      </c>
      <c r="BZ90" s="51">
        <v>0</v>
      </c>
      <c r="CA90" s="51">
        <v>0</v>
      </c>
      <c r="CB90" s="51">
        <v>0</v>
      </c>
      <c r="CC90" s="51">
        <v>0</v>
      </c>
      <c r="CD90" s="51">
        <v>0</v>
      </c>
      <c r="CE90" s="51">
        <v>0</v>
      </c>
      <c r="CF90" s="51">
        <v>0</v>
      </c>
      <c r="CG90" s="51">
        <v>0</v>
      </c>
      <c r="CH90" s="51">
        <v>0</v>
      </c>
      <c r="CI90" s="51">
        <v>0</v>
      </c>
      <c r="CJ90" s="51">
        <v>0</v>
      </c>
      <c r="CK90" s="51">
        <v>0</v>
      </c>
      <c r="CL90" s="51">
        <v>0</v>
      </c>
      <c r="CM90" s="201">
        <v>0</v>
      </c>
    </row>
    <row r="91" spans="1:91" ht="16" thickBot="1" x14ac:dyDescent="0.25">
      <c r="A91" s="206">
        <v>11140205</v>
      </c>
      <c r="B91" s="203">
        <v>1.18234688435338</v>
      </c>
      <c r="C91" s="203">
        <v>1.2346093927856401</v>
      </c>
      <c r="D91" s="203">
        <v>1.28137393867369</v>
      </c>
      <c r="E91" s="203">
        <v>1.1811624929146101</v>
      </c>
      <c r="F91" s="203">
        <v>1.23391719773647</v>
      </c>
      <c r="G91" s="203">
        <v>1.2810081497127701</v>
      </c>
      <c r="H91" s="203">
        <v>1.1831064779998901</v>
      </c>
      <c r="I91" s="203">
        <v>1.23472815129292</v>
      </c>
      <c r="J91" s="203">
        <v>1.28054051967441</v>
      </c>
      <c r="K91" s="203">
        <v>1.18116590697331</v>
      </c>
      <c r="L91" s="203">
        <v>1.2355730574697401</v>
      </c>
      <c r="M91" s="203">
        <v>1.2813545307362</v>
      </c>
      <c r="N91" s="203">
        <v>1.1812080532464599</v>
      </c>
      <c r="O91" s="203">
        <v>1.2341774429939301</v>
      </c>
      <c r="P91" s="204">
        <v>1.28194320958672</v>
      </c>
      <c r="Q91" s="203">
        <v>3.2969489959307201</v>
      </c>
      <c r="R91" s="203">
        <v>3.72760100086973</v>
      </c>
      <c r="S91" s="203">
        <v>4.2480191856765597</v>
      </c>
      <c r="T91" s="203">
        <v>4.3427271057755599</v>
      </c>
      <c r="U91" s="203">
        <v>4.6907234504477398</v>
      </c>
      <c r="V91" s="203">
        <v>5.0764760969111302</v>
      </c>
      <c r="W91" s="203">
        <v>3.56289212041909</v>
      </c>
      <c r="X91" s="203">
        <v>4.2287557792444401</v>
      </c>
      <c r="Y91" s="203">
        <v>4.7976653465866299</v>
      </c>
      <c r="Z91" s="203">
        <v>3.17166571844019</v>
      </c>
      <c r="AA91" s="203">
        <v>3.4645063552347501</v>
      </c>
      <c r="AB91" s="203">
        <v>3.8433242834566101</v>
      </c>
      <c r="AC91" s="203">
        <v>3.4867203758560001</v>
      </c>
      <c r="AD91" s="203">
        <v>4.0923390244338202</v>
      </c>
      <c r="AE91" s="204">
        <v>4.7569706325528198</v>
      </c>
      <c r="AF91" s="203">
        <v>1.6132752410424799E-2</v>
      </c>
      <c r="AG91" s="203">
        <v>1.6748701424521801E-2</v>
      </c>
      <c r="AH91" s="203">
        <v>1.73955625717815E-2</v>
      </c>
      <c r="AI91" s="203">
        <v>1.6113831615952801E-2</v>
      </c>
      <c r="AJ91" s="203">
        <v>1.6749121778012702E-2</v>
      </c>
      <c r="AK91" s="203">
        <v>1.7401186879745199E-2</v>
      </c>
      <c r="AL91" s="203">
        <v>1.6135845426940101E-2</v>
      </c>
      <c r="AM91" s="203">
        <v>1.6757296779986601E-2</v>
      </c>
      <c r="AN91" s="203">
        <v>1.7397641382442399E-2</v>
      </c>
      <c r="AO91" s="203">
        <v>1.61343605122145E-2</v>
      </c>
      <c r="AP91" s="203">
        <v>1.6749234126274399E-2</v>
      </c>
      <c r="AQ91" s="203">
        <v>1.7402893961014299E-2</v>
      </c>
      <c r="AR91" s="203">
        <v>1.6125520236842401E-2</v>
      </c>
      <c r="AS91" s="203">
        <v>1.6739100782376799E-2</v>
      </c>
      <c r="AT91" s="204">
        <v>1.7406376870787499E-2</v>
      </c>
      <c r="AU91" s="203">
        <v>3.23022630938704</v>
      </c>
      <c r="AV91" s="203">
        <v>4.8454912883080601</v>
      </c>
      <c r="AW91" s="203">
        <v>7.1598185879607197</v>
      </c>
      <c r="AX91" s="203">
        <v>7.18347483070061</v>
      </c>
      <c r="AY91" s="203">
        <v>10.7933537321611</v>
      </c>
      <c r="AZ91" s="203">
        <v>15.6623006183969</v>
      </c>
      <c r="BA91" s="203">
        <v>4.7246631651707904</v>
      </c>
      <c r="BB91" s="203">
        <v>7.6596771797818501</v>
      </c>
      <c r="BC91" s="203">
        <v>10.836874548479001</v>
      </c>
      <c r="BD91" s="203">
        <v>3.0815793650063501</v>
      </c>
      <c r="BE91" s="203">
        <v>4.3644679493235703</v>
      </c>
      <c r="BF91" s="203">
        <v>6.1216960627606802</v>
      </c>
      <c r="BG91" s="203">
        <v>5.07939026829541</v>
      </c>
      <c r="BH91" s="203">
        <v>8.0039444365191308</v>
      </c>
      <c r="BI91" s="204">
        <v>11.786950258747201</v>
      </c>
      <c r="BJ91" s="203">
        <v>0.27593279015990901</v>
      </c>
      <c r="BK91" s="203">
        <v>0.27760999617951299</v>
      </c>
      <c r="BL91" s="203">
        <v>0.279301780817242</v>
      </c>
      <c r="BM91" s="203">
        <v>0.27591482498783898</v>
      </c>
      <c r="BN91" s="203">
        <v>0.27764131844269002</v>
      </c>
      <c r="BO91" s="203">
        <v>0.27933064487146603</v>
      </c>
      <c r="BP91" s="203">
        <v>0.27596643762512402</v>
      </c>
      <c r="BQ91" s="203">
        <v>0.27762445451517798</v>
      </c>
      <c r="BR91" s="203">
        <v>0.279322956206984</v>
      </c>
      <c r="BS91" s="203">
        <v>0.27593037695933897</v>
      </c>
      <c r="BT91" s="203">
        <v>0.27762271640415898</v>
      </c>
      <c r="BU91" s="203">
        <v>0.27929129382444701</v>
      </c>
      <c r="BV91" s="203">
        <v>0.27594451610071702</v>
      </c>
      <c r="BW91" s="203">
        <v>0.27763891886790099</v>
      </c>
      <c r="BX91" s="204">
        <v>0.27933000103481798</v>
      </c>
      <c r="BY91" s="203">
        <v>1.0856168512247599</v>
      </c>
      <c r="BZ91" s="203">
        <v>1.2842523863577</v>
      </c>
      <c r="CA91" s="203">
        <v>1.53149265287875</v>
      </c>
      <c r="CB91" s="203">
        <v>0.90720166101300403</v>
      </c>
      <c r="CC91" s="203">
        <v>0.99570931032253096</v>
      </c>
      <c r="CD91" s="203">
        <v>1.0826030486771401</v>
      </c>
      <c r="CE91" s="203">
        <v>1.12911430008151</v>
      </c>
      <c r="CF91" s="203">
        <v>1.3782586262437</v>
      </c>
      <c r="CG91" s="203">
        <v>1.7252174450989399</v>
      </c>
      <c r="CH91" s="203">
        <v>1.0358777445134599</v>
      </c>
      <c r="CI91" s="203">
        <v>1.1768093521885501</v>
      </c>
      <c r="CJ91" s="203">
        <v>1.3568540635326001</v>
      </c>
      <c r="CK91" s="203">
        <v>1.08179143017533</v>
      </c>
      <c r="CL91" s="203">
        <v>1.2908253048209499</v>
      </c>
      <c r="CM91" s="204">
        <v>1.51584243805778</v>
      </c>
    </row>
    <row r="93" spans="1:91" ht="16" thickBot="1" x14ac:dyDescent="0.25">
      <c r="A93" s="32" t="s">
        <v>469</v>
      </c>
    </row>
    <row r="94" spans="1:91" ht="16" thickBot="1" x14ac:dyDescent="0.25">
      <c r="A94" s="192" t="s">
        <v>408</v>
      </c>
      <c r="B94" s="471" t="s">
        <v>410</v>
      </c>
      <c r="C94" s="471"/>
      <c r="D94" s="471"/>
      <c r="E94" s="471"/>
      <c r="F94" s="471"/>
      <c r="G94" s="471"/>
      <c r="H94" s="471"/>
      <c r="I94" s="471"/>
      <c r="J94" s="471"/>
      <c r="K94" s="471"/>
      <c r="L94" s="471"/>
      <c r="M94" s="471"/>
      <c r="N94" s="471"/>
      <c r="O94" s="471"/>
      <c r="P94" s="437"/>
      <c r="Q94" s="471" t="s">
        <v>428</v>
      </c>
      <c r="R94" s="471"/>
      <c r="S94" s="471"/>
      <c r="T94" s="471"/>
      <c r="U94" s="471"/>
      <c r="V94" s="471"/>
      <c r="W94" s="471"/>
      <c r="X94" s="471"/>
      <c r="Y94" s="471"/>
      <c r="Z94" s="471"/>
      <c r="AA94" s="471"/>
      <c r="AB94" s="471"/>
      <c r="AC94" s="471"/>
      <c r="AD94" s="471"/>
      <c r="AE94" s="437"/>
      <c r="AF94" s="471" t="s">
        <v>429</v>
      </c>
      <c r="AG94" s="471"/>
      <c r="AH94" s="471"/>
      <c r="AI94" s="471"/>
      <c r="AJ94" s="471"/>
      <c r="AK94" s="471"/>
      <c r="AL94" s="471"/>
      <c r="AM94" s="471"/>
      <c r="AN94" s="471"/>
      <c r="AO94" s="471"/>
      <c r="AP94" s="471"/>
      <c r="AQ94" s="471"/>
      <c r="AR94" s="471"/>
      <c r="AS94" s="471"/>
      <c r="AT94" s="437"/>
      <c r="AU94" s="471" t="s">
        <v>430</v>
      </c>
      <c r="AV94" s="471"/>
      <c r="AW94" s="471"/>
      <c r="AX94" s="471"/>
      <c r="AY94" s="471"/>
      <c r="AZ94" s="471"/>
      <c r="BA94" s="471"/>
      <c r="BB94" s="471"/>
      <c r="BC94" s="471"/>
      <c r="BD94" s="471"/>
      <c r="BE94" s="471"/>
      <c r="BF94" s="471"/>
      <c r="BG94" s="471"/>
      <c r="BH94" s="471"/>
      <c r="BI94" s="437"/>
      <c r="BJ94" s="471" t="s">
        <v>431</v>
      </c>
      <c r="BK94" s="471"/>
      <c r="BL94" s="471"/>
      <c r="BM94" s="471"/>
      <c r="BN94" s="471"/>
      <c r="BO94" s="471"/>
      <c r="BP94" s="471"/>
      <c r="BQ94" s="471"/>
      <c r="BR94" s="471"/>
      <c r="BS94" s="471"/>
      <c r="BT94" s="471"/>
      <c r="BU94" s="471"/>
      <c r="BV94" s="471"/>
      <c r="BW94" s="471"/>
      <c r="BX94" s="437"/>
      <c r="BY94" s="471" t="s">
        <v>432</v>
      </c>
      <c r="BZ94" s="471"/>
      <c r="CA94" s="471"/>
      <c r="CB94" s="471"/>
      <c r="CC94" s="471"/>
      <c r="CD94" s="471"/>
      <c r="CE94" s="471"/>
      <c r="CF94" s="471"/>
      <c r="CG94" s="471"/>
      <c r="CH94" s="471"/>
      <c r="CI94" s="471"/>
      <c r="CJ94" s="471"/>
      <c r="CK94" s="471"/>
      <c r="CL94" s="471"/>
      <c r="CM94" s="437"/>
    </row>
    <row r="95" spans="1:91" ht="16" thickBot="1" x14ac:dyDescent="0.25">
      <c r="A95" s="192" t="s">
        <v>409</v>
      </c>
      <c r="B95" s="471" t="s">
        <v>457</v>
      </c>
      <c r="C95" s="471"/>
      <c r="D95" s="437"/>
      <c r="E95" s="436" t="s">
        <v>458</v>
      </c>
      <c r="F95" s="471"/>
      <c r="G95" s="437"/>
      <c r="H95" s="436" t="s">
        <v>459</v>
      </c>
      <c r="I95" s="471"/>
      <c r="J95" s="437"/>
      <c r="K95" s="436" t="s">
        <v>460</v>
      </c>
      <c r="L95" s="471"/>
      <c r="M95" s="437"/>
      <c r="N95" s="436" t="s">
        <v>461</v>
      </c>
      <c r="O95" s="471"/>
      <c r="P95" s="437"/>
      <c r="Q95" s="471" t="s">
        <v>457</v>
      </c>
      <c r="R95" s="471"/>
      <c r="S95" s="437"/>
      <c r="T95" s="436" t="s">
        <v>458</v>
      </c>
      <c r="U95" s="471"/>
      <c r="V95" s="437"/>
      <c r="W95" s="436" t="s">
        <v>459</v>
      </c>
      <c r="X95" s="471"/>
      <c r="Y95" s="437"/>
      <c r="Z95" s="436" t="s">
        <v>460</v>
      </c>
      <c r="AA95" s="471"/>
      <c r="AB95" s="437"/>
      <c r="AC95" s="436" t="s">
        <v>461</v>
      </c>
      <c r="AD95" s="471"/>
      <c r="AE95" s="437"/>
      <c r="AF95" s="471" t="s">
        <v>457</v>
      </c>
      <c r="AG95" s="471"/>
      <c r="AH95" s="437"/>
      <c r="AI95" s="436" t="s">
        <v>458</v>
      </c>
      <c r="AJ95" s="471"/>
      <c r="AK95" s="437"/>
      <c r="AL95" s="436" t="s">
        <v>459</v>
      </c>
      <c r="AM95" s="471"/>
      <c r="AN95" s="437"/>
      <c r="AO95" s="436" t="s">
        <v>460</v>
      </c>
      <c r="AP95" s="471"/>
      <c r="AQ95" s="437"/>
      <c r="AR95" s="436" t="s">
        <v>461</v>
      </c>
      <c r="AS95" s="471"/>
      <c r="AT95" s="437"/>
      <c r="AU95" s="471" t="s">
        <v>457</v>
      </c>
      <c r="AV95" s="471"/>
      <c r="AW95" s="437"/>
      <c r="AX95" s="436" t="s">
        <v>458</v>
      </c>
      <c r="AY95" s="471"/>
      <c r="AZ95" s="437"/>
      <c r="BA95" s="436" t="s">
        <v>459</v>
      </c>
      <c r="BB95" s="471"/>
      <c r="BC95" s="437"/>
      <c r="BD95" s="436" t="s">
        <v>460</v>
      </c>
      <c r="BE95" s="471"/>
      <c r="BF95" s="437"/>
      <c r="BG95" s="436" t="s">
        <v>461</v>
      </c>
      <c r="BH95" s="471"/>
      <c r="BI95" s="437"/>
      <c r="BJ95" s="471" t="s">
        <v>457</v>
      </c>
      <c r="BK95" s="471"/>
      <c r="BL95" s="437"/>
      <c r="BM95" s="436" t="s">
        <v>458</v>
      </c>
      <c r="BN95" s="471"/>
      <c r="BO95" s="437"/>
      <c r="BP95" s="436" t="s">
        <v>459</v>
      </c>
      <c r="BQ95" s="471"/>
      <c r="BR95" s="437"/>
      <c r="BS95" s="436" t="s">
        <v>460</v>
      </c>
      <c r="BT95" s="471"/>
      <c r="BU95" s="437"/>
      <c r="BV95" s="436" t="s">
        <v>461</v>
      </c>
      <c r="BW95" s="471"/>
      <c r="BX95" s="437"/>
      <c r="BY95" s="471" t="s">
        <v>457</v>
      </c>
      <c r="BZ95" s="471"/>
      <c r="CA95" s="437"/>
      <c r="CB95" s="436" t="s">
        <v>458</v>
      </c>
      <c r="CC95" s="471"/>
      <c r="CD95" s="437"/>
      <c r="CE95" s="436" t="s">
        <v>459</v>
      </c>
      <c r="CF95" s="471"/>
      <c r="CG95" s="437"/>
      <c r="CH95" s="436" t="s">
        <v>460</v>
      </c>
      <c r="CI95" s="471"/>
      <c r="CJ95" s="437"/>
      <c r="CK95" s="436" t="s">
        <v>461</v>
      </c>
      <c r="CL95" s="471"/>
      <c r="CM95" s="437"/>
    </row>
    <row r="96" spans="1:91" ht="16" thickBot="1" x14ac:dyDescent="0.25">
      <c r="A96" s="192" t="s">
        <v>179</v>
      </c>
      <c r="B96" s="195" t="s">
        <v>396</v>
      </c>
      <c r="C96" s="195" t="s">
        <v>397</v>
      </c>
      <c r="D96" s="196" t="s">
        <v>398</v>
      </c>
      <c r="E96" s="194" t="s">
        <v>396</v>
      </c>
      <c r="F96" s="195" t="s">
        <v>397</v>
      </c>
      <c r="G96" s="196" t="s">
        <v>398</v>
      </c>
      <c r="H96" s="194" t="s">
        <v>396</v>
      </c>
      <c r="I96" s="195" t="s">
        <v>397</v>
      </c>
      <c r="J96" s="196" t="s">
        <v>398</v>
      </c>
      <c r="K96" s="194" t="s">
        <v>396</v>
      </c>
      <c r="L96" s="195" t="s">
        <v>397</v>
      </c>
      <c r="M96" s="196" t="s">
        <v>398</v>
      </c>
      <c r="N96" s="194" t="s">
        <v>396</v>
      </c>
      <c r="O96" s="195" t="s">
        <v>397</v>
      </c>
      <c r="P96" s="196" t="s">
        <v>398</v>
      </c>
      <c r="Q96" s="195" t="s">
        <v>396</v>
      </c>
      <c r="R96" s="195" t="s">
        <v>397</v>
      </c>
      <c r="S96" s="196" t="s">
        <v>398</v>
      </c>
      <c r="T96" s="194" t="s">
        <v>396</v>
      </c>
      <c r="U96" s="195" t="s">
        <v>397</v>
      </c>
      <c r="V96" s="196" t="s">
        <v>398</v>
      </c>
      <c r="W96" s="194" t="s">
        <v>396</v>
      </c>
      <c r="X96" s="195" t="s">
        <v>397</v>
      </c>
      <c r="Y96" s="196" t="s">
        <v>398</v>
      </c>
      <c r="Z96" s="194" t="s">
        <v>396</v>
      </c>
      <c r="AA96" s="195" t="s">
        <v>397</v>
      </c>
      <c r="AB96" s="196" t="s">
        <v>398</v>
      </c>
      <c r="AC96" s="194" t="s">
        <v>396</v>
      </c>
      <c r="AD96" s="195" t="s">
        <v>397</v>
      </c>
      <c r="AE96" s="196" t="s">
        <v>398</v>
      </c>
      <c r="AF96" s="195" t="s">
        <v>396</v>
      </c>
      <c r="AG96" s="195" t="s">
        <v>397</v>
      </c>
      <c r="AH96" s="196" t="s">
        <v>398</v>
      </c>
      <c r="AI96" s="194" t="s">
        <v>396</v>
      </c>
      <c r="AJ96" s="195" t="s">
        <v>397</v>
      </c>
      <c r="AK96" s="196" t="s">
        <v>398</v>
      </c>
      <c r="AL96" s="194" t="s">
        <v>396</v>
      </c>
      <c r="AM96" s="195" t="s">
        <v>397</v>
      </c>
      <c r="AN96" s="196" t="s">
        <v>398</v>
      </c>
      <c r="AO96" s="194" t="s">
        <v>396</v>
      </c>
      <c r="AP96" s="195" t="s">
        <v>397</v>
      </c>
      <c r="AQ96" s="196" t="s">
        <v>398</v>
      </c>
      <c r="AR96" s="194" t="s">
        <v>396</v>
      </c>
      <c r="AS96" s="195" t="s">
        <v>397</v>
      </c>
      <c r="AT96" s="196" t="s">
        <v>398</v>
      </c>
      <c r="AU96" s="195" t="s">
        <v>396</v>
      </c>
      <c r="AV96" s="195" t="s">
        <v>397</v>
      </c>
      <c r="AW96" s="196" t="s">
        <v>398</v>
      </c>
      <c r="AX96" s="194" t="s">
        <v>396</v>
      </c>
      <c r="AY96" s="195" t="s">
        <v>397</v>
      </c>
      <c r="AZ96" s="196" t="s">
        <v>398</v>
      </c>
      <c r="BA96" s="194" t="s">
        <v>396</v>
      </c>
      <c r="BB96" s="195" t="s">
        <v>397</v>
      </c>
      <c r="BC96" s="196" t="s">
        <v>398</v>
      </c>
      <c r="BD96" s="194" t="s">
        <v>396</v>
      </c>
      <c r="BE96" s="195" t="s">
        <v>397</v>
      </c>
      <c r="BF96" s="196" t="s">
        <v>398</v>
      </c>
      <c r="BG96" s="194" t="s">
        <v>396</v>
      </c>
      <c r="BH96" s="195" t="s">
        <v>397</v>
      </c>
      <c r="BI96" s="196" t="s">
        <v>398</v>
      </c>
      <c r="BJ96" s="195" t="s">
        <v>396</v>
      </c>
      <c r="BK96" s="195" t="s">
        <v>397</v>
      </c>
      <c r="BL96" s="196" t="s">
        <v>398</v>
      </c>
      <c r="BM96" s="194" t="s">
        <v>396</v>
      </c>
      <c r="BN96" s="195" t="s">
        <v>397</v>
      </c>
      <c r="BO96" s="196" t="s">
        <v>398</v>
      </c>
      <c r="BP96" s="194" t="s">
        <v>396</v>
      </c>
      <c r="BQ96" s="195" t="s">
        <v>397</v>
      </c>
      <c r="BR96" s="196" t="s">
        <v>398</v>
      </c>
      <c r="BS96" s="194" t="s">
        <v>396</v>
      </c>
      <c r="BT96" s="195" t="s">
        <v>397</v>
      </c>
      <c r="BU96" s="196" t="s">
        <v>398</v>
      </c>
      <c r="BV96" s="194" t="s">
        <v>396</v>
      </c>
      <c r="BW96" s="195" t="s">
        <v>397</v>
      </c>
      <c r="BX96" s="196" t="s">
        <v>398</v>
      </c>
      <c r="BY96" s="195" t="s">
        <v>396</v>
      </c>
      <c r="BZ96" s="195" t="s">
        <v>397</v>
      </c>
      <c r="CA96" s="196" t="s">
        <v>398</v>
      </c>
      <c r="CB96" s="194" t="s">
        <v>396</v>
      </c>
      <c r="CC96" s="195" t="s">
        <v>397</v>
      </c>
      <c r="CD96" s="196" t="s">
        <v>398</v>
      </c>
      <c r="CE96" s="194" t="s">
        <v>396</v>
      </c>
      <c r="CF96" s="195" t="s">
        <v>397</v>
      </c>
      <c r="CG96" s="196" t="s">
        <v>398</v>
      </c>
      <c r="CH96" s="194" t="s">
        <v>396</v>
      </c>
      <c r="CI96" s="195" t="s">
        <v>397</v>
      </c>
      <c r="CJ96" s="196" t="s">
        <v>398</v>
      </c>
      <c r="CK96" s="194" t="s">
        <v>396</v>
      </c>
      <c r="CL96" s="195" t="s">
        <v>397</v>
      </c>
      <c r="CM96" s="196" t="s">
        <v>398</v>
      </c>
    </row>
    <row r="97" spans="1:91" x14ac:dyDescent="0.2">
      <c r="A97" s="205">
        <v>16060011</v>
      </c>
      <c r="B97" s="51">
        <v>6.9435555425904197E-2</v>
      </c>
      <c r="C97" s="51">
        <v>7.1110114620669698E-2</v>
      </c>
      <c r="D97" s="51">
        <v>7.2449353941397995E-2</v>
      </c>
      <c r="E97" s="51">
        <v>6.9410161548732099E-2</v>
      </c>
      <c r="F97" s="51">
        <v>7.11106546705981E-2</v>
      </c>
      <c r="G97" s="51">
        <v>7.2457340272395004E-2</v>
      </c>
      <c r="H97" s="51">
        <v>6.9432787399783993E-2</v>
      </c>
      <c r="I97" s="51">
        <v>7.1127515224515603E-2</v>
      </c>
      <c r="J97" s="51">
        <v>7.2460162671320105E-2</v>
      </c>
      <c r="K97" s="51">
        <v>6.9366712089812793E-2</v>
      </c>
      <c r="L97" s="51">
        <v>7.1092828395944302E-2</v>
      </c>
      <c r="M97" s="51">
        <v>7.2435139342672303E-2</v>
      </c>
      <c r="N97" s="51">
        <v>6.94080767144514E-2</v>
      </c>
      <c r="O97" s="51">
        <v>7.1110428601160194E-2</v>
      </c>
      <c r="P97" s="201">
        <v>7.2433257168509804E-2</v>
      </c>
      <c r="Q97" s="51">
        <v>5.5045508952195998</v>
      </c>
      <c r="R97" s="51">
        <v>5.8253180480013498</v>
      </c>
      <c r="S97" s="51">
        <v>6.1692772315539504</v>
      </c>
      <c r="T97" s="51">
        <v>5.5280117054288702</v>
      </c>
      <c r="U97" s="51">
        <v>5.8209020724095604</v>
      </c>
      <c r="V97" s="51">
        <v>6.1464491000434904</v>
      </c>
      <c r="W97" s="51">
        <v>4.9357658397581297</v>
      </c>
      <c r="X97" s="51">
        <v>5.2077137664571804</v>
      </c>
      <c r="Y97" s="51">
        <v>5.5316796609241701</v>
      </c>
      <c r="Z97" s="51">
        <v>5.10537838806128</v>
      </c>
      <c r="AA97" s="51">
        <v>5.4557333186976402</v>
      </c>
      <c r="AB97" s="51">
        <v>5.75686721692073</v>
      </c>
      <c r="AC97" s="51">
        <v>4.5824137694254201</v>
      </c>
      <c r="AD97" s="51">
        <v>5.0171249878804796</v>
      </c>
      <c r="AE97" s="201">
        <v>5.4008098833186899</v>
      </c>
      <c r="AF97" s="51">
        <v>0</v>
      </c>
      <c r="AG97" s="51">
        <v>0</v>
      </c>
      <c r="AH97" s="51">
        <v>0</v>
      </c>
      <c r="AI97" s="51">
        <v>0</v>
      </c>
      <c r="AJ97" s="51">
        <v>0</v>
      </c>
      <c r="AK97" s="51">
        <v>0</v>
      </c>
      <c r="AL97" s="51">
        <v>0</v>
      </c>
      <c r="AM97" s="51">
        <v>0</v>
      </c>
      <c r="AN97" s="51">
        <v>0</v>
      </c>
      <c r="AO97" s="51">
        <v>0</v>
      </c>
      <c r="AP97" s="51">
        <v>0</v>
      </c>
      <c r="AQ97" s="51">
        <v>0</v>
      </c>
      <c r="AR97" s="51">
        <v>0</v>
      </c>
      <c r="AS97" s="51">
        <v>0</v>
      </c>
      <c r="AT97" s="201">
        <v>0</v>
      </c>
      <c r="AU97" s="51">
        <v>47.247338649378797</v>
      </c>
      <c r="AV97" s="51">
        <v>71.931815849035303</v>
      </c>
      <c r="AW97" s="51">
        <v>103.31874693280599</v>
      </c>
      <c r="AX97" s="51">
        <v>51.1356640092446</v>
      </c>
      <c r="AY97" s="51">
        <v>75.189742119878204</v>
      </c>
      <c r="AZ97" s="51">
        <v>106.327785179885</v>
      </c>
      <c r="BA97" s="51">
        <v>9.8187171306756902</v>
      </c>
      <c r="BB97" s="51">
        <v>16.275116400172699</v>
      </c>
      <c r="BC97" s="51">
        <v>25.0839474765903</v>
      </c>
      <c r="BD97" s="51">
        <v>46.298226742901903</v>
      </c>
      <c r="BE97" s="51">
        <v>64.020538880771198</v>
      </c>
      <c r="BF97" s="51">
        <v>84.427755310520297</v>
      </c>
      <c r="BG97" s="51">
        <v>12.5984790464122</v>
      </c>
      <c r="BH97" s="51">
        <v>25.568900129398401</v>
      </c>
      <c r="BI97" s="201">
        <v>43.861173138776003</v>
      </c>
      <c r="BJ97" s="51">
        <v>0.17301220481285701</v>
      </c>
      <c r="BK97" s="51">
        <v>0.17580016110142199</v>
      </c>
      <c r="BL97" s="51">
        <v>0.178725726728929</v>
      </c>
      <c r="BM97" s="51">
        <v>0.17299915351026901</v>
      </c>
      <c r="BN97" s="51">
        <v>0.17578051114419499</v>
      </c>
      <c r="BO97" s="51">
        <v>0.17860081644757</v>
      </c>
      <c r="BP97" s="51">
        <v>0.17296067109707899</v>
      </c>
      <c r="BQ97" s="51">
        <v>0.175782542376514</v>
      </c>
      <c r="BR97" s="51">
        <v>0.178735624635768</v>
      </c>
      <c r="BS97" s="51">
        <v>0.17298324468663601</v>
      </c>
      <c r="BT97" s="51">
        <v>0.17582257325039299</v>
      </c>
      <c r="BU97" s="51">
        <v>0.17870853353513499</v>
      </c>
      <c r="BV97" s="51">
        <v>0.17291573950523001</v>
      </c>
      <c r="BW97" s="51">
        <v>0.17578414310276899</v>
      </c>
      <c r="BX97" s="201">
        <v>0.17862957714859001</v>
      </c>
      <c r="BY97" s="51">
        <v>0</v>
      </c>
      <c r="BZ97" s="51">
        <v>0</v>
      </c>
      <c r="CA97" s="51">
        <v>0</v>
      </c>
      <c r="CB97" s="51">
        <v>0</v>
      </c>
      <c r="CC97" s="51">
        <v>0</v>
      </c>
      <c r="CD97" s="51">
        <v>0</v>
      </c>
      <c r="CE97" s="51">
        <v>0</v>
      </c>
      <c r="CF97" s="51">
        <v>0</v>
      </c>
      <c r="CG97" s="51">
        <v>0</v>
      </c>
      <c r="CH97" s="51">
        <v>0</v>
      </c>
      <c r="CI97" s="51">
        <v>0</v>
      </c>
      <c r="CJ97" s="51">
        <v>0</v>
      </c>
      <c r="CK97" s="51">
        <v>0</v>
      </c>
      <c r="CL97" s="51">
        <v>0</v>
      </c>
      <c r="CM97" s="201">
        <v>0</v>
      </c>
    </row>
    <row r="98" spans="1:91" x14ac:dyDescent="0.2">
      <c r="A98" s="205">
        <v>15030202</v>
      </c>
      <c r="B98" s="51">
        <v>17.280518688854201</v>
      </c>
      <c r="C98" s="51">
        <v>17.715343321288302</v>
      </c>
      <c r="D98" s="51">
        <v>18.066242152393201</v>
      </c>
      <c r="E98" s="51">
        <v>17.283195440430401</v>
      </c>
      <c r="F98" s="51">
        <v>17.723638691774799</v>
      </c>
      <c r="G98" s="51">
        <v>18.0726907706139</v>
      </c>
      <c r="H98" s="51">
        <v>17.2837809586449</v>
      </c>
      <c r="I98" s="51">
        <v>17.725682846901101</v>
      </c>
      <c r="J98" s="51">
        <v>18.072798285649899</v>
      </c>
      <c r="K98" s="51">
        <v>17.290651751455201</v>
      </c>
      <c r="L98" s="51">
        <v>17.720958583890098</v>
      </c>
      <c r="M98" s="51">
        <v>18.066595321966801</v>
      </c>
      <c r="N98" s="51">
        <v>17.2839321805703</v>
      </c>
      <c r="O98" s="51">
        <v>17.7221922739596</v>
      </c>
      <c r="P98" s="201">
        <v>18.069443461965701</v>
      </c>
      <c r="Q98" s="51">
        <v>37.887332195173798</v>
      </c>
      <c r="R98" s="51">
        <v>40.274948303516901</v>
      </c>
      <c r="S98" s="51">
        <v>42.398339539809797</v>
      </c>
      <c r="T98" s="51">
        <v>37.508374232958602</v>
      </c>
      <c r="U98" s="51">
        <v>39.909859236390197</v>
      </c>
      <c r="V98" s="51">
        <v>41.971889801935298</v>
      </c>
      <c r="W98" s="51">
        <v>36.021139575143998</v>
      </c>
      <c r="X98" s="51">
        <v>37.720514035724598</v>
      </c>
      <c r="Y98" s="51">
        <v>39.686925866291801</v>
      </c>
      <c r="Z98" s="51">
        <v>34.4364102170181</v>
      </c>
      <c r="AA98" s="51">
        <v>36.924358803688598</v>
      </c>
      <c r="AB98" s="51">
        <v>39.072222345990298</v>
      </c>
      <c r="AC98" s="51">
        <v>33.045070577975103</v>
      </c>
      <c r="AD98" s="51">
        <v>36.296184986314202</v>
      </c>
      <c r="AE98" s="201">
        <v>39.557754494322097</v>
      </c>
      <c r="AF98" s="51">
        <v>0</v>
      </c>
      <c r="AG98" s="51">
        <v>0</v>
      </c>
      <c r="AH98" s="51">
        <v>0</v>
      </c>
      <c r="AI98" s="51">
        <v>0</v>
      </c>
      <c r="AJ98" s="51">
        <v>0</v>
      </c>
      <c r="AK98" s="51">
        <v>0</v>
      </c>
      <c r="AL98" s="51">
        <v>0</v>
      </c>
      <c r="AM98" s="51">
        <v>0</v>
      </c>
      <c r="AN98" s="51">
        <v>0</v>
      </c>
      <c r="AO98" s="51">
        <v>0</v>
      </c>
      <c r="AP98" s="51">
        <v>0</v>
      </c>
      <c r="AQ98" s="51">
        <v>0</v>
      </c>
      <c r="AR98" s="51">
        <v>0</v>
      </c>
      <c r="AS98" s="51">
        <v>0</v>
      </c>
      <c r="AT98" s="201">
        <v>0</v>
      </c>
      <c r="AU98" s="51">
        <v>46.473971777944001</v>
      </c>
      <c r="AV98" s="51">
        <v>78.501074966763795</v>
      </c>
      <c r="AW98" s="51">
        <v>120.238708408286</v>
      </c>
      <c r="AX98" s="51">
        <v>41.371057051991997</v>
      </c>
      <c r="AY98" s="51">
        <v>63.749283670404203</v>
      </c>
      <c r="AZ98" s="51">
        <v>97.181581708100595</v>
      </c>
      <c r="BA98" s="51">
        <v>22.8151063703673</v>
      </c>
      <c r="BB98" s="51">
        <v>36.563269659584101</v>
      </c>
      <c r="BC98" s="51">
        <v>54.912234501913098</v>
      </c>
      <c r="BD98" s="51">
        <v>39.294854074401599</v>
      </c>
      <c r="BE98" s="51">
        <v>57.9345801132704</v>
      </c>
      <c r="BF98" s="51">
        <v>79.281386324743906</v>
      </c>
      <c r="BG98" s="51">
        <v>15.5959178143016</v>
      </c>
      <c r="BH98" s="51">
        <v>27.664846459068102</v>
      </c>
      <c r="BI98" s="201">
        <v>44.0191098925375</v>
      </c>
      <c r="BJ98" s="51">
        <v>0.31190447023867701</v>
      </c>
      <c r="BK98" s="51">
        <v>0.316652173961123</v>
      </c>
      <c r="BL98" s="51">
        <v>0.32159332713057598</v>
      </c>
      <c r="BM98" s="51">
        <v>0.31184081313872403</v>
      </c>
      <c r="BN98" s="51">
        <v>0.31671738522124498</v>
      </c>
      <c r="BO98" s="51">
        <v>0.32174114821910599</v>
      </c>
      <c r="BP98" s="51">
        <v>0.31182539175052298</v>
      </c>
      <c r="BQ98" s="51">
        <v>0.31669493674281202</v>
      </c>
      <c r="BR98" s="51">
        <v>0.32169042163496397</v>
      </c>
      <c r="BS98" s="51">
        <v>0.311813768652838</v>
      </c>
      <c r="BT98" s="51">
        <v>0.31668679788359699</v>
      </c>
      <c r="BU98" s="51">
        <v>0.321744903284928</v>
      </c>
      <c r="BV98" s="51">
        <v>0.31191912384256698</v>
      </c>
      <c r="BW98" s="51">
        <v>0.316697532066746</v>
      </c>
      <c r="BX98" s="201">
        <v>0.32160128691780698</v>
      </c>
      <c r="BY98" s="51">
        <v>1.30151709810688</v>
      </c>
      <c r="BZ98" s="51">
        <v>1.43385060782889</v>
      </c>
      <c r="CA98" s="51">
        <v>1.59979193597353</v>
      </c>
      <c r="CB98" s="51">
        <v>1.1416798693627701</v>
      </c>
      <c r="CC98" s="51">
        <v>1.19758710705607</v>
      </c>
      <c r="CD98" s="51">
        <v>1.2523396179867901</v>
      </c>
      <c r="CE98" s="51">
        <v>1.3564099227512501</v>
      </c>
      <c r="CF98" s="51">
        <v>1.5495549467777501</v>
      </c>
      <c r="CG98" s="51">
        <v>1.79028390579824</v>
      </c>
      <c r="CH98" s="51">
        <v>1.2464625053949701</v>
      </c>
      <c r="CI98" s="51">
        <v>1.35068116769933</v>
      </c>
      <c r="CJ98" s="51">
        <v>1.47733562901604</v>
      </c>
      <c r="CK98" s="51">
        <v>1.30155671334593</v>
      </c>
      <c r="CL98" s="51">
        <v>1.4341182955176399</v>
      </c>
      <c r="CM98" s="201">
        <v>1.5958671584162201</v>
      </c>
    </row>
    <row r="99" spans="1:91" x14ac:dyDescent="0.2">
      <c r="A99" s="205">
        <v>15030201</v>
      </c>
      <c r="B99" s="51">
        <v>17.2900723470757</v>
      </c>
      <c r="C99" s="51">
        <v>17.716862720542</v>
      </c>
      <c r="D99" s="51">
        <v>18.067983337827901</v>
      </c>
      <c r="E99" s="51">
        <v>17.2824584433782</v>
      </c>
      <c r="F99" s="51">
        <v>17.722561021483202</v>
      </c>
      <c r="G99" s="51">
        <v>18.065960886558599</v>
      </c>
      <c r="H99" s="51">
        <v>17.2777396685048</v>
      </c>
      <c r="I99" s="51">
        <v>17.718121746548899</v>
      </c>
      <c r="J99" s="51">
        <v>18.063767128051001</v>
      </c>
      <c r="K99" s="51">
        <v>17.280221920958599</v>
      </c>
      <c r="L99" s="51">
        <v>17.723256039256999</v>
      </c>
      <c r="M99" s="51">
        <v>18.068561001873999</v>
      </c>
      <c r="N99" s="51">
        <v>17.290425739653301</v>
      </c>
      <c r="O99" s="51">
        <v>17.718085094929801</v>
      </c>
      <c r="P99" s="201">
        <v>18.064728775595398</v>
      </c>
      <c r="Q99" s="51">
        <v>37.8567129103361</v>
      </c>
      <c r="R99" s="51">
        <v>40.261705855304498</v>
      </c>
      <c r="S99" s="51">
        <v>42.402654394907898</v>
      </c>
      <c r="T99" s="51">
        <v>37.395989688308099</v>
      </c>
      <c r="U99" s="51">
        <v>39.863493688638897</v>
      </c>
      <c r="V99" s="51">
        <v>41.956317680859698</v>
      </c>
      <c r="W99" s="51">
        <v>35.9586678430136</v>
      </c>
      <c r="X99" s="51">
        <v>37.693806671863101</v>
      </c>
      <c r="Y99" s="51">
        <v>39.719010141745102</v>
      </c>
      <c r="Z99" s="51">
        <v>34.425726404923999</v>
      </c>
      <c r="AA99" s="51">
        <v>36.877476097282802</v>
      </c>
      <c r="AB99" s="51">
        <v>39.028978814345997</v>
      </c>
      <c r="AC99" s="51">
        <v>32.98898595515</v>
      </c>
      <c r="AD99" s="51">
        <v>36.219246458631403</v>
      </c>
      <c r="AE99" s="201">
        <v>39.5017604146379</v>
      </c>
      <c r="AF99" s="51">
        <v>0</v>
      </c>
      <c r="AG99" s="51">
        <v>0</v>
      </c>
      <c r="AH99" s="51">
        <v>0</v>
      </c>
      <c r="AI99" s="51">
        <v>0</v>
      </c>
      <c r="AJ99" s="51">
        <v>0</v>
      </c>
      <c r="AK99" s="51">
        <v>0</v>
      </c>
      <c r="AL99" s="51">
        <v>0</v>
      </c>
      <c r="AM99" s="51">
        <v>0</v>
      </c>
      <c r="AN99" s="51">
        <v>0</v>
      </c>
      <c r="AO99" s="51">
        <v>0</v>
      </c>
      <c r="AP99" s="51">
        <v>0</v>
      </c>
      <c r="AQ99" s="51">
        <v>0</v>
      </c>
      <c r="AR99" s="51">
        <v>0</v>
      </c>
      <c r="AS99" s="51">
        <v>0</v>
      </c>
      <c r="AT99" s="201">
        <v>0</v>
      </c>
      <c r="AU99" s="51">
        <v>45.753129919058601</v>
      </c>
      <c r="AV99" s="51">
        <v>77.447399100290994</v>
      </c>
      <c r="AW99" s="51">
        <v>119.694865051606</v>
      </c>
      <c r="AX99" s="51">
        <v>41.201702045636203</v>
      </c>
      <c r="AY99" s="51">
        <v>63.317191367019198</v>
      </c>
      <c r="AZ99" s="51">
        <v>97.280388492057298</v>
      </c>
      <c r="BA99" s="51">
        <v>22.829249317633899</v>
      </c>
      <c r="BB99" s="51">
        <v>36.369769948593301</v>
      </c>
      <c r="BC99" s="51">
        <v>54.895893104121299</v>
      </c>
      <c r="BD99" s="51">
        <v>39.430506199570601</v>
      </c>
      <c r="BE99" s="51">
        <v>57.7620001126432</v>
      </c>
      <c r="BF99" s="51">
        <v>78.557831998694297</v>
      </c>
      <c r="BG99" s="51">
        <v>15.9587439715459</v>
      </c>
      <c r="BH99" s="51">
        <v>28.1536913503815</v>
      </c>
      <c r="BI99" s="201">
        <v>44.303264441349903</v>
      </c>
      <c r="BJ99" s="51">
        <v>0.311918679011781</v>
      </c>
      <c r="BK99" s="51">
        <v>0.31671377271546203</v>
      </c>
      <c r="BL99" s="51">
        <v>0.32171148703678198</v>
      </c>
      <c r="BM99" s="51">
        <v>0.31186149623501003</v>
      </c>
      <c r="BN99" s="51">
        <v>0.31671494127698502</v>
      </c>
      <c r="BO99" s="51">
        <v>0.32170229775410802</v>
      </c>
      <c r="BP99" s="51">
        <v>0.31184897934548</v>
      </c>
      <c r="BQ99" s="51">
        <v>0.31672353576748202</v>
      </c>
      <c r="BR99" s="51">
        <v>0.32168367079207899</v>
      </c>
      <c r="BS99" s="51">
        <v>0.31193985628023102</v>
      </c>
      <c r="BT99" s="51">
        <v>0.316679624504067</v>
      </c>
      <c r="BU99" s="51">
        <v>0.32164248285042502</v>
      </c>
      <c r="BV99" s="51">
        <v>0.31191817232779101</v>
      </c>
      <c r="BW99" s="51">
        <v>0.31668856807331902</v>
      </c>
      <c r="BX99" s="201">
        <v>0.32165453419172901</v>
      </c>
      <c r="BY99" s="51">
        <v>1.3002646730301799</v>
      </c>
      <c r="BZ99" s="51">
        <v>1.43521525527245</v>
      </c>
      <c r="CA99" s="51">
        <v>1.59817615472446</v>
      </c>
      <c r="CB99" s="51">
        <v>1.14175128031566</v>
      </c>
      <c r="CC99" s="51">
        <v>1.1988714362802</v>
      </c>
      <c r="CD99" s="51">
        <v>1.25197886357745</v>
      </c>
      <c r="CE99" s="51">
        <v>1.35332812052313</v>
      </c>
      <c r="CF99" s="51">
        <v>1.5474867915303101</v>
      </c>
      <c r="CG99" s="51">
        <v>1.7973035794108501</v>
      </c>
      <c r="CH99" s="51">
        <v>1.2464526941613201</v>
      </c>
      <c r="CI99" s="51">
        <v>1.35076666317158</v>
      </c>
      <c r="CJ99" s="51">
        <v>1.47803948389416</v>
      </c>
      <c r="CK99" s="51">
        <v>1.3032059203267801</v>
      </c>
      <c r="CL99" s="51">
        <v>1.4354525536071601</v>
      </c>
      <c r="CM99" s="201">
        <v>1.5988664166292199</v>
      </c>
    </row>
    <row r="100" spans="1:91" x14ac:dyDescent="0.2">
      <c r="A100" s="205">
        <v>18100204</v>
      </c>
      <c r="B100" s="51">
        <v>11.795789794187501</v>
      </c>
      <c r="C100" s="51">
        <v>11.8950650264473</v>
      </c>
      <c r="D100" s="51">
        <v>11.977283287446999</v>
      </c>
      <c r="E100" s="51">
        <v>11.7984260384726</v>
      </c>
      <c r="F100" s="51">
        <v>11.895514556859</v>
      </c>
      <c r="G100" s="51">
        <v>11.977094177370599</v>
      </c>
      <c r="H100" s="51">
        <v>11.8008280277063</v>
      </c>
      <c r="I100" s="51">
        <v>11.8963141840667</v>
      </c>
      <c r="J100" s="51">
        <v>11.979479421680299</v>
      </c>
      <c r="K100" s="51">
        <v>11.7993603347501</v>
      </c>
      <c r="L100" s="51">
        <v>11.8961051176293</v>
      </c>
      <c r="M100" s="51">
        <v>11.977054446607101</v>
      </c>
      <c r="N100" s="51">
        <v>11.798808059892</v>
      </c>
      <c r="O100" s="51">
        <v>11.895286560540001</v>
      </c>
      <c r="P100" s="201">
        <v>11.976721818642201</v>
      </c>
      <c r="Q100" s="51">
        <v>20.929588331801799</v>
      </c>
      <c r="R100" s="51">
        <v>22.311056563673802</v>
      </c>
      <c r="S100" s="51">
        <v>23.687434348782901</v>
      </c>
      <c r="T100" s="51">
        <v>19.5459409312665</v>
      </c>
      <c r="U100" s="51">
        <v>21.234489269040399</v>
      </c>
      <c r="V100" s="51">
        <v>22.589417722354401</v>
      </c>
      <c r="W100" s="51">
        <v>19.860264611125299</v>
      </c>
      <c r="X100" s="51">
        <v>20.617961208133099</v>
      </c>
      <c r="Y100" s="51">
        <v>21.569991487813699</v>
      </c>
      <c r="Z100" s="51">
        <v>19.013197189546698</v>
      </c>
      <c r="AA100" s="51">
        <v>19.885573405805101</v>
      </c>
      <c r="AB100" s="51">
        <v>20.8418761954674</v>
      </c>
      <c r="AC100" s="51">
        <v>18.193476763933901</v>
      </c>
      <c r="AD100" s="51">
        <v>19.676891975701299</v>
      </c>
      <c r="AE100" s="201">
        <v>20.822150939319801</v>
      </c>
      <c r="AF100" s="51">
        <v>0</v>
      </c>
      <c r="AG100" s="51">
        <v>0</v>
      </c>
      <c r="AH100" s="51">
        <v>0</v>
      </c>
      <c r="AI100" s="51">
        <v>0</v>
      </c>
      <c r="AJ100" s="51">
        <v>0</v>
      </c>
      <c r="AK100" s="51">
        <v>0</v>
      </c>
      <c r="AL100" s="51">
        <v>0</v>
      </c>
      <c r="AM100" s="51">
        <v>0</v>
      </c>
      <c r="AN100" s="51">
        <v>0</v>
      </c>
      <c r="AO100" s="51">
        <v>0</v>
      </c>
      <c r="AP100" s="51">
        <v>0</v>
      </c>
      <c r="AQ100" s="51">
        <v>0</v>
      </c>
      <c r="AR100" s="51">
        <v>0</v>
      </c>
      <c r="AS100" s="51">
        <v>0</v>
      </c>
      <c r="AT100" s="201">
        <v>0</v>
      </c>
      <c r="AU100" s="51">
        <v>1472.95617817538</v>
      </c>
      <c r="AV100" s="51">
        <v>2924.3145563792</v>
      </c>
      <c r="AW100" s="51">
        <v>4986.7659180434903</v>
      </c>
      <c r="AX100" s="51">
        <v>1075.8494754377</v>
      </c>
      <c r="AY100" s="51">
        <v>1834.1373216650099</v>
      </c>
      <c r="AZ100" s="51">
        <v>2900.0296854048001</v>
      </c>
      <c r="BA100" s="51">
        <v>468.56081859873098</v>
      </c>
      <c r="BB100" s="51">
        <v>861.10710104626503</v>
      </c>
      <c r="BC100" s="51">
        <v>1373.8325991307499</v>
      </c>
      <c r="BD100" s="51">
        <v>1565.0299056818501</v>
      </c>
      <c r="BE100" s="51">
        <v>2415.2733830219699</v>
      </c>
      <c r="BF100" s="51">
        <v>3366.0922300897</v>
      </c>
      <c r="BG100" s="51">
        <v>689.20243223399905</v>
      </c>
      <c r="BH100" s="51">
        <v>1493.9730262452399</v>
      </c>
      <c r="BI100" s="201">
        <v>2636.4505299156899</v>
      </c>
      <c r="BJ100" s="51">
        <v>3.0209175821618501</v>
      </c>
      <c r="BK100" s="51">
        <v>3.1224910131858499</v>
      </c>
      <c r="BL100" s="51">
        <v>3.2311735383358</v>
      </c>
      <c r="BM100" s="51">
        <v>3.02027819384096</v>
      </c>
      <c r="BN100" s="51">
        <v>3.12260787483098</v>
      </c>
      <c r="BO100" s="51">
        <v>3.2296363631942699</v>
      </c>
      <c r="BP100" s="51">
        <v>3.0219596032934901</v>
      </c>
      <c r="BQ100" s="51">
        <v>3.1220985971954298</v>
      </c>
      <c r="BR100" s="51">
        <v>3.2300915147535898</v>
      </c>
      <c r="BS100" s="51">
        <v>3.01864476623998</v>
      </c>
      <c r="BT100" s="51">
        <v>3.1226194453522398</v>
      </c>
      <c r="BU100" s="51">
        <v>3.2306149443432299</v>
      </c>
      <c r="BV100" s="51">
        <v>3.0211625379105298</v>
      </c>
      <c r="BW100" s="51">
        <v>3.12138425730849</v>
      </c>
      <c r="BX100" s="201">
        <v>3.2295979286077099</v>
      </c>
      <c r="BY100" s="51">
        <v>0</v>
      </c>
      <c r="BZ100" s="51">
        <v>0</v>
      </c>
      <c r="CA100" s="51">
        <v>0</v>
      </c>
      <c r="CB100" s="51">
        <v>0</v>
      </c>
      <c r="CC100" s="51">
        <v>0</v>
      </c>
      <c r="CD100" s="51">
        <v>0</v>
      </c>
      <c r="CE100" s="51">
        <v>0</v>
      </c>
      <c r="CF100" s="51">
        <v>0</v>
      </c>
      <c r="CG100" s="51">
        <v>0</v>
      </c>
      <c r="CH100" s="51">
        <v>0</v>
      </c>
      <c r="CI100" s="51">
        <v>0</v>
      </c>
      <c r="CJ100" s="51">
        <v>0</v>
      </c>
      <c r="CK100" s="51">
        <v>0</v>
      </c>
      <c r="CL100" s="51">
        <v>0</v>
      </c>
      <c r="CM100" s="201">
        <v>0</v>
      </c>
    </row>
    <row r="101" spans="1:91" x14ac:dyDescent="0.2">
      <c r="A101" s="205">
        <v>16060013</v>
      </c>
      <c r="B101" s="51">
        <v>6.9421437503081704E-2</v>
      </c>
      <c r="C101" s="51">
        <v>7.1125020782131204E-2</v>
      </c>
      <c r="D101" s="51">
        <v>7.2416932140698095E-2</v>
      </c>
      <c r="E101" s="51">
        <v>6.9401642621526399E-2</v>
      </c>
      <c r="F101" s="51">
        <v>7.1090485530240596E-2</v>
      </c>
      <c r="G101" s="51">
        <v>7.24315630420614E-2</v>
      </c>
      <c r="H101" s="51">
        <v>6.9384476644974005E-2</v>
      </c>
      <c r="I101" s="51">
        <v>7.1111669312797193E-2</v>
      </c>
      <c r="J101" s="51">
        <v>7.2461148041028406E-2</v>
      </c>
      <c r="K101" s="51">
        <v>6.9391224866654597E-2</v>
      </c>
      <c r="L101" s="51">
        <v>7.1112026909964904E-2</v>
      </c>
      <c r="M101" s="51">
        <v>7.2449854565214702E-2</v>
      </c>
      <c r="N101" s="51">
        <v>6.9415696852982295E-2</v>
      </c>
      <c r="O101" s="51">
        <v>7.1096130335287805E-2</v>
      </c>
      <c r="P101" s="201">
        <v>7.2444104291352202E-2</v>
      </c>
      <c r="Q101" s="51">
        <v>5.4944918779020204</v>
      </c>
      <c r="R101" s="51">
        <v>5.8310465825359703</v>
      </c>
      <c r="S101" s="51">
        <v>6.16862536544153</v>
      </c>
      <c r="T101" s="51">
        <v>5.5238391205630402</v>
      </c>
      <c r="U101" s="51">
        <v>5.8198930154652597</v>
      </c>
      <c r="V101" s="51">
        <v>6.1478684588716304</v>
      </c>
      <c r="W101" s="51">
        <v>4.9352097386952103</v>
      </c>
      <c r="X101" s="51">
        <v>5.2020801564600196</v>
      </c>
      <c r="Y101" s="51">
        <v>5.5221458753795796</v>
      </c>
      <c r="Z101" s="51">
        <v>5.1082438418893004</v>
      </c>
      <c r="AA101" s="51">
        <v>5.4526787235868497</v>
      </c>
      <c r="AB101" s="51">
        <v>5.7621482870877001</v>
      </c>
      <c r="AC101" s="51">
        <v>4.5857205426265004</v>
      </c>
      <c r="AD101" s="51">
        <v>5.0249153865843699</v>
      </c>
      <c r="AE101" s="201">
        <v>5.4149606399341597</v>
      </c>
      <c r="AF101" s="51">
        <v>0</v>
      </c>
      <c r="AG101" s="51">
        <v>0</v>
      </c>
      <c r="AH101" s="51">
        <v>0</v>
      </c>
      <c r="AI101" s="51">
        <v>0</v>
      </c>
      <c r="AJ101" s="51">
        <v>0</v>
      </c>
      <c r="AK101" s="51">
        <v>0</v>
      </c>
      <c r="AL101" s="51">
        <v>0</v>
      </c>
      <c r="AM101" s="51">
        <v>0</v>
      </c>
      <c r="AN101" s="51">
        <v>0</v>
      </c>
      <c r="AO101" s="51">
        <v>0</v>
      </c>
      <c r="AP101" s="51">
        <v>0</v>
      </c>
      <c r="AQ101" s="51">
        <v>0</v>
      </c>
      <c r="AR101" s="51">
        <v>0</v>
      </c>
      <c r="AS101" s="51">
        <v>0</v>
      </c>
      <c r="AT101" s="201">
        <v>0</v>
      </c>
      <c r="AU101" s="51">
        <v>47.755417274274897</v>
      </c>
      <c r="AV101" s="51">
        <v>72.1088507291567</v>
      </c>
      <c r="AW101" s="51">
        <v>102.50123533534</v>
      </c>
      <c r="AX101" s="51">
        <v>51.372519258616897</v>
      </c>
      <c r="AY101" s="51">
        <v>75.215738332258297</v>
      </c>
      <c r="AZ101" s="51">
        <v>105.14906844513099</v>
      </c>
      <c r="BA101" s="51">
        <v>9.7998987592010192</v>
      </c>
      <c r="BB101" s="51">
        <v>16.2845138032446</v>
      </c>
      <c r="BC101" s="51">
        <v>25.163133016697699</v>
      </c>
      <c r="BD101" s="51">
        <v>46.589539915928498</v>
      </c>
      <c r="BE101" s="51">
        <v>63.879198940116297</v>
      </c>
      <c r="BF101" s="51">
        <v>84.222534436215099</v>
      </c>
      <c r="BG101" s="51">
        <v>12.588174465306601</v>
      </c>
      <c r="BH101" s="51">
        <v>25.3800333266196</v>
      </c>
      <c r="BI101" s="201">
        <v>43.968102009296899</v>
      </c>
      <c r="BJ101" s="51">
        <v>0.17303063783886499</v>
      </c>
      <c r="BK101" s="51">
        <v>0.17576832522184099</v>
      </c>
      <c r="BL101" s="51">
        <v>0.17870064519516499</v>
      </c>
      <c r="BM101" s="51">
        <v>0.17300709059705899</v>
      </c>
      <c r="BN101" s="51">
        <v>0.175811821154579</v>
      </c>
      <c r="BO101" s="51">
        <v>0.17871201189133101</v>
      </c>
      <c r="BP101" s="51">
        <v>0.17303466533501699</v>
      </c>
      <c r="BQ101" s="51">
        <v>0.17581949557585899</v>
      </c>
      <c r="BR101" s="51">
        <v>0.178718385484394</v>
      </c>
      <c r="BS101" s="51">
        <v>0.17298816850302401</v>
      </c>
      <c r="BT101" s="51">
        <v>0.17575650232055301</v>
      </c>
      <c r="BU101" s="51">
        <v>0.17869183674960501</v>
      </c>
      <c r="BV101" s="51">
        <v>0.173002592589131</v>
      </c>
      <c r="BW101" s="51">
        <v>0.175786157892628</v>
      </c>
      <c r="BX101" s="201">
        <v>0.17869992776386101</v>
      </c>
      <c r="BY101" s="51">
        <v>0</v>
      </c>
      <c r="BZ101" s="51">
        <v>0</v>
      </c>
      <c r="CA101" s="51">
        <v>0</v>
      </c>
      <c r="CB101" s="51">
        <v>0</v>
      </c>
      <c r="CC101" s="51">
        <v>0</v>
      </c>
      <c r="CD101" s="51">
        <v>0</v>
      </c>
      <c r="CE101" s="51">
        <v>0</v>
      </c>
      <c r="CF101" s="51">
        <v>0</v>
      </c>
      <c r="CG101" s="51">
        <v>0</v>
      </c>
      <c r="CH101" s="51">
        <v>0</v>
      </c>
      <c r="CI101" s="51">
        <v>0</v>
      </c>
      <c r="CJ101" s="51">
        <v>0</v>
      </c>
      <c r="CK101" s="51">
        <v>0</v>
      </c>
      <c r="CL101" s="51">
        <v>0</v>
      </c>
      <c r="CM101" s="201">
        <v>0</v>
      </c>
    </row>
    <row r="102" spans="1:91" x14ac:dyDescent="0.2">
      <c r="A102" s="205">
        <v>18090208</v>
      </c>
      <c r="B102" s="51">
        <v>6.5614818646791404</v>
      </c>
      <c r="C102" s="51">
        <v>6.6064600638608697</v>
      </c>
      <c r="D102" s="51">
        <v>6.64729737042052</v>
      </c>
      <c r="E102" s="51">
        <v>6.5617686678108598</v>
      </c>
      <c r="F102" s="51">
        <v>6.60762454334448</v>
      </c>
      <c r="G102" s="51">
        <v>6.6481657762938404</v>
      </c>
      <c r="H102" s="51">
        <v>6.5634492261902802</v>
      </c>
      <c r="I102" s="51">
        <v>6.6078814509176</v>
      </c>
      <c r="J102" s="51">
        <v>6.6476832187927197</v>
      </c>
      <c r="K102" s="51">
        <v>6.5627731084916903</v>
      </c>
      <c r="L102" s="51">
        <v>6.6078243890727197</v>
      </c>
      <c r="M102" s="51">
        <v>6.6482743910673703</v>
      </c>
      <c r="N102" s="51">
        <v>6.5625231220748601</v>
      </c>
      <c r="O102" s="51">
        <v>6.6084337343039499</v>
      </c>
      <c r="P102" s="201">
        <v>6.6485641612856696</v>
      </c>
      <c r="Q102" s="51">
        <v>346.60908567139097</v>
      </c>
      <c r="R102" s="51">
        <v>374.157642747848</v>
      </c>
      <c r="S102" s="51">
        <v>402.35586972394702</v>
      </c>
      <c r="T102" s="51">
        <v>352.136619233864</v>
      </c>
      <c r="U102" s="51">
        <v>383.922069962671</v>
      </c>
      <c r="V102" s="51">
        <v>410.439671438441</v>
      </c>
      <c r="W102" s="51">
        <v>299.67679299176501</v>
      </c>
      <c r="X102" s="51">
        <v>325.550495114451</v>
      </c>
      <c r="Y102" s="51">
        <v>354.42408251466298</v>
      </c>
      <c r="Z102" s="51">
        <v>310.39162148483098</v>
      </c>
      <c r="AA102" s="51">
        <v>328.152089709118</v>
      </c>
      <c r="AB102" s="51">
        <v>346.16229394095302</v>
      </c>
      <c r="AC102" s="51">
        <v>309.347100217356</v>
      </c>
      <c r="AD102" s="51">
        <v>335.40301700699303</v>
      </c>
      <c r="AE102" s="201">
        <v>357.86164492680501</v>
      </c>
      <c r="AF102" s="51">
        <v>0</v>
      </c>
      <c r="AG102" s="51">
        <v>0</v>
      </c>
      <c r="AH102" s="51">
        <v>0</v>
      </c>
      <c r="AI102" s="51">
        <v>0</v>
      </c>
      <c r="AJ102" s="51">
        <v>0</v>
      </c>
      <c r="AK102" s="51">
        <v>0</v>
      </c>
      <c r="AL102" s="51">
        <v>0</v>
      </c>
      <c r="AM102" s="51">
        <v>0</v>
      </c>
      <c r="AN102" s="51">
        <v>0</v>
      </c>
      <c r="AO102" s="51">
        <v>0</v>
      </c>
      <c r="AP102" s="51">
        <v>0</v>
      </c>
      <c r="AQ102" s="51">
        <v>0</v>
      </c>
      <c r="AR102" s="51">
        <v>0</v>
      </c>
      <c r="AS102" s="51">
        <v>0</v>
      </c>
      <c r="AT102" s="201">
        <v>0</v>
      </c>
      <c r="AU102" s="51">
        <v>433.39078261752201</v>
      </c>
      <c r="AV102" s="51">
        <v>724.74798365681795</v>
      </c>
      <c r="AW102" s="51">
        <v>1151.5487723179599</v>
      </c>
      <c r="AX102" s="51">
        <v>1068.1449193185199</v>
      </c>
      <c r="AY102" s="51">
        <v>1701.5232305765101</v>
      </c>
      <c r="AZ102" s="51">
        <v>2438.0644049499901</v>
      </c>
      <c r="BA102" s="51">
        <v>131.843131994614</v>
      </c>
      <c r="BB102" s="51">
        <v>222.88305306694701</v>
      </c>
      <c r="BC102" s="51">
        <v>336.09809829027199</v>
      </c>
      <c r="BD102" s="51">
        <v>608.52749448251495</v>
      </c>
      <c r="BE102" s="51">
        <v>1016.65062910145</v>
      </c>
      <c r="BF102" s="51">
        <v>1620.3176852267</v>
      </c>
      <c r="BG102" s="51">
        <v>187.10579188124501</v>
      </c>
      <c r="BH102" s="51">
        <v>336.45898404074097</v>
      </c>
      <c r="BI102" s="201">
        <v>526.64090066653296</v>
      </c>
      <c r="BJ102" s="51">
        <v>4.47074444610986</v>
      </c>
      <c r="BK102" s="51">
        <v>4.6275451037180302</v>
      </c>
      <c r="BL102" s="51">
        <v>4.79721897643023</v>
      </c>
      <c r="BM102" s="51">
        <v>4.4708566046976603</v>
      </c>
      <c r="BN102" s="51">
        <v>4.6269605657007702</v>
      </c>
      <c r="BO102" s="51">
        <v>4.7928823018780298</v>
      </c>
      <c r="BP102" s="51">
        <v>4.4746343614299802</v>
      </c>
      <c r="BQ102" s="51">
        <v>4.6272846980638001</v>
      </c>
      <c r="BR102" s="51">
        <v>4.7939567835048802</v>
      </c>
      <c r="BS102" s="51">
        <v>4.4708518223545504</v>
      </c>
      <c r="BT102" s="51">
        <v>4.6256035415011896</v>
      </c>
      <c r="BU102" s="51">
        <v>4.7923983042006801</v>
      </c>
      <c r="BV102" s="51">
        <v>4.4712487547370197</v>
      </c>
      <c r="BW102" s="51">
        <v>4.6286852453443004</v>
      </c>
      <c r="BX102" s="201">
        <v>4.7935876105415103</v>
      </c>
      <c r="BY102" s="51">
        <v>3.7559555231416701</v>
      </c>
      <c r="BZ102" s="51">
        <v>4.13630516462631</v>
      </c>
      <c r="CA102" s="51">
        <v>4.5668942396065102</v>
      </c>
      <c r="CB102" s="51">
        <v>3.2585421822346099</v>
      </c>
      <c r="CC102" s="51">
        <v>3.4152815555324501</v>
      </c>
      <c r="CD102" s="51">
        <v>3.57479218368396</v>
      </c>
      <c r="CE102" s="51">
        <v>3.88203871598011</v>
      </c>
      <c r="CF102" s="51">
        <v>4.4405864837294997</v>
      </c>
      <c r="CG102" s="51">
        <v>5.0807769004792096</v>
      </c>
      <c r="CH102" s="51">
        <v>3.5324105056674</v>
      </c>
      <c r="CI102" s="51">
        <v>3.89906566977541</v>
      </c>
      <c r="CJ102" s="51">
        <v>4.2664783447172301</v>
      </c>
      <c r="CK102" s="51">
        <v>3.7514097724383699</v>
      </c>
      <c r="CL102" s="51">
        <v>4.1358575847882397</v>
      </c>
      <c r="CM102" s="201">
        <v>4.5753391082556201</v>
      </c>
    </row>
    <row r="103" spans="1:91" x14ac:dyDescent="0.2">
      <c r="A103" s="205">
        <v>16060003</v>
      </c>
      <c r="B103" s="51">
        <v>4.6259184341726101E-2</v>
      </c>
      <c r="C103" s="51">
        <v>4.7383616257662603E-2</v>
      </c>
      <c r="D103" s="51">
        <v>4.8292890024039699E-2</v>
      </c>
      <c r="E103" s="51">
        <v>4.6271502107639903E-2</v>
      </c>
      <c r="F103" s="51">
        <v>4.73889615199573E-2</v>
      </c>
      <c r="G103" s="51">
        <v>4.8310584108003297E-2</v>
      </c>
      <c r="H103" s="51">
        <v>4.6264761108859298E-2</v>
      </c>
      <c r="I103" s="51">
        <v>4.7417392894432801E-2</v>
      </c>
      <c r="J103" s="51">
        <v>4.83005014454378E-2</v>
      </c>
      <c r="K103" s="51">
        <v>4.6273519185933101E-2</v>
      </c>
      <c r="L103" s="51">
        <v>4.7408024466804803E-2</v>
      </c>
      <c r="M103" s="51">
        <v>4.8310652188477202E-2</v>
      </c>
      <c r="N103" s="51">
        <v>4.6256374736512E-2</v>
      </c>
      <c r="O103" s="51">
        <v>4.7389182976638099E-2</v>
      </c>
      <c r="P103" s="201">
        <v>4.8295569319425198E-2</v>
      </c>
      <c r="Q103" s="51">
        <v>3.8171331778170998</v>
      </c>
      <c r="R103" s="51">
        <v>4.0400591474604397</v>
      </c>
      <c r="S103" s="51">
        <v>4.2705930388256101</v>
      </c>
      <c r="T103" s="51">
        <v>3.8537536426934902</v>
      </c>
      <c r="U103" s="51">
        <v>4.0485997581574704</v>
      </c>
      <c r="V103" s="51">
        <v>4.2664576059050301</v>
      </c>
      <c r="W103" s="51">
        <v>3.4380008259607999</v>
      </c>
      <c r="X103" s="51">
        <v>3.6216081882684499</v>
      </c>
      <c r="Y103" s="51">
        <v>3.8364140211789302</v>
      </c>
      <c r="Z103" s="51">
        <v>3.5672358528308798</v>
      </c>
      <c r="AA103" s="51">
        <v>3.7949321695521299</v>
      </c>
      <c r="AB103" s="51">
        <v>3.9977179762328401</v>
      </c>
      <c r="AC103" s="51">
        <v>3.18836851397446</v>
      </c>
      <c r="AD103" s="51">
        <v>3.4860988887703299</v>
      </c>
      <c r="AE103" s="201">
        <v>3.7510617524228098</v>
      </c>
      <c r="AF103" s="51">
        <v>0</v>
      </c>
      <c r="AG103" s="51">
        <v>0</v>
      </c>
      <c r="AH103" s="51">
        <v>0</v>
      </c>
      <c r="AI103" s="51">
        <v>0</v>
      </c>
      <c r="AJ103" s="51">
        <v>0</v>
      </c>
      <c r="AK103" s="51">
        <v>0</v>
      </c>
      <c r="AL103" s="51">
        <v>0</v>
      </c>
      <c r="AM103" s="51">
        <v>0</v>
      </c>
      <c r="AN103" s="51">
        <v>0</v>
      </c>
      <c r="AO103" s="51">
        <v>0</v>
      </c>
      <c r="AP103" s="51">
        <v>0</v>
      </c>
      <c r="AQ103" s="51">
        <v>0</v>
      </c>
      <c r="AR103" s="51">
        <v>0</v>
      </c>
      <c r="AS103" s="51">
        <v>0</v>
      </c>
      <c r="AT103" s="201">
        <v>0</v>
      </c>
      <c r="AU103" s="51">
        <v>34.044079551190499</v>
      </c>
      <c r="AV103" s="51">
        <v>51.828645944104601</v>
      </c>
      <c r="AW103" s="51">
        <v>72.784935860382106</v>
      </c>
      <c r="AX103" s="51">
        <v>37.919190670955899</v>
      </c>
      <c r="AY103" s="51">
        <v>55.960292082664502</v>
      </c>
      <c r="AZ103" s="51">
        <v>79.017562339229301</v>
      </c>
      <c r="BA103" s="51">
        <v>7.3482921489783299</v>
      </c>
      <c r="BB103" s="51">
        <v>12.0422967910831</v>
      </c>
      <c r="BC103" s="51">
        <v>18.163380454304001</v>
      </c>
      <c r="BD103" s="51">
        <v>33.845869224299101</v>
      </c>
      <c r="BE103" s="51">
        <v>46.305218260459597</v>
      </c>
      <c r="BF103" s="51">
        <v>60.176913891051498</v>
      </c>
      <c r="BG103" s="51">
        <v>9.3027085520812403</v>
      </c>
      <c r="BH103" s="51">
        <v>19.001851188740702</v>
      </c>
      <c r="BI103" s="201">
        <v>32.683398346845898</v>
      </c>
      <c r="BJ103" s="51">
        <v>0.121924714787598</v>
      </c>
      <c r="BK103" s="51">
        <v>0.12388538610458801</v>
      </c>
      <c r="BL103" s="51">
        <v>0.12589512001021</v>
      </c>
      <c r="BM103" s="51">
        <v>0.121899343106994</v>
      </c>
      <c r="BN103" s="51">
        <v>0.123856739472261</v>
      </c>
      <c r="BO103" s="51">
        <v>0.12595022392518099</v>
      </c>
      <c r="BP103" s="51">
        <v>0.121931111872093</v>
      </c>
      <c r="BQ103" s="51">
        <v>0.123882375886844</v>
      </c>
      <c r="BR103" s="51">
        <v>0.12588309448714</v>
      </c>
      <c r="BS103" s="51">
        <v>0.121926315204773</v>
      </c>
      <c r="BT103" s="51">
        <v>0.123888044740494</v>
      </c>
      <c r="BU103" s="51">
        <v>0.125931256157194</v>
      </c>
      <c r="BV103" s="51">
        <v>0.121955346825071</v>
      </c>
      <c r="BW103" s="51">
        <v>0.123907182752758</v>
      </c>
      <c r="BX103" s="201">
        <v>0.12596750506604501</v>
      </c>
      <c r="BY103" s="51">
        <v>0</v>
      </c>
      <c r="BZ103" s="51">
        <v>0</v>
      </c>
      <c r="CA103" s="51">
        <v>0</v>
      </c>
      <c r="CB103" s="51">
        <v>0</v>
      </c>
      <c r="CC103" s="51">
        <v>0</v>
      </c>
      <c r="CD103" s="51">
        <v>0</v>
      </c>
      <c r="CE103" s="51">
        <v>0</v>
      </c>
      <c r="CF103" s="51">
        <v>0</v>
      </c>
      <c r="CG103" s="51">
        <v>0</v>
      </c>
      <c r="CH103" s="51">
        <v>0</v>
      </c>
      <c r="CI103" s="51">
        <v>0</v>
      </c>
      <c r="CJ103" s="51">
        <v>0</v>
      </c>
      <c r="CK103" s="51">
        <v>0</v>
      </c>
      <c r="CL103" s="51">
        <v>0</v>
      </c>
      <c r="CM103" s="201">
        <v>0</v>
      </c>
    </row>
    <row r="104" spans="1:91" x14ac:dyDescent="0.2">
      <c r="A104" s="205">
        <v>3050105</v>
      </c>
      <c r="B104" s="51">
        <v>39.708673558928197</v>
      </c>
      <c r="C104" s="51">
        <v>40.659656474310701</v>
      </c>
      <c r="D104" s="51">
        <v>41.446328828105599</v>
      </c>
      <c r="E104" s="51">
        <v>39.720984469191102</v>
      </c>
      <c r="F104" s="51">
        <v>40.692118133081699</v>
      </c>
      <c r="G104" s="51">
        <v>41.467541445729303</v>
      </c>
      <c r="H104" s="51">
        <v>39.711804412479601</v>
      </c>
      <c r="I104" s="51">
        <v>40.685581700801499</v>
      </c>
      <c r="J104" s="51">
        <v>41.456730361241</v>
      </c>
      <c r="K104" s="51">
        <v>39.699524859193502</v>
      </c>
      <c r="L104" s="51">
        <v>40.683063027260097</v>
      </c>
      <c r="M104" s="51">
        <v>41.462436284131599</v>
      </c>
      <c r="N104" s="51">
        <v>39.726318927664899</v>
      </c>
      <c r="O104" s="51">
        <v>40.683362233763098</v>
      </c>
      <c r="P104" s="201">
        <v>41.452979936755</v>
      </c>
      <c r="Q104" s="51">
        <v>10.204802285567901</v>
      </c>
      <c r="R104" s="51">
        <v>11.344329652248</v>
      </c>
      <c r="S104" s="51">
        <v>12.553566195096501</v>
      </c>
      <c r="T104" s="51">
        <v>12.6640527759346</v>
      </c>
      <c r="U104" s="51">
        <v>14.137107622659601</v>
      </c>
      <c r="V104" s="51">
        <v>16.010631385059298</v>
      </c>
      <c r="W104" s="51">
        <v>9.6789633237074604</v>
      </c>
      <c r="X104" s="51">
        <v>10.630470158420099</v>
      </c>
      <c r="Y104" s="51">
        <v>11.413864712011</v>
      </c>
      <c r="Z104" s="51">
        <v>10.2551873992105</v>
      </c>
      <c r="AA104" s="51">
        <v>11.042231282360101</v>
      </c>
      <c r="AB104" s="51">
        <v>11.813602670239201</v>
      </c>
      <c r="AC104" s="51">
        <v>10.924675349942699</v>
      </c>
      <c r="AD104" s="51">
        <v>11.6566462667165</v>
      </c>
      <c r="AE104" s="201">
        <v>12.4461987684445</v>
      </c>
      <c r="AF104" s="51">
        <v>2.3320345643801401</v>
      </c>
      <c r="AG104" s="51">
        <v>2.3571144846909702</v>
      </c>
      <c r="AH104" s="51">
        <v>2.3886338215018998</v>
      </c>
      <c r="AI104" s="51">
        <v>2.3324867973421299</v>
      </c>
      <c r="AJ104" s="51">
        <v>2.35814352128522</v>
      </c>
      <c r="AK104" s="51">
        <v>2.3886409302242502</v>
      </c>
      <c r="AL104" s="51">
        <v>2.3321772261497702</v>
      </c>
      <c r="AM104" s="51">
        <v>2.3577140738418398</v>
      </c>
      <c r="AN104" s="51">
        <v>2.38809748204199</v>
      </c>
      <c r="AO104" s="51">
        <v>2.3322631903633702</v>
      </c>
      <c r="AP104" s="51">
        <v>2.3576180492239298</v>
      </c>
      <c r="AQ104" s="51">
        <v>2.3880276404927101</v>
      </c>
      <c r="AR104" s="51">
        <v>2.33187011281177</v>
      </c>
      <c r="AS104" s="51">
        <v>2.3579296796709501</v>
      </c>
      <c r="AT104" s="201">
        <v>2.3886778311797601</v>
      </c>
      <c r="AU104" s="51">
        <v>3.2152667158713699</v>
      </c>
      <c r="AV104" s="51">
        <v>4.5162442787889701</v>
      </c>
      <c r="AW104" s="51">
        <v>6.4471836912944802</v>
      </c>
      <c r="AX104" s="51">
        <v>6.0148612039132896</v>
      </c>
      <c r="AY104" s="51">
        <v>10.845172028896</v>
      </c>
      <c r="AZ104" s="51">
        <v>18.473042656860201</v>
      </c>
      <c r="BA104" s="51">
        <v>3.0165565893546198</v>
      </c>
      <c r="BB104" s="51">
        <v>3.78149744496617</v>
      </c>
      <c r="BC104" s="51">
        <v>4.6232609032260301</v>
      </c>
      <c r="BD104" s="51">
        <v>2.9909356156235201</v>
      </c>
      <c r="BE104" s="51">
        <v>3.7300545334777602</v>
      </c>
      <c r="BF104" s="51">
        <v>4.51808893904062</v>
      </c>
      <c r="BG104" s="51">
        <v>4.5107842908368596</v>
      </c>
      <c r="BH104" s="51">
        <v>5.4621460630937104</v>
      </c>
      <c r="BI104" s="201">
        <v>6.6428328205683096</v>
      </c>
      <c r="BJ104" s="51">
        <v>0.19631220904622801</v>
      </c>
      <c r="BK104" s="51">
        <v>0.19876655586612799</v>
      </c>
      <c r="BL104" s="51">
        <v>0.20114278735440599</v>
      </c>
      <c r="BM104" s="51">
        <v>0.19628745931467501</v>
      </c>
      <c r="BN104" s="51">
        <v>0.19874296337056199</v>
      </c>
      <c r="BO104" s="51">
        <v>0.20113249231101199</v>
      </c>
      <c r="BP104" s="51">
        <v>0.19635240614756</v>
      </c>
      <c r="BQ104" s="51">
        <v>0.19874171872328</v>
      </c>
      <c r="BR104" s="51">
        <v>0.20117599652125701</v>
      </c>
      <c r="BS104" s="51">
        <v>0.196321764153843</v>
      </c>
      <c r="BT104" s="51">
        <v>0.198744391753024</v>
      </c>
      <c r="BU104" s="51">
        <v>0.201155680137976</v>
      </c>
      <c r="BV104" s="51">
        <v>0.19630590751034499</v>
      </c>
      <c r="BW104" s="51">
        <v>0.19877580703086001</v>
      </c>
      <c r="BX104" s="201">
        <v>0.20115564274911499</v>
      </c>
      <c r="BY104" s="51">
        <v>3.7081761788943002</v>
      </c>
      <c r="BZ104" s="51">
        <v>4.1281146444849002</v>
      </c>
      <c r="CA104" s="51">
        <v>4.6160197914964396</v>
      </c>
      <c r="CB104" s="51">
        <v>3.1545241974561198</v>
      </c>
      <c r="CC104" s="51">
        <v>3.30753089598146</v>
      </c>
      <c r="CD104" s="51">
        <v>3.4636060803300501</v>
      </c>
      <c r="CE104" s="51">
        <v>3.59561415728245</v>
      </c>
      <c r="CF104" s="51">
        <v>4.1463227112866203</v>
      </c>
      <c r="CG104" s="51">
        <v>4.7611791073039802</v>
      </c>
      <c r="CH104" s="51">
        <v>3.5608961488739301</v>
      </c>
      <c r="CI104" s="51">
        <v>3.92851908826148</v>
      </c>
      <c r="CJ104" s="51">
        <v>4.4235188310074696</v>
      </c>
      <c r="CK104" s="51">
        <v>3.70916558999857</v>
      </c>
      <c r="CL104" s="51">
        <v>4.1358073082630602</v>
      </c>
      <c r="CM104" s="201">
        <v>4.6257543437816997</v>
      </c>
    </row>
    <row r="105" spans="1:91" x14ac:dyDescent="0.2">
      <c r="A105" s="205">
        <v>16040201</v>
      </c>
      <c r="B105" s="51">
        <v>0</v>
      </c>
      <c r="C105" s="51">
        <v>0</v>
      </c>
      <c r="D105" s="51">
        <v>0</v>
      </c>
      <c r="E105" s="51">
        <v>0</v>
      </c>
      <c r="F105" s="51">
        <v>0</v>
      </c>
      <c r="G105" s="51">
        <v>0</v>
      </c>
      <c r="H105" s="51">
        <v>0</v>
      </c>
      <c r="I105" s="51">
        <v>0</v>
      </c>
      <c r="J105" s="51">
        <v>0</v>
      </c>
      <c r="K105" s="51">
        <v>0</v>
      </c>
      <c r="L105" s="51">
        <v>0</v>
      </c>
      <c r="M105" s="51">
        <v>0</v>
      </c>
      <c r="N105" s="51">
        <v>0</v>
      </c>
      <c r="O105" s="51">
        <v>0</v>
      </c>
      <c r="P105" s="201">
        <v>0</v>
      </c>
      <c r="Q105" s="51">
        <v>2.5069766112712499</v>
      </c>
      <c r="R105" s="51">
        <v>2.6139093059057501</v>
      </c>
      <c r="S105" s="51">
        <v>2.7151860917785799</v>
      </c>
      <c r="T105" s="51">
        <v>2.61431983372028</v>
      </c>
      <c r="U105" s="51">
        <v>2.7099777960317901</v>
      </c>
      <c r="V105" s="51">
        <v>2.82501534871722</v>
      </c>
      <c r="W105" s="51">
        <v>2.38264491233336</v>
      </c>
      <c r="X105" s="51">
        <v>2.5061476895763599</v>
      </c>
      <c r="Y105" s="51">
        <v>2.6156065612264801</v>
      </c>
      <c r="Z105" s="51">
        <v>2.6225350218391599</v>
      </c>
      <c r="AA105" s="51">
        <v>2.7168433986630798</v>
      </c>
      <c r="AB105" s="51">
        <v>2.8137030282555999</v>
      </c>
      <c r="AC105" s="51">
        <v>2.42183135991016</v>
      </c>
      <c r="AD105" s="51">
        <v>2.53081045122088</v>
      </c>
      <c r="AE105" s="201">
        <v>2.6418216792053499</v>
      </c>
      <c r="AF105" s="51">
        <v>0</v>
      </c>
      <c r="AG105" s="51">
        <v>0</v>
      </c>
      <c r="AH105" s="51">
        <v>0</v>
      </c>
      <c r="AI105" s="51">
        <v>0</v>
      </c>
      <c r="AJ105" s="51">
        <v>0</v>
      </c>
      <c r="AK105" s="51">
        <v>0</v>
      </c>
      <c r="AL105" s="51">
        <v>0</v>
      </c>
      <c r="AM105" s="51">
        <v>0</v>
      </c>
      <c r="AN105" s="51">
        <v>0</v>
      </c>
      <c r="AO105" s="51">
        <v>0</v>
      </c>
      <c r="AP105" s="51">
        <v>0</v>
      </c>
      <c r="AQ105" s="51">
        <v>0</v>
      </c>
      <c r="AR105" s="51">
        <v>0</v>
      </c>
      <c r="AS105" s="51">
        <v>0</v>
      </c>
      <c r="AT105" s="201">
        <v>0</v>
      </c>
      <c r="AU105" s="51">
        <v>367.95788546600198</v>
      </c>
      <c r="AV105" s="51">
        <v>504.96362514652498</v>
      </c>
      <c r="AW105" s="51">
        <v>693.35856154472299</v>
      </c>
      <c r="AX105" s="51">
        <v>416.90880568115301</v>
      </c>
      <c r="AY105" s="51">
        <v>565.32599646516906</v>
      </c>
      <c r="AZ105" s="51">
        <v>733.14134160559297</v>
      </c>
      <c r="BA105" s="51">
        <v>167.21518082138601</v>
      </c>
      <c r="BB105" s="51">
        <v>238.16726327432201</v>
      </c>
      <c r="BC105" s="51">
        <v>322.71655809008502</v>
      </c>
      <c r="BD105" s="51">
        <v>389.92303386611599</v>
      </c>
      <c r="BE105" s="51">
        <v>518.75184722893698</v>
      </c>
      <c r="BF105" s="51">
        <v>671.41411344976598</v>
      </c>
      <c r="BG105" s="51">
        <v>267.225908705248</v>
      </c>
      <c r="BH105" s="51">
        <v>366.415028613049</v>
      </c>
      <c r="BI105" s="201">
        <v>480.36154171380298</v>
      </c>
      <c r="BJ105" s="51">
        <v>0.65279483808873295</v>
      </c>
      <c r="BK105" s="51">
        <v>0.66953097485374402</v>
      </c>
      <c r="BL105" s="51">
        <v>0.68708624390829898</v>
      </c>
      <c r="BM105" s="51">
        <v>0.65195826362685305</v>
      </c>
      <c r="BN105" s="51">
        <v>0.66928401249469105</v>
      </c>
      <c r="BO105" s="51">
        <v>0.68731460475091899</v>
      </c>
      <c r="BP105" s="51">
        <v>0.65287093163822296</v>
      </c>
      <c r="BQ105" s="51">
        <v>0.66956703825035602</v>
      </c>
      <c r="BR105" s="51">
        <v>0.68733889696913997</v>
      </c>
      <c r="BS105" s="51">
        <v>0.65268586804455697</v>
      </c>
      <c r="BT105" s="51">
        <v>0.668992394924661</v>
      </c>
      <c r="BU105" s="51">
        <v>0.68728486932236998</v>
      </c>
      <c r="BV105" s="51">
        <v>0.65231988834618804</v>
      </c>
      <c r="BW105" s="51">
        <v>0.66934026747159403</v>
      </c>
      <c r="BX105" s="201">
        <v>0.68711593276792204</v>
      </c>
      <c r="BY105" s="51">
        <v>0.646386252053334</v>
      </c>
      <c r="BZ105" s="51">
        <v>0.68800350944361799</v>
      </c>
      <c r="CA105" s="51">
        <v>0.73268714853678396</v>
      </c>
      <c r="CB105" s="51">
        <v>0.61539218289177999</v>
      </c>
      <c r="CC105" s="51">
        <v>0.64571443693674702</v>
      </c>
      <c r="CD105" s="51">
        <v>0.67558685496986404</v>
      </c>
      <c r="CE105" s="51">
        <v>0.65984716493454298</v>
      </c>
      <c r="CF105" s="51">
        <v>0.71444539773030602</v>
      </c>
      <c r="CG105" s="51">
        <v>0.779072255472682</v>
      </c>
      <c r="CH105" s="51">
        <v>0.63192952793358104</v>
      </c>
      <c r="CI105" s="51">
        <v>0.67241814006019696</v>
      </c>
      <c r="CJ105" s="51">
        <v>0.71649185702293205</v>
      </c>
      <c r="CK105" s="51">
        <v>0.64646843595781001</v>
      </c>
      <c r="CL105" s="51">
        <v>0.68742635383907902</v>
      </c>
      <c r="CM105" s="201">
        <v>0.73201983079726096</v>
      </c>
    </row>
    <row r="106" spans="1:91" x14ac:dyDescent="0.2">
      <c r="A106" s="205">
        <v>14030005</v>
      </c>
      <c r="B106" s="51">
        <v>4.4364882266108303E-2</v>
      </c>
      <c r="C106" s="51">
        <v>4.5334880013243602E-2</v>
      </c>
      <c r="D106" s="51">
        <v>4.6127309471722201E-2</v>
      </c>
      <c r="E106" s="51">
        <v>4.4371832701276002E-2</v>
      </c>
      <c r="F106" s="51">
        <v>4.5352812512613097E-2</v>
      </c>
      <c r="G106" s="51">
        <v>4.6123867861386197E-2</v>
      </c>
      <c r="H106" s="51">
        <v>4.4348388844354797E-2</v>
      </c>
      <c r="I106" s="51">
        <v>4.5339492071937798E-2</v>
      </c>
      <c r="J106" s="51">
        <v>4.6138903016985103E-2</v>
      </c>
      <c r="K106" s="51">
        <v>4.4369082097882803E-2</v>
      </c>
      <c r="L106" s="51">
        <v>4.5347508415777803E-2</v>
      </c>
      <c r="M106" s="51">
        <v>4.61288012130842E-2</v>
      </c>
      <c r="N106" s="51">
        <v>4.4374315568948601E-2</v>
      </c>
      <c r="O106" s="51">
        <v>4.5345803092845201E-2</v>
      </c>
      <c r="P106" s="201">
        <v>4.6117305275498399E-2</v>
      </c>
      <c r="Q106" s="51">
        <v>1.67756647884161</v>
      </c>
      <c r="R106" s="51">
        <v>1.74886026966185</v>
      </c>
      <c r="S106" s="51">
        <v>1.81223450378315</v>
      </c>
      <c r="T106" s="51">
        <v>1.74888020297874</v>
      </c>
      <c r="U106" s="51">
        <v>1.8435327586566399</v>
      </c>
      <c r="V106" s="51">
        <v>1.94909191628945</v>
      </c>
      <c r="W106" s="51">
        <v>1.70925222831475</v>
      </c>
      <c r="X106" s="51">
        <v>1.7828412804348599</v>
      </c>
      <c r="Y106" s="51">
        <v>1.8696447574950901</v>
      </c>
      <c r="Z106" s="51">
        <v>1.70524583036085</v>
      </c>
      <c r="AA106" s="51">
        <v>1.7757996075865701</v>
      </c>
      <c r="AB106" s="51">
        <v>1.83961983345971</v>
      </c>
      <c r="AC106" s="51">
        <v>1.5932055151093201</v>
      </c>
      <c r="AD106" s="51">
        <v>1.69611791002622</v>
      </c>
      <c r="AE106" s="201">
        <v>1.80532338387118</v>
      </c>
      <c r="AF106" s="51">
        <v>4.4283115779913E-2</v>
      </c>
      <c r="AG106" s="51">
        <v>4.5167768984652801E-2</v>
      </c>
      <c r="AH106" s="51">
        <v>4.62081115881562E-2</v>
      </c>
      <c r="AI106" s="51">
        <v>4.4251331963565302E-2</v>
      </c>
      <c r="AJ106" s="51">
        <v>4.5147267858333402E-2</v>
      </c>
      <c r="AK106" s="51">
        <v>4.6205277058551597E-2</v>
      </c>
      <c r="AL106" s="51">
        <v>4.4274961890656099E-2</v>
      </c>
      <c r="AM106" s="51">
        <v>4.5185327520287297E-2</v>
      </c>
      <c r="AN106" s="51">
        <v>4.6200654744783E-2</v>
      </c>
      <c r="AO106" s="51">
        <v>4.4286584556278402E-2</v>
      </c>
      <c r="AP106" s="51">
        <v>4.5174849164790802E-2</v>
      </c>
      <c r="AQ106" s="51">
        <v>4.6211190386796497E-2</v>
      </c>
      <c r="AR106" s="51">
        <v>4.4258659754756298E-2</v>
      </c>
      <c r="AS106" s="51">
        <v>4.5168944297185203E-2</v>
      </c>
      <c r="AT106" s="201">
        <v>4.6200921569923302E-2</v>
      </c>
      <c r="AU106" s="51">
        <v>14.053068423251499</v>
      </c>
      <c r="AV106" s="51">
        <v>18.933692943401201</v>
      </c>
      <c r="AW106" s="51">
        <v>24.803165508976399</v>
      </c>
      <c r="AX106" s="51">
        <v>17.477788561773899</v>
      </c>
      <c r="AY106" s="51">
        <v>24.967340464568501</v>
      </c>
      <c r="AZ106" s="51">
        <v>35.269986214886202</v>
      </c>
      <c r="BA106" s="51">
        <v>14.1026951571927</v>
      </c>
      <c r="BB106" s="51">
        <v>19.517052854021799</v>
      </c>
      <c r="BC106" s="51">
        <v>27.01968735594</v>
      </c>
      <c r="BD106" s="51">
        <v>19.9962604410882</v>
      </c>
      <c r="BE106" s="51">
        <v>25.0386428484505</v>
      </c>
      <c r="BF106" s="51">
        <v>31.0457349698267</v>
      </c>
      <c r="BG106" s="51">
        <v>13.6386803509085</v>
      </c>
      <c r="BH106" s="51">
        <v>21.492075898927698</v>
      </c>
      <c r="BI106" s="201">
        <v>32.197855109978498</v>
      </c>
      <c r="BJ106" s="51">
        <v>8.4900332579818605E-2</v>
      </c>
      <c r="BK106" s="51">
        <v>8.6479415058075104E-2</v>
      </c>
      <c r="BL106" s="51">
        <v>8.8097477621160006E-2</v>
      </c>
      <c r="BM106" s="51">
        <v>8.4958147615658799E-2</v>
      </c>
      <c r="BN106" s="51">
        <v>8.6461711809229694E-2</v>
      </c>
      <c r="BO106" s="51">
        <v>8.8094486580777995E-2</v>
      </c>
      <c r="BP106" s="51">
        <v>8.4898352903970006E-2</v>
      </c>
      <c r="BQ106" s="51">
        <v>8.6458727820384398E-2</v>
      </c>
      <c r="BR106" s="51">
        <v>8.8088803156689904E-2</v>
      </c>
      <c r="BS106" s="51">
        <v>8.4919142355529498E-2</v>
      </c>
      <c r="BT106" s="51">
        <v>8.6449219788007001E-2</v>
      </c>
      <c r="BU106" s="51">
        <v>8.8098675697064102E-2</v>
      </c>
      <c r="BV106" s="51">
        <v>8.4898788228536096E-2</v>
      </c>
      <c r="BW106" s="51">
        <v>8.6451895793961106E-2</v>
      </c>
      <c r="BX106" s="201">
        <v>8.8080852061975703E-2</v>
      </c>
      <c r="BY106" s="51">
        <v>0</v>
      </c>
      <c r="BZ106" s="51">
        <v>0</v>
      </c>
      <c r="CA106" s="51">
        <v>0</v>
      </c>
      <c r="CB106" s="51">
        <v>0</v>
      </c>
      <c r="CC106" s="51">
        <v>0</v>
      </c>
      <c r="CD106" s="51">
        <v>0</v>
      </c>
      <c r="CE106" s="51">
        <v>0</v>
      </c>
      <c r="CF106" s="51">
        <v>0</v>
      </c>
      <c r="CG106" s="51">
        <v>0</v>
      </c>
      <c r="CH106" s="51">
        <v>0</v>
      </c>
      <c r="CI106" s="51">
        <v>0</v>
      </c>
      <c r="CJ106" s="51">
        <v>0</v>
      </c>
      <c r="CK106" s="51">
        <v>0</v>
      </c>
      <c r="CL106" s="51">
        <v>0</v>
      </c>
      <c r="CM106" s="201">
        <v>0</v>
      </c>
    </row>
    <row r="107" spans="1:91" x14ac:dyDescent="0.2">
      <c r="A107" s="205">
        <v>3050102</v>
      </c>
      <c r="B107" s="51">
        <v>1.4300233082761</v>
      </c>
      <c r="C107" s="51">
        <v>1.4790055738171699</v>
      </c>
      <c r="D107" s="51">
        <v>1.52056626029922</v>
      </c>
      <c r="E107" s="51">
        <v>1.4307099814980999</v>
      </c>
      <c r="F107" s="51">
        <v>1.4796118911106699</v>
      </c>
      <c r="G107" s="51">
        <v>1.52111762874428</v>
      </c>
      <c r="H107" s="51">
        <v>1.43017744629369</v>
      </c>
      <c r="I107" s="51">
        <v>1.47942336286473</v>
      </c>
      <c r="J107" s="51">
        <v>1.5212730947408999</v>
      </c>
      <c r="K107" s="51">
        <v>1.4299169017193001</v>
      </c>
      <c r="L107" s="51">
        <v>1.47962110421249</v>
      </c>
      <c r="M107" s="51">
        <v>1.5213002305540799</v>
      </c>
      <c r="N107" s="51">
        <v>1.4304113143422901</v>
      </c>
      <c r="O107" s="51">
        <v>1.47926773440393</v>
      </c>
      <c r="P107" s="201">
        <v>1.5208689310152701</v>
      </c>
      <c r="Q107" s="51">
        <v>6.4671216832463401</v>
      </c>
      <c r="R107" s="51">
        <v>7.4182395652732298</v>
      </c>
      <c r="S107" s="51">
        <v>8.4044977296431291</v>
      </c>
      <c r="T107" s="51">
        <v>8.6236179616333999</v>
      </c>
      <c r="U107" s="51">
        <v>9.7699592808739002</v>
      </c>
      <c r="V107" s="51">
        <v>11.291076580438601</v>
      </c>
      <c r="W107" s="51">
        <v>6.2327583835160603</v>
      </c>
      <c r="X107" s="51">
        <v>6.9906543844247802</v>
      </c>
      <c r="Y107" s="51">
        <v>7.6282732635699704</v>
      </c>
      <c r="Z107" s="51">
        <v>6.5566975451518203</v>
      </c>
      <c r="AA107" s="51">
        <v>7.2028800588705497</v>
      </c>
      <c r="AB107" s="51">
        <v>7.8130281928774004</v>
      </c>
      <c r="AC107" s="51">
        <v>7.2186235517902499</v>
      </c>
      <c r="AD107" s="51">
        <v>7.7888792038349202</v>
      </c>
      <c r="AE107" s="201">
        <v>8.4065770647594196</v>
      </c>
      <c r="AF107" s="51">
        <v>0.119340482166426</v>
      </c>
      <c r="AG107" s="51">
        <v>0.119892302321256</v>
      </c>
      <c r="AH107" s="51">
        <v>0.120643219128787</v>
      </c>
      <c r="AI107" s="51">
        <v>0.11934691446086799</v>
      </c>
      <c r="AJ107" s="51">
        <v>0.119889628759168</v>
      </c>
      <c r="AK107" s="51">
        <v>0.120637037298978</v>
      </c>
      <c r="AL107" s="51">
        <v>0.11934728919519499</v>
      </c>
      <c r="AM107" s="51">
        <v>0.119878243456588</v>
      </c>
      <c r="AN107" s="51">
        <v>0.120636207866558</v>
      </c>
      <c r="AO107" s="51">
        <v>0.119345109101037</v>
      </c>
      <c r="AP107" s="51">
        <v>0.119892294399328</v>
      </c>
      <c r="AQ107" s="51">
        <v>0.12064168361404499</v>
      </c>
      <c r="AR107" s="51">
        <v>0.119349528117769</v>
      </c>
      <c r="AS107" s="51">
        <v>0.119881827109416</v>
      </c>
      <c r="AT107" s="201">
        <v>0.12062638367980801</v>
      </c>
      <c r="AU107" s="51">
        <v>4.1484392177977503</v>
      </c>
      <c r="AV107" s="51">
        <v>5.9167823817424603</v>
      </c>
      <c r="AW107" s="51">
        <v>8.5732798221264908</v>
      </c>
      <c r="AX107" s="51">
        <v>7.9656126996514196</v>
      </c>
      <c r="AY107" s="51">
        <v>14.414992310272901</v>
      </c>
      <c r="AZ107" s="51">
        <v>24.230011402359398</v>
      </c>
      <c r="BA107" s="51">
        <v>4.0790183025794198</v>
      </c>
      <c r="BB107" s="51">
        <v>5.0843485011781802</v>
      </c>
      <c r="BC107" s="51">
        <v>6.22888260804746</v>
      </c>
      <c r="BD107" s="51">
        <v>3.96487741449342</v>
      </c>
      <c r="BE107" s="51">
        <v>4.9278101002821399</v>
      </c>
      <c r="BF107" s="51">
        <v>5.9682719821348504</v>
      </c>
      <c r="BG107" s="51">
        <v>5.7371097085583003</v>
      </c>
      <c r="BH107" s="51">
        <v>7.0712613446282102</v>
      </c>
      <c r="BI107" s="201">
        <v>8.7370675108237599</v>
      </c>
      <c r="BJ107" s="51">
        <v>0.33907897152272698</v>
      </c>
      <c r="BK107" s="51">
        <v>0.34299374995750598</v>
      </c>
      <c r="BL107" s="51">
        <v>0.34684332985841798</v>
      </c>
      <c r="BM107" s="51">
        <v>0.339067654583804</v>
      </c>
      <c r="BN107" s="51">
        <v>0.34302681647863098</v>
      </c>
      <c r="BO107" s="51">
        <v>0.34681816287572997</v>
      </c>
      <c r="BP107" s="51">
        <v>0.33913004500570099</v>
      </c>
      <c r="BQ107" s="51">
        <v>0.34301809303708602</v>
      </c>
      <c r="BR107" s="51">
        <v>0.34693925576789503</v>
      </c>
      <c r="BS107" s="51">
        <v>0.33915103412758602</v>
      </c>
      <c r="BT107" s="51">
        <v>0.34302993929243503</v>
      </c>
      <c r="BU107" s="51">
        <v>0.34681316620570002</v>
      </c>
      <c r="BV107" s="51">
        <v>0.33907790098399498</v>
      </c>
      <c r="BW107" s="51">
        <v>0.34305639823411999</v>
      </c>
      <c r="BX107" s="201">
        <v>0.34683320934005601</v>
      </c>
      <c r="BY107" s="51">
        <v>3.3550048853693699</v>
      </c>
      <c r="BZ107" s="51">
        <v>3.7534885864563701</v>
      </c>
      <c r="CA107" s="51">
        <v>4.2153541491775401</v>
      </c>
      <c r="CB107" s="51">
        <v>2.8522728290627501</v>
      </c>
      <c r="CC107" s="51">
        <v>2.9900158592447998</v>
      </c>
      <c r="CD107" s="51">
        <v>3.1306788472222098</v>
      </c>
      <c r="CE107" s="51">
        <v>3.2702301919568799</v>
      </c>
      <c r="CF107" s="51">
        <v>3.7713317426592101</v>
      </c>
      <c r="CG107" s="51">
        <v>4.35645067493288</v>
      </c>
      <c r="CH107" s="51">
        <v>3.21571626275143</v>
      </c>
      <c r="CI107" s="51">
        <v>3.55117405390736</v>
      </c>
      <c r="CJ107" s="51">
        <v>3.9881226983590898</v>
      </c>
      <c r="CK107" s="51">
        <v>3.36157226104647</v>
      </c>
      <c r="CL107" s="51">
        <v>3.7596328364844802</v>
      </c>
      <c r="CM107" s="201">
        <v>4.2228774006157197</v>
      </c>
    </row>
    <row r="108" spans="1:91" x14ac:dyDescent="0.2">
      <c r="A108" s="205">
        <v>16060010</v>
      </c>
      <c r="B108" s="51">
        <v>11.4345646184931</v>
      </c>
      <c r="C108" s="51">
        <v>11.523992601598801</v>
      </c>
      <c r="D108" s="51">
        <v>11.6034135718033</v>
      </c>
      <c r="E108" s="51">
        <v>11.433100468355301</v>
      </c>
      <c r="F108" s="51">
        <v>11.522750401987301</v>
      </c>
      <c r="G108" s="51">
        <v>11.601002534156001</v>
      </c>
      <c r="H108" s="51">
        <v>11.4318905984995</v>
      </c>
      <c r="I108" s="51">
        <v>11.5243960102027</v>
      </c>
      <c r="J108" s="51">
        <v>11.603325706062201</v>
      </c>
      <c r="K108" s="51">
        <v>11.433746238374299</v>
      </c>
      <c r="L108" s="51">
        <v>11.524882543871399</v>
      </c>
      <c r="M108" s="51">
        <v>11.601766391110299</v>
      </c>
      <c r="N108" s="51">
        <v>11.4326828206356</v>
      </c>
      <c r="O108" s="51">
        <v>11.5249845923402</v>
      </c>
      <c r="P108" s="201">
        <v>11.603780653526099</v>
      </c>
      <c r="Q108" s="51">
        <v>0.82900631278840597</v>
      </c>
      <c r="R108" s="51">
        <v>0.88377903803124902</v>
      </c>
      <c r="S108" s="51">
        <v>0.93246438205816895</v>
      </c>
      <c r="T108" s="51">
        <v>0.82845660475092697</v>
      </c>
      <c r="U108" s="51">
        <v>0.89854989710966604</v>
      </c>
      <c r="V108" s="51">
        <v>0.96174538695045797</v>
      </c>
      <c r="W108" s="51">
        <v>0.68475190621737203</v>
      </c>
      <c r="X108" s="51">
        <v>0.75114261487837697</v>
      </c>
      <c r="Y108" s="51">
        <v>0.807921421976182</v>
      </c>
      <c r="Z108" s="51">
        <v>0.76349815695809298</v>
      </c>
      <c r="AA108" s="51">
        <v>0.80296826372206598</v>
      </c>
      <c r="AB108" s="51">
        <v>0.838316475446787</v>
      </c>
      <c r="AC108" s="51">
        <v>0.66361353017107005</v>
      </c>
      <c r="AD108" s="51">
        <v>0.73273405888228405</v>
      </c>
      <c r="AE108" s="201">
        <v>0.78744346665161702</v>
      </c>
      <c r="AF108" s="51">
        <v>0</v>
      </c>
      <c r="AG108" s="51">
        <v>0</v>
      </c>
      <c r="AH108" s="51">
        <v>0</v>
      </c>
      <c r="AI108" s="51">
        <v>0</v>
      </c>
      <c r="AJ108" s="51">
        <v>0</v>
      </c>
      <c r="AK108" s="51">
        <v>0</v>
      </c>
      <c r="AL108" s="51">
        <v>0</v>
      </c>
      <c r="AM108" s="51">
        <v>0</v>
      </c>
      <c r="AN108" s="51">
        <v>0</v>
      </c>
      <c r="AO108" s="51">
        <v>0</v>
      </c>
      <c r="AP108" s="51">
        <v>0</v>
      </c>
      <c r="AQ108" s="51">
        <v>0</v>
      </c>
      <c r="AR108" s="51">
        <v>0</v>
      </c>
      <c r="AS108" s="51">
        <v>0</v>
      </c>
      <c r="AT108" s="201">
        <v>0</v>
      </c>
      <c r="AU108" s="51">
        <v>28.721398580899201</v>
      </c>
      <c r="AV108" s="51">
        <v>41.930466347158301</v>
      </c>
      <c r="AW108" s="51">
        <v>57.463123370499403</v>
      </c>
      <c r="AX108" s="51">
        <v>41.565689445511197</v>
      </c>
      <c r="AY108" s="51">
        <v>67.545400957929004</v>
      </c>
      <c r="AZ108" s="51">
        <v>97.882721258778702</v>
      </c>
      <c r="BA108" s="51">
        <v>6.8610303773139796</v>
      </c>
      <c r="BB108" s="51">
        <v>11.282803052508299</v>
      </c>
      <c r="BC108" s="51">
        <v>17.045412446932499</v>
      </c>
      <c r="BD108" s="51">
        <v>28.465030686649701</v>
      </c>
      <c r="BE108" s="51">
        <v>39.1949638734907</v>
      </c>
      <c r="BF108" s="51">
        <v>50.505296610079803</v>
      </c>
      <c r="BG108" s="51">
        <v>8.5157111625125701</v>
      </c>
      <c r="BH108" s="51">
        <v>17.079304890881801</v>
      </c>
      <c r="BI108" s="201">
        <v>29.854076061117102</v>
      </c>
      <c r="BJ108" s="51">
        <v>6.1297243097737403E-2</v>
      </c>
      <c r="BK108" s="51">
        <v>6.3159907195862494E-2</v>
      </c>
      <c r="BL108" s="51">
        <v>6.51447023455205E-2</v>
      </c>
      <c r="BM108" s="51">
        <v>6.1282229125449998E-2</v>
      </c>
      <c r="BN108" s="51">
        <v>6.3152874415636398E-2</v>
      </c>
      <c r="BO108" s="51">
        <v>6.5181523601845801E-2</v>
      </c>
      <c r="BP108" s="51">
        <v>6.1319566222171697E-2</v>
      </c>
      <c r="BQ108" s="51">
        <v>6.3194865554931895E-2</v>
      </c>
      <c r="BR108" s="51">
        <v>6.5195604667514201E-2</v>
      </c>
      <c r="BS108" s="51">
        <v>6.1282345646358802E-2</v>
      </c>
      <c r="BT108" s="51">
        <v>6.3175125678449601E-2</v>
      </c>
      <c r="BU108" s="51">
        <v>6.51419064454348E-2</v>
      </c>
      <c r="BV108" s="51">
        <v>6.12684393672095E-2</v>
      </c>
      <c r="BW108" s="51">
        <v>6.3133392639622504E-2</v>
      </c>
      <c r="BX108" s="201">
        <v>6.5141481856056005E-2</v>
      </c>
      <c r="BY108" s="51">
        <v>0</v>
      </c>
      <c r="BZ108" s="51">
        <v>0</v>
      </c>
      <c r="CA108" s="51">
        <v>0</v>
      </c>
      <c r="CB108" s="51">
        <v>0</v>
      </c>
      <c r="CC108" s="51">
        <v>0</v>
      </c>
      <c r="CD108" s="51">
        <v>0</v>
      </c>
      <c r="CE108" s="51">
        <v>0</v>
      </c>
      <c r="CF108" s="51">
        <v>0</v>
      </c>
      <c r="CG108" s="51">
        <v>0</v>
      </c>
      <c r="CH108" s="51">
        <v>0</v>
      </c>
      <c r="CI108" s="51">
        <v>0</v>
      </c>
      <c r="CJ108" s="51">
        <v>0</v>
      </c>
      <c r="CK108" s="51">
        <v>0</v>
      </c>
      <c r="CL108" s="51">
        <v>0</v>
      </c>
      <c r="CM108" s="201">
        <v>0</v>
      </c>
    </row>
    <row r="109" spans="1:91" ht="16" thickBot="1" x14ac:dyDescent="0.25">
      <c r="A109" s="206">
        <v>11140205</v>
      </c>
      <c r="B109" s="203">
        <v>1.0423706637458801</v>
      </c>
      <c r="C109" s="203">
        <v>1.0501505031549601</v>
      </c>
      <c r="D109" s="203">
        <v>1.0569878972215201</v>
      </c>
      <c r="E109" s="203">
        <v>1.04234930968844</v>
      </c>
      <c r="F109" s="203">
        <v>1.0502992969186999</v>
      </c>
      <c r="G109" s="203">
        <v>1.05712151800108</v>
      </c>
      <c r="H109" s="203">
        <v>1.0423480746212599</v>
      </c>
      <c r="I109" s="203">
        <v>1.0501032104282599</v>
      </c>
      <c r="J109" s="203">
        <v>1.0569697315976101</v>
      </c>
      <c r="K109" s="203">
        <v>1.04252238576092</v>
      </c>
      <c r="L109" s="203">
        <v>1.05020327219094</v>
      </c>
      <c r="M109" s="203">
        <v>1.0571895339992401</v>
      </c>
      <c r="N109" s="203">
        <v>1.04233436212231</v>
      </c>
      <c r="O109" s="203">
        <v>1.05010968726529</v>
      </c>
      <c r="P109" s="204">
        <v>1.0569152275906699</v>
      </c>
      <c r="Q109" s="203">
        <v>2.7750859098494698</v>
      </c>
      <c r="R109" s="203">
        <v>3.1012683933986498</v>
      </c>
      <c r="S109" s="203">
        <v>3.4959225056838301</v>
      </c>
      <c r="T109" s="203">
        <v>3.5760585440730601</v>
      </c>
      <c r="U109" s="203">
        <v>3.9331378981754201</v>
      </c>
      <c r="V109" s="203">
        <v>4.3530424297403503</v>
      </c>
      <c r="W109" s="203">
        <v>2.9238892232974698</v>
      </c>
      <c r="X109" s="203">
        <v>3.4990371906795699</v>
      </c>
      <c r="Y109" s="203">
        <v>4.0065517594413098</v>
      </c>
      <c r="Z109" s="203">
        <v>2.5716372140697898</v>
      </c>
      <c r="AA109" s="203">
        <v>2.8733292455326298</v>
      </c>
      <c r="AB109" s="203">
        <v>3.2161998025901299</v>
      </c>
      <c r="AC109" s="203">
        <v>2.9688837715489398</v>
      </c>
      <c r="AD109" s="203">
        <v>3.4341004688017001</v>
      </c>
      <c r="AE109" s="204">
        <v>3.9592205194192398</v>
      </c>
      <c r="AF109" s="203">
        <v>1.26142216288481E-2</v>
      </c>
      <c r="AG109" s="203">
        <v>1.27002243598231E-2</v>
      </c>
      <c r="AH109" s="203">
        <v>1.2829895755343801E-2</v>
      </c>
      <c r="AI109" s="203">
        <v>1.2614711997657501E-2</v>
      </c>
      <c r="AJ109" s="203">
        <v>1.2699741853648701E-2</v>
      </c>
      <c r="AK109" s="203">
        <v>1.2831659746102401E-2</v>
      </c>
      <c r="AL109" s="203">
        <v>1.26139276775643E-2</v>
      </c>
      <c r="AM109" s="203">
        <v>1.2700199556429001E-2</v>
      </c>
      <c r="AN109" s="203">
        <v>1.2833787386389199E-2</v>
      </c>
      <c r="AO109" s="203">
        <v>1.2615688875508801E-2</v>
      </c>
      <c r="AP109" s="203">
        <v>1.2699832229546701E-2</v>
      </c>
      <c r="AQ109" s="203">
        <v>1.2830511138353901E-2</v>
      </c>
      <c r="AR109" s="203">
        <v>1.2616858787693801E-2</v>
      </c>
      <c r="AS109" s="203">
        <v>1.27017851190064E-2</v>
      </c>
      <c r="AT109" s="204">
        <v>1.28314978625967E-2</v>
      </c>
      <c r="AU109" s="203">
        <v>3.2774634919706198</v>
      </c>
      <c r="AV109" s="203">
        <v>4.84447423076523</v>
      </c>
      <c r="AW109" s="203">
        <v>7.0875653247478896</v>
      </c>
      <c r="AX109" s="203">
        <v>7.1707624027636099</v>
      </c>
      <c r="AY109" s="203">
        <v>10.7620075353878</v>
      </c>
      <c r="AZ109" s="203">
        <v>15.5550402141621</v>
      </c>
      <c r="BA109" s="203">
        <v>4.7602610278196602</v>
      </c>
      <c r="BB109" s="203">
        <v>7.6284930644866504</v>
      </c>
      <c r="BC109" s="203">
        <v>10.817772204804401</v>
      </c>
      <c r="BD109" s="203">
        <v>3.11264804281734</v>
      </c>
      <c r="BE109" s="203">
        <v>4.3790046757577796</v>
      </c>
      <c r="BF109" s="203">
        <v>6.1452943158291902</v>
      </c>
      <c r="BG109" s="203">
        <v>5.0568631578166698</v>
      </c>
      <c r="BH109" s="203">
        <v>8.0718592421180109</v>
      </c>
      <c r="BI109" s="204">
        <v>11.8240904246617</v>
      </c>
      <c r="BJ109" s="203">
        <v>0.22927387218071399</v>
      </c>
      <c r="BK109" s="203">
        <v>0.236164901084432</v>
      </c>
      <c r="BL109" s="203">
        <v>0.24379304955133399</v>
      </c>
      <c r="BM109" s="203">
        <v>0.22907722503515601</v>
      </c>
      <c r="BN109" s="203">
        <v>0.236140517873349</v>
      </c>
      <c r="BO109" s="203">
        <v>0.24357617460976999</v>
      </c>
      <c r="BP109" s="203">
        <v>0.22907246325658701</v>
      </c>
      <c r="BQ109" s="203">
        <v>0.236133690454601</v>
      </c>
      <c r="BR109" s="203">
        <v>0.243623093809677</v>
      </c>
      <c r="BS109" s="203">
        <v>0.229008781323292</v>
      </c>
      <c r="BT109" s="203">
        <v>0.236022559450417</v>
      </c>
      <c r="BU109" s="203">
        <v>0.243633747631856</v>
      </c>
      <c r="BV109" s="203">
        <v>0.22918000212152301</v>
      </c>
      <c r="BW109" s="203">
        <v>0.23612041680236201</v>
      </c>
      <c r="BX109" s="204">
        <v>0.243565396574629</v>
      </c>
      <c r="BY109" s="203">
        <v>0.86147183995517695</v>
      </c>
      <c r="BZ109" s="203">
        <v>0.98894037575645499</v>
      </c>
      <c r="CA109" s="203">
        <v>1.1236883603363901</v>
      </c>
      <c r="CB109" s="203">
        <v>0.73533202584143698</v>
      </c>
      <c r="CC109" s="203">
        <v>0.77084039445808195</v>
      </c>
      <c r="CD109" s="203">
        <v>0.80496756262245694</v>
      </c>
      <c r="CE109" s="203">
        <v>0.89876039619037296</v>
      </c>
      <c r="CF109" s="203">
        <v>1.0513013136626399</v>
      </c>
      <c r="CG109" s="203">
        <v>1.26787299241283</v>
      </c>
      <c r="CH109" s="203">
        <v>0.81265775751335401</v>
      </c>
      <c r="CI109" s="203">
        <v>0.89823702716540199</v>
      </c>
      <c r="CJ109" s="203">
        <v>1.0002992382785501</v>
      </c>
      <c r="CK109" s="203">
        <v>0.86115085398195301</v>
      </c>
      <c r="CL109" s="203">
        <v>0.98893925710324304</v>
      </c>
      <c r="CM109" s="204">
        <v>1.12327889468647</v>
      </c>
    </row>
    <row r="111" spans="1:91" ht="16" thickBot="1" x14ac:dyDescent="0.25">
      <c r="A111" s="32" t="s">
        <v>468</v>
      </c>
    </row>
    <row r="112" spans="1:91" ht="16" thickBot="1" x14ac:dyDescent="0.25">
      <c r="A112" s="192" t="s">
        <v>408</v>
      </c>
      <c r="B112" s="471" t="s">
        <v>410</v>
      </c>
      <c r="C112" s="471"/>
      <c r="D112" s="471"/>
      <c r="E112" s="471"/>
      <c r="F112" s="471"/>
      <c r="G112" s="471"/>
      <c r="H112" s="471"/>
      <c r="I112" s="471"/>
      <c r="J112" s="471"/>
      <c r="K112" s="471"/>
      <c r="L112" s="471"/>
      <c r="M112" s="471"/>
      <c r="N112" s="471"/>
      <c r="O112" s="471"/>
      <c r="P112" s="437"/>
      <c r="Q112" s="471" t="s">
        <v>428</v>
      </c>
      <c r="R112" s="471"/>
      <c r="S112" s="471"/>
      <c r="T112" s="471"/>
      <c r="U112" s="471"/>
      <c r="V112" s="471"/>
      <c r="W112" s="471"/>
      <c r="X112" s="471"/>
      <c r="Y112" s="471"/>
      <c r="Z112" s="471"/>
      <c r="AA112" s="471"/>
      <c r="AB112" s="471"/>
      <c r="AC112" s="471"/>
      <c r="AD112" s="471"/>
      <c r="AE112" s="437"/>
      <c r="AF112" s="471" t="s">
        <v>429</v>
      </c>
      <c r="AG112" s="471"/>
      <c r="AH112" s="471"/>
      <c r="AI112" s="471"/>
      <c r="AJ112" s="471"/>
      <c r="AK112" s="471"/>
      <c r="AL112" s="471"/>
      <c r="AM112" s="471"/>
      <c r="AN112" s="471"/>
      <c r="AO112" s="471"/>
      <c r="AP112" s="471"/>
      <c r="AQ112" s="471"/>
      <c r="AR112" s="471"/>
      <c r="AS112" s="471"/>
      <c r="AT112" s="437"/>
      <c r="AU112" s="471" t="s">
        <v>430</v>
      </c>
      <c r="AV112" s="471"/>
      <c r="AW112" s="471"/>
      <c r="AX112" s="471"/>
      <c r="AY112" s="471"/>
      <c r="AZ112" s="471"/>
      <c r="BA112" s="471"/>
      <c r="BB112" s="471"/>
      <c r="BC112" s="471"/>
      <c r="BD112" s="471"/>
      <c r="BE112" s="471"/>
      <c r="BF112" s="471"/>
      <c r="BG112" s="471"/>
      <c r="BH112" s="471"/>
      <c r="BI112" s="437"/>
      <c r="BJ112" s="471" t="s">
        <v>431</v>
      </c>
      <c r="BK112" s="471"/>
      <c r="BL112" s="471"/>
      <c r="BM112" s="471"/>
      <c r="BN112" s="471"/>
      <c r="BO112" s="471"/>
      <c r="BP112" s="471"/>
      <c r="BQ112" s="471"/>
      <c r="BR112" s="471"/>
      <c r="BS112" s="471"/>
      <c r="BT112" s="471"/>
      <c r="BU112" s="471"/>
      <c r="BV112" s="471"/>
      <c r="BW112" s="471"/>
      <c r="BX112" s="437"/>
      <c r="BY112" s="471" t="s">
        <v>432</v>
      </c>
      <c r="BZ112" s="471"/>
      <c r="CA112" s="471"/>
      <c r="CB112" s="471"/>
      <c r="CC112" s="471"/>
      <c r="CD112" s="471"/>
      <c r="CE112" s="471"/>
      <c r="CF112" s="471"/>
      <c r="CG112" s="471"/>
      <c r="CH112" s="471"/>
      <c r="CI112" s="471"/>
      <c r="CJ112" s="471"/>
      <c r="CK112" s="471"/>
      <c r="CL112" s="471"/>
      <c r="CM112" s="437"/>
    </row>
    <row r="113" spans="1:91" ht="16" thickBot="1" x14ac:dyDescent="0.25">
      <c r="A113" s="192" t="s">
        <v>409</v>
      </c>
      <c r="B113" s="471" t="s">
        <v>457</v>
      </c>
      <c r="C113" s="471"/>
      <c r="D113" s="437"/>
      <c r="E113" s="436" t="s">
        <v>458</v>
      </c>
      <c r="F113" s="471"/>
      <c r="G113" s="437"/>
      <c r="H113" s="436" t="s">
        <v>459</v>
      </c>
      <c r="I113" s="471"/>
      <c r="J113" s="437"/>
      <c r="K113" s="436" t="s">
        <v>460</v>
      </c>
      <c r="L113" s="471"/>
      <c r="M113" s="437"/>
      <c r="N113" s="436" t="s">
        <v>461</v>
      </c>
      <c r="O113" s="471"/>
      <c r="P113" s="437"/>
      <c r="Q113" s="471" t="s">
        <v>457</v>
      </c>
      <c r="R113" s="471"/>
      <c r="S113" s="437"/>
      <c r="T113" s="436" t="s">
        <v>458</v>
      </c>
      <c r="U113" s="471"/>
      <c r="V113" s="437"/>
      <c r="W113" s="436" t="s">
        <v>459</v>
      </c>
      <c r="X113" s="471"/>
      <c r="Y113" s="437"/>
      <c r="Z113" s="436" t="s">
        <v>460</v>
      </c>
      <c r="AA113" s="471"/>
      <c r="AB113" s="437"/>
      <c r="AC113" s="436" t="s">
        <v>461</v>
      </c>
      <c r="AD113" s="471"/>
      <c r="AE113" s="437"/>
      <c r="AF113" s="471" t="s">
        <v>457</v>
      </c>
      <c r="AG113" s="471"/>
      <c r="AH113" s="437"/>
      <c r="AI113" s="436" t="s">
        <v>458</v>
      </c>
      <c r="AJ113" s="471"/>
      <c r="AK113" s="437"/>
      <c r="AL113" s="436" t="s">
        <v>459</v>
      </c>
      <c r="AM113" s="471"/>
      <c r="AN113" s="437"/>
      <c r="AO113" s="436" t="s">
        <v>460</v>
      </c>
      <c r="AP113" s="471"/>
      <c r="AQ113" s="437"/>
      <c r="AR113" s="436" t="s">
        <v>461</v>
      </c>
      <c r="AS113" s="471"/>
      <c r="AT113" s="437"/>
      <c r="AU113" s="471" t="s">
        <v>457</v>
      </c>
      <c r="AV113" s="471"/>
      <c r="AW113" s="437"/>
      <c r="AX113" s="436" t="s">
        <v>458</v>
      </c>
      <c r="AY113" s="471"/>
      <c r="AZ113" s="437"/>
      <c r="BA113" s="436" t="s">
        <v>459</v>
      </c>
      <c r="BB113" s="471"/>
      <c r="BC113" s="437"/>
      <c r="BD113" s="436" t="s">
        <v>460</v>
      </c>
      <c r="BE113" s="471"/>
      <c r="BF113" s="437"/>
      <c r="BG113" s="436" t="s">
        <v>461</v>
      </c>
      <c r="BH113" s="471"/>
      <c r="BI113" s="437"/>
      <c r="BJ113" s="471" t="s">
        <v>457</v>
      </c>
      <c r="BK113" s="471"/>
      <c r="BL113" s="437"/>
      <c r="BM113" s="436" t="s">
        <v>458</v>
      </c>
      <c r="BN113" s="471"/>
      <c r="BO113" s="437"/>
      <c r="BP113" s="436" t="s">
        <v>459</v>
      </c>
      <c r="BQ113" s="471"/>
      <c r="BR113" s="437"/>
      <c r="BS113" s="436" t="s">
        <v>460</v>
      </c>
      <c r="BT113" s="471"/>
      <c r="BU113" s="437"/>
      <c r="BV113" s="436" t="s">
        <v>461</v>
      </c>
      <c r="BW113" s="471"/>
      <c r="BX113" s="437"/>
      <c r="BY113" s="471" t="s">
        <v>457</v>
      </c>
      <c r="BZ113" s="471"/>
      <c r="CA113" s="437"/>
      <c r="CB113" s="436" t="s">
        <v>458</v>
      </c>
      <c r="CC113" s="471"/>
      <c r="CD113" s="437"/>
      <c r="CE113" s="436" t="s">
        <v>459</v>
      </c>
      <c r="CF113" s="471"/>
      <c r="CG113" s="437"/>
      <c r="CH113" s="436" t="s">
        <v>460</v>
      </c>
      <c r="CI113" s="471"/>
      <c r="CJ113" s="437"/>
      <c r="CK113" s="436" t="s">
        <v>461</v>
      </c>
      <c r="CL113" s="471"/>
      <c r="CM113" s="437"/>
    </row>
    <row r="114" spans="1:91" ht="16" thickBot="1" x14ac:dyDescent="0.25">
      <c r="A114" s="192" t="s">
        <v>179</v>
      </c>
      <c r="B114" s="195" t="s">
        <v>396</v>
      </c>
      <c r="C114" s="195" t="s">
        <v>397</v>
      </c>
      <c r="D114" s="196" t="s">
        <v>398</v>
      </c>
      <c r="E114" s="194" t="s">
        <v>396</v>
      </c>
      <c r="F114" s="195" t="s">
        <v>397</v>
      </c>
      <c r="G114" s="196" t="s">
        <v>398</v>
      </c>
      <c r="H114" s="194" t="s">
        <v>396</v>
      </c>
      <c r="I114" s="195" t="s">
        <v>397</v>
      </c>
      <c r="J114" s="196" t="s">
        <v>398</v>
      </c>
      <c r="K114" s="194" t="s">
        <v>396</v>
      </c>
      <c r="L114" s="195" t="s">
        <v>397</v>
      </c>
      <c r="M114" s="196" t="s">
        <v>398</v>
      </c>
      <c r="N114" s="194" t="s">
        <v>396</v>
      </c>
      <c r="O114" s="195" t="s">
        <v>397</v>
      </c>
      <c r="P114" s="196" t="s">
        <v>398</v>
      </c>
      <c r="Q114" s="195" t="s">
        <v>396</v>
      </c>
      <c r="R114" s="195" t="s">
        <v>397</v>
      </c>
      <c r="S114" s="196" t="s">
        <v>398</v>
      </c>
      <c r="T114" s="194" t="s">
        <v>396</v>
      </c>
      <c r="U114" s="195" t="s">
        <v>397</v>
      </c>
      <c r="V114" s="196" t="s">
        <v>398</v>
      </c>
      <c r="W114" s="194" t="s">
        <v>396</v>
      </c>
      <c r="X114" s="195" t="s">
        <v>397</v>
      </c>
      <c r="Y114" s="196" t="s">
        <v>398</v>
      </c>
      <c r="Z114" s="194" t="s">
        <v>396</v>
      </c>
      <c r="AA114" s="195" t="s">
        <v>397</v>
      </c>
      <c r="AB114" s="196" t="s">
        <v>398</v>
      </c>
      <c r="AC114" s="194" t="s">
        <v>396</v>
      </c>
      <c r="AD114" s="195" t="s">
        <v>397</v>
      </c>
      <c r="AE114" s="196" t="s">
        <v>398</v>
      </c>
      <c r="AF114" s="195" t="s">
        <v>396</v>
      </c>
      <c r="AG114" s="195" t="s">
        <v>397</v>
      </c>
      <c r="AH114" s="196" t="s">
        <v>398</v>
      </c>
      <c r="AI114" s="194" t="s">
        <v>396</v>
      </c>
      <c r="AJ114" s="195" t="s">
        <v>397</v>
      </c>
      <c r="AK114" s="196" t="s">
        <v>398</v>
      </c>
      <c r="AL114" s="194" t="s">
        <v>396</v>
      </c>
      <c r="AM114" s="195" t="s">
        <v>397</v>
      </c>
      <c r="AN114" s="196" t="s">
        <v>398</v>
      </c>
      <c r="AO114" s="194" t="s">
        <v>396</v>
      </c>
      <c r="AP114" s="195" t="s">
        <v>397</v>
      </c>
      <c r="AQ114" s="196" t="s">
        <v>398</v>
      </c>
      <c r="AR114" s="194" t="s">
        <v>396</v>
      </c>
      <c r="AS114" s="195" t="s">
        <v>397</v>
      </c>
      <c r="AT114" s="196" t="s">
        <v>398</v>
      </c>
      <c r="AU114" s="195" t="s">
        <v>396</v>
      </c>
      <c r="AV114" s="195" t="s">
        <v>397</v>
      </c>
      <c r="AW114" s="196" t="s">
        <v>398</v>
      </c>
      <c r="AX114" s="194" t="s">
        <v>396</v>
      </c>
      <c r="AY114" s="195" t="s">
        <v>397</v>
      </c>
      <c r="AZ114" s="196" t="s">
        <v>398</v>
      </c>
      <c r="BA114" s="194" t="s">
        <v>396</v>
      </c>
      <c r="BB114" s="195" t="s">
        <v>397</v>
      </c>
      <c r="BC114" s="196" t="s">
        <v>398</v>
      </c>
      <c r="BD114" s="194" t="s">
        <v>396</v>
      </c>
      <c r="BE114" s="195" t="s">
        <v>397</v>
      </c>
      <c r="BF114" s="196" t="s">
        <v>398</v>
      </c>
      <c r="BG114" s="194" t="s">
        <v>396</v>
      </c>
      <c r="BH114" s="195" t="s">
        <v>397</v>
      </c>
      <c r="BI114" s="196" t="s">
        <v>398</v>
      </c>
      <c r="BJ114" s="195" t="s">
        <v>396</v>
      </c>
      <c r="BK114" s="195" t="s">
        <v>397</v>
      </c>
      <c r="BL114" s="196" t="s">
        <v>398</v>
      </c>
      <c r="BM114" s="194" t="s">
        <v>396</v>
      </c>
      <c r="BN114" s="195" t="s">
        <v>397</v>
      </c>
      <c r="BO114" s="196" t="s">
        <v>398</v>
      </c>
      <c r="BP114" s="194" t="s">
        <v>396</v>
      </c>
      <c r="BQ114" s="195" t="s">
        <v>397</v>
      </c>
      <c r="BR114" s="196" t="s">
        <v>398</v>
      </c>
      <c r="BS114" s="194" t="s">
        <v>396</v>
      </c>
      <c r="BT114" s="195" t="s">
        <v>397</v>
      </c>
      <c r="BU114" s="196" t="s">
        <v>398</v>
      </c>
      <c r="BV114" s="194" t="s">
        <v>396</v>
      </c>
      <c r="BW114" s="195" t="s">
        <v>397</v>
      </c>
      <c r="BX114" s="196" t="s">
        <v>398</v>
      </c>
      <c r="BY114" s="195" t="s">
        <v>396</v>
      </c>
      <c r="BZ114" s="195" t="s">
        <v>397</v>
      </c>
      <c r="CA114" s="196" t="s">
        <v>398</v>
      </c>
      <c r="CB114" s="194" t="s">
        <v>396</v>
      </c>
      <c r="CC114" s="195" t="s">
        <v>397</v>
      </c>
      <c r="CD114" s="196" t="s">
        <v>398</v>
      </c>
      <c r="CE114" s="194" t="s">
        <v>396</v>
      </c>
      <c r="CF114" s="195" t="s">
        <v>397</v>
      </c>
      <c r="CG114" s="196" t="s">
        <v>398</v>
      </c>
      <c r="CH114" s="194" t="s">
        <v>396</v>
      </c>
      <c r="CI114" s="195" t="s">
        <v>397</v>
      </c>
      <c r="CJ114" s="196" t="s">
        <v>398</v>
      </c>
      <c r="CK114" s="194" t="s">
        <v>396</v>
      </c>
      <c r="CL114" s="195" t="s">
        <v>397</v>
      </c>
      <c r="CM114" s="196" t="s">
        <v>398</v>
      </c>
    </row>
    <row r="115" spans="1:91" x14ac:dyDescent="0.2">
      <c r="A115" s="205">
        <v>16060011</v>
      </c>
      <c r="B115" s="51">
        <v>9.0058970476114705E-2</v>
      </c>
      <c r="C115" s="51">
        <v>9.8957618798938399E-2</v>
      </c>
      <c r="D115" s="51">
        <v>0.107749167312419</v>
      </c>
      <c r="E115" s="51">
        <v>9.0130363665079594E-2</v>
      </c>
      <c r="F115" s="51">
        <v>9.8704248089215393E-2</v>
      </c>
      <c r="G115" s="51">
        <v>0.10730986236003801</v>
      </c>
      <c r="H115" s="51">
        <v>9.0085402111408003E-2</v>
      </c>
      <c r="I115" s="51">
        <v>9.8894372088156393E-2</v>
      </c>
      <c r="J115" s="51">
        <v>0.107722047439506</v>
      </c>
      <c r="K115" s="51">
        <v>9.0022087066689502E-2</v>
      </c>
      <c r="L115" s="51">
        <v>9.8821323688268597E-2</v>
      </c>
      <c r="M115" s="51">
        <v>0.107462179874369</v>
      </c>
      <c r="N115" s="51">
        <v>8.9896954015586006E-2</v>
      </c>
      <c r="O115" s="51">
        <v>9.8676063266265504E-2</v>
      </c>
      <c r="P115" s="201">
        <v>0.10755242692405199</v>
      </c>
      <c r="Q115" s="51">
        <v>7.71137291305992</v>
      </c>
      <c r="R115" s="51">
        <v>8.5525418220533602</v>
      </c>
      <c r="S115" s="51">
        <v>9.6055131290019808</v>
      </c>
      <c r="T115" s="51">
        <v>7.4717061607295197</v>
      </c>
      <c r="U115" s="51">
        <v>8.4452521702654693</v>
      </c>
      <c r="V115" s="51">
        <v>9.5333968497616599</v>
      </c>
      <c r="W115" s="51">
        <v>6.7650100047587101</v>
      </c>
      <c r="X115" s="51">
        <v>7.56213274239607</v>
      </c>
      <c r="Y115" s="51">
        <v>8.4877217209541804</v>
      </c>
      <c r="Z115" s="51">
        <v>6.8267057603459698</v>
      </c>
      <c r="AA115" s="51">
        <v>7.7698801362407002</v>
      </c>
      <c r="AB115" s="51">
        <v>8.6118622153887507</v>
      </c>
      <c r="AC115" s="51">
        <v>6.57162889304188</v>
      </c>
      <c r="AD115" s="51">
        <v>7.3626290206415197</v>
      </c>
      <c r="AE115" s="201">
        <v>8.2652497950564108</v>
      </c>
      <c r="AF115" s="51">
        <v>0</v>
      </c>
      <c r="AG115" s="51">
        <v>0</v>
      </c>
      <c r="AH115" s="51">
        <v>0</v>
      </c>
      <c r="AI115" s="51">
        <v>0</v>
      </c>
      <c r="AJ115" s="51">
        <v>0</v>
      </c>
      <c r="AK115" s="51">
        <v>0</v>
      </c>
      <c r="AL115" s="51">
        <v>0</v>
      </c>
      <c r="AM115" s="51">
        <v>0</v>
      </c>
      <c r="AN115" s="51">
        <v>0</v>
      </c>
      <c r="AO115" s="51">
        <v>0</v>
      </c>
      <c r="AP115" s="51">
        <v>0</v>
      </c>
      <c r="AQ115" s="51">
        <v>0</v>
      </c>
      <c r="AR115" s="51">
        <v>0</v>
      </c>
      <c r="AS115" s="51">
        <v>0</v>
      </c>
      <c r="AT115" s="201">
        <v>0</v>
      </c>
      <c r="AU115" s="51">
        <v>47.401027102432003</v>
      </c>
      <c r="AV115" s="51">
        <v>72.475561381286496</v>
      </c>
      <c r="AW115" s="51">
        <v>103.37710045662401</v>
      </c>
      <c r="AX115" s="51">
        <v>50.5996379206657</v>
      </c>
      <c r="AY115" s="51">
        <v>74.886654999083504</v>
      </c>
      <c r="AZ115" s="51">
        <v>105.81398172578901</v>
      </c>
      <c r="BA115" s="51">
        <v>10.0162367714093</v>
      </c>
      <c r="BB115" s="51">
        <v>16.303922657014098</v>
      </c>
      <c r="BC115" s="51">
        <v>25.045654321936201</v>
      </c>
      <c r="BD115" s="51">
        <v>46.365872038999903</v>
      </c>
      <c r="BE115" s="51">
        <v>63.992772214418999</v>
      </c>
      <c r="BF115" s="51">
        <v>83.946759724161495</v>
      </c>
      <c r="BG115" s="51">
        <v>12.7949984686358</v>
      </c>
      <c r="BH115" s="51">
        <v>25.742341262670202</v>
      </c>
      <c r="BI115" s="201">
        <v>44.260984661648898</v>
      </c>
      <c r="BJ115" s="51">
        <v>0.230601312082819</v>
      </c>
      <c r="BK115" s="51">
        <v>0.24280481241142701</v>
      </c>
      <c r="BL115" s="51">
        <v>0.255730325043245</v>
      </c>
      <c r="BM115" s="51">
        <v>0.23055577253176401</v>
      </c>
      <c r="BN115" s="51">
        <v>0.242672731328123</v>
      </c>
      <c r="BO115" s="51">
        <v>0.25594934466582397</v>
      </c>
      <c r="BP115" s="51">
        <v>0.23055595982404001</v>
      </c>
      <c r="BQ115" s="51">
        <v>0.24274416446673899</v>
      </c>
      <c r="BR115" s="51">
        <v>0.25566657809274002</v>
      </c>
      <c r="BS115" s="51">
        <v>0.23049502197128499</v>
      </c>
      <c r="BT115" s="51">
        <v>0.24260275290577499</v>
      </c>
      <c r="BU115" s="51">
        <v>0.255583880028385</v>
      </c>
      <c r="BV115" s="51">
        <v>0.23014068584761399</v>
      </c>
      <c r="BW115" s="51">
        <v>0.242728830216139</v>
      </c>
      <c r="BX115" s="201">
        <v>0.25574898508731297</v>
      </c>
      <c r="BY115" s="51">
        <v>0</v>
      </c>
      <c r="BZ115" s="51">
        <v>0</v>
      </c>
      <c r="CA115" s="51">
        <v>0</v>
      </c>
      <c r="CB115" s="51">
        <v>0</v>
      </c>
      <c r="CC115" s="51">
        <v>0</v>
      </c>
      <c r="CD115" s="51">
        <v>0</v>
      </c>
      <c r="CE115" s="51">
        <v>0</v>
      </c>
      <c r="CF115" s="51">
        <v>0</v>
      </c>
      <c r="CG115" s="51">
        <v>0</v>
      </c>
      <c r="CH115" s="51">
        <v>0</v>
      </c>
      <c r="CI115" s="51">
        <v>0</v>
      </c>
      <c r="CJ115" s="51">
        <v>0</v>
      </c>
      <c r="CK115" s="51">
        <v>0</v>
      </c>
      <c r="CL115" s="51">
        <v>0</v>
      </c>
      <c r="CM115" s="201">
        <v>0</v>
      </c>
    </row>
    <row r="116" spans="1:91" x14ac:dyDescent="0.2">
      <c r="A116" s="205">
        <v>15030202</v>
      </c>
      <c r="B116" s="51">
        <v>22.384927188981599</v>
      </c>
      <c r="C116" s="51">
        <v>24.571346258716499</v>
      </c>
      <c r="D116" s="51">
        <v>26.7714974058112</v>
      </c>
      <c r="E116" s="51">
        <v>22.405114694575801</v>
      </c>
      <c r="F116" s="51">
        <v>24.594501376087599</v>
      </c>
      <c r="G116" s="51">
        <v>26.747972474332201</v>
      </c>
      <c r="H116" s="51">
        <v>22.394654395962998</v>
      </c>
      <c r="I116" s="51">
        <v>24.598888911827899</v>
      </c>
      <c r="J116" s="51">
        <v>26.777699467720701</v>
      </c>
      <c r="K116" s="51">
        <v>22.405591540079701</v>
      </c>
      <c r="L116" s="51">
        <v>24.592604922406998</v>
      </c>
      <c r="M116" s="51">
        <v>26.797837496347</v>
      </c>
      <c r="N116" s="51">
        <v>22.391702638355799</v>
      </c>
      <c r="O116" s="51">
        <v>24.562737553606699</v>
      </c>
      <c r="P116" s="201">
        <v>26.774861750850398</v>
      </c>
      <c r="Q116" s="51">
        <v>54.051064450422203</v>
      </c>
      <c r="R116" s="51">
        <v>58.875272671495097</v>
      </c>
      <c r="S116" s="51">
        <v>64.279024827452204</v>
      </c>
      <c r="T116" s="51">
        <v>52.733005562702999</v>
      </c>
      <c r="U116" s="51">
        <v>57.676873263786099</v>
      </c>
      <c r="V116" s="51">
        <v>62.601767618543299</v>
      </c>
      <c r="W116" s="51">
        <v>49.5204106157924</v>
      </c>
      <c r="X116" s="51">
        <v>53.858764750051598</v>
      </c>
      <c r="Y116" s="51">
        <v>58.567130279957901</v>
      </c>
      <c r="Z116" s="51">
        <v>47.461619746276902</v>
      </c>
      <c r="AA116" s="51">
        <v>53.159485220462102</v>
      </c>
      <c r="AB116" s="51">
        <v>58.572590787787902</v>
      </c>
      <c r="AC116" s="51">
        <v>45.8351115753374</v>
      </c>
      <c r="AD116" s="51">
        <v>52.1633447730946</v>
      </c>
      <c r="AE116" s="201">
        <v>59.158868438643204</v>
      </c>
      <c r="AF116" s="51">
        <v>0</v>
      </c>
      <c r="AG116" s="51">
        <v>0</v>
      </c>
      <c r="AH116" s="51">
        <v>0</v>
      </c>
      <c r="AI116" s="51">
        <v>0</v>
      </c>
      <c r="AJ116" s="51">
        <v>0</v>
      </c>
      <c r="AK116" s="51">
        <v>0</v>
      </c>
      <c r="AL116" s="51">
        <v>0</v>
      </c>
      <c r="AM116" s="51">
        <v>0</v>
      </c>
      <c r="AN116" s="51">
        <v>0</v>
      </c>
      <c r="AO116" s="51">
        <v>0</v>
      </c>
      <c r="AP116" s="51">
        <v>0</v>
      </c>
      <c r="AQ116" s="51">
        <v>0</v>
      </c>
      <c r="AR116" s="51">
        <v>0</v>
      </c>
      <c r="AS116" s="51">
        <v>0</v>
      </c>
      <c r="AT116" s="201">
        <v>0</v>
      </c>
      <c r="AU116" s="51">
        <v>46.112268355155301</v>
      </c>
      <c r="AV116" s="51">
        <v>78.633948600570207</v>
      </c>
      <c r="AW116" s="51">
        <v>120.324154991971</v>
      </c>
      <c r="AX116" s="51">
        <v>41.3306850000398</v>
      </c>
      <c r="AY116" s="51">
        <v>63.335549919391497</v>
      </c>
      <c r="AZ116" s="51">
        <v>97.420074801718599</v>
      </c>
      <c r="BA116" s="51">
        <v>23.029195120611</v>
      </c>
      <c r="BB116" s="51">
        <v>36.488266473599502</v>
      </c>
      <c r="BC116" s="51">
        <v>54.829571198561098</v>
      </c>
      <c r="BD116" s="51">
        <v>39.035203597856402</v>
      </c>
      <c r="BE116" s="51">
        <v>57.835333523517797</v>
      </c>
      <c r="BF116" s="51">
        <v>78.846863114693093</v>
      </c>
      <c r="BG116" s="51">
        <v>15.415107081282301</v>
      </c>
      <c r="BH116" s="51">
        <v>28.135335481676499</v>
      </c>
      <c r="BI116" s="201">
        <v>44.290631815503197</v>
      </c>
      <c r="BJ116" s="51">
        <v>0.41486063475331397</v>
      </c>
      <c r="BK116" s="51">
        <v>0.436968087538184</v>
      </c>
      <c r="BL116" s="51">
        <v>0.46024152531368301</v>
      </c>
      <c r="BM116" s="51">
        <v>0.41482271887567701</v>
      </c>
      <c r="BN116" s="51">
        <v>0.43649860663380702</v>
      </c>
      <c r="BO116" s="51">
        <v>0.46003199049689297</v>
      </c>
      <c r="BP116" s="51">
        <v>0.41479312268754598</v>
      </c>
      <c r="BQ116" s="51">
        <v>0.43686894329477599</v>
      </c>
      <c r="BR116" s="51">
        <v>0.46045663449408702</v>
      </c>
      <c r="BS116" s="51">
        <v>0.41443785049746301</v>
      </c>
      <c r="BT116" s="51">
        <v>0.43670723576541298</v>
      </c>
      <c r="BU116" s="51">
        <v>0.46002040055565702</v>
      </c>
      <c r="BV116" s="51">
        <v>0.41506438976563498</v>
      </c>
      <c r="BW116" s="51">
        <v>0.43694099656521801</v>
      </c>
      <c r="BX116" s="201">
        <v>0.46013160808332398</v>
      </c>
      <c r="BY116" s="51">
        <v>2.0281027666491198</v>
      </c>
      <c r="BZ116" s="51">
        <v>2.4483633137210399</v>
      </c>
      <c r="CA116" s="51">
        <v>2.9461022456063501</v>
      </c>
      <c r="CB116" s="51">
        <v>1.74476855321491</v>
      </c>
      <c r="CC116" s="51">
        <v>2.0340497119849301</v>
      </c>
      <c r="CD116" s="51">
        <v>2.3456741869645201</v>
      </c>
      <c r="CE116" s="51">
        <v>2.1316675206121398</v>
      </c>
      <c r="CF116" s="51">
        <v>2.6967467830821299</v>
      </c>
      <c r="CG116" s="51">
        <v>3.4013413659018701</v>
      </c>
      <c r="CH116" s="51">
        <v>1.9394424791448399</v>
      </c>
      <c r="CI116" s="51">
        <v>2.3318674207826202</v>
      </c>
      <c r="CJ116" s="51">
        <v>2.7808148008217599</v>
      </c>
      <c r="CK116" s="51">
        <v>2.0307719028634801</v>
      </c>
      <c r="CL116" s="51">
        <v>2.4493267661908602</v>
      </c>
      <c r="CM116" s="201">
        <v>2.9421402343204899</v>
      </c>
    </row>
    <row r="117" spans="1:91" x14ac:dyDescent="0.2">
      <c r="A117" s="205">
        <v>15030201</v>
      </c>
      <c r="B117" s="51">
        <v>22.402393482922601</v>
      </c>
      <c r="C117" s="51">
        <v>24.555591212463</v>
      </c>
      <c r="D117" s="51">
        <v>26.7468030789145</v>
      </c>
      <c r="E117" s="51">
        <v>22.381133807430398</v>
      </c>
      <c r="F117" s="51">
        <v>24.572769316629</v>
      </c>
      <c r="G117" s="51">
        <v>26.718650786520101</v>
      </c>
      <c r="H117" s="51">
        <v>22.431939234060501</v>
      </c>
      <c r="I117" s="51">
        <v>24.585704642401101</v>
      </c>
      <c r="J117" s="51">
        <v>26.7200131001985</v>
      </c>
      <c r="K117" s="51">
        <v>22.409600486536199</v>
      </c>
      <c r="L117" s="51">
        <v>24.600260908422602</v>
      </c>
      <c r="M117" s="51">
        <v>26.764711400158799</v>
      </c>
      <c r="N117" s="51">
        <v>22.359092821572698</v>
      </c>
      <c r="O117" s="51">
        <v>24.582518349240001</v>
      </c>
      <c r="P117" s="201">
        <v>26.7822628516547</v>
      </c>
      <c r="Q117" s="51">
        <v>54.031727667888802</v>
      </c>
      <c r="R117" s="51">
        <v>58.805388930055102</v>
      </c>
      <c r="S117" s="51">
        <v>64.273786915790694</v>
      </c>
      <c r="T117" s="51">
        <v>52.864404346141498</v>
      </c>
      <c r="U117" s="51">
        <v>57.817953404078402</v>
      </c>
      <c r="V117" s="51">
        <v>62.672963310606399</v>
      </c>
      <c r="W117" s="51">
        <v>49.607930274343097</v>
      </c>
      <c r="X117" s="51">
        <v>53.939566405827897</v>
      </c>
      <c r="Y117" s="51">
        <v>58.5688678368832</v>
      </c>
      <c r="Z117" s="51">
        <v>47.488774774688899</v>
      </c>
      <c r="AA117" s="51">
        <v>53.1265208049549</v>
      </c>
      <c r="AB117" s="51">
        <v>58.640463389708998</v>
      </c>
      <c r="AC117" s="51">
        <v>45.956620736401703</v>
      </c>
      <c r="AD117" s="51">
        <v>52.3256880751861</v>
      </c>
      <c r="AE117" s="201">
        <v>59.106884998414699</v>
      </c>
      <c r="AF117" s="51">
        <v>0</v>
      </c>
      <c r="AG117" s="51">
        <v>0</v>
      </c>
      <c r="AH117" s="51">
        <v>0</v>
      </c>
      <c r="AI117" s="51">
        <v>0</v>
      </c>
      <c r="AJ117" s="51">
        <v>0</v>
      </c>
      <c r="AK117" s="51">
        <v>0</v>
      </c>
      <c r="AL117" s="51">
        <v>0</v>
      </c>
      <c r="AM117" s="51">
        <v>0</v>
      </c>
      <c r="AN117" s="51">
        <v>0</v>
      </c>
      <c r="AO117" s="51">
        <v>0</v>
      </c>
      <c r="AP117" s="51">
        <v>0</v>
      </c>
      <c r="AQ117" s="51">
        <v>0</v>
      </c>
      <c r="AR117" s="51">
        <v>0</v>
      </c>
      <c r="AS117" s="51">
        <v>0</v>
      </c>
      <c r="AT117" s="201">
        <v>0</v>
      </c>
      <c r="AU117" s="51">
        <v>46.063928366800297</v>
      </c>
      <c r="AV117" s="51">
        <v>78.476074554679002</v>
      </c>
      <c r="AW117" s="51">
        <v>119.979759396791</v>
      </c>
      <c r="AX117" s="51">
        <v>40.842241057070602</v>
      </c>
      <c r="AY117" s="51">
        <v>63.663763321355503</v>
      </c>
      <c r="AZ117" s="51">
        <v>98.183609970681403</v>
      </c>
      <c r="BA117" s="51">
        <v>22.438552044159</v>
      </c>
      <c r="BB117" s="51">
        <v>36.203662833403001</v>
      </c>
      <c r="BC117" s="51">
        <v>55.301617614514001</v>
      </c>
      <c r="BD117" s="51">
        <v>39.596321699742703</v>
      </c>
      <c r="BE117" s="51">
        <v>57.998489047168903</v>
      </c>
      <c r="BF117" s="51">
        <v>79.299513020448302</v>
      </c>
      <c r="BG117" s="51">
        <v>15.437179602222299</v>
      </c>
      <c r="BH117" s="51">
        <v>27.838797300750699</v>
      </c>
      <c r="BI117" s="201">
        <v>44.075090958029499</v>
      </c>
      <c r="BJ117" s="51">
        <v>0.41483054414257398</v>
      </c>
      <c r="BK117" s="51">
        <v>0.43678704759101</v>
      </c>
      <c r="BL117" s="51">
        <v>0.46012998705347402</v>
      </c>
      <c r="BM117" s="51">
        <v>0.41473875585782199</v>
      </c>
      <c r="BN117" s="51">
        <v>0.436973983849754</v>
      </c>
      <c r="BO117" s="51">
        <v>0.46041838410282498</v>
      </c>
      <c r="BP117" s="51">
        <v>0.41453108676950601</v>
      </c>
      <c r="BQ117" s="51">
        <v>0.43668175306852902</v>
      </c>
      <c r="BR117" s="51">
        <v>0.46025627478826903</v>
      </c>
      <c r="BS117" s="51">
        <v>0.41467630976540498</v>
      </c>
      <c r="BT117" s="51">
        <v>0.437103608067414</v>
      </c>
      <c r="BU117" s="51">
        <v>0.460803851450028</v>
      </c>
      <c r="BV117" s="51">
        <v>0.41481836236165498</v>
      </c>
      <c r="BW117" s="51">
        <v>0.43662163585131702</v>
      </c>
      <c r="BX117" s="201">
        <v>0.460224010980333</v>
      </c>
      <c r="BY117" s="51">
        <v>2.0252238844876498</v>
      </c>
      <c r="BZ117" s="51">
        <v>2.4481670478152999</v>
      </c>
      <c r="CA117" s="51">
        <v>2.9295439606559799</v>
      </c>
      <c r="CB117" s="51">
        <v>1.75227969743541</v>
      </c>
      <c r="CC117" s="51">
        <v>2.0418849981199201</v>
      </c>
      <c r="CD117" s="51">
        <v>2.3550332539879002</v>
      </c>
      <c r="CE117" s="51">
        <v>2.13481008379346</v>
      </c>
      <c r="CF117" s="51">
        <v>2.6930693276313402</v>
      </c>
      <c r="CG117" s="51">
        <v>3.3930408557401202</v>
      </c>
      <c r="CH117" s="51">
        <v>1.9477860553153299</v>
      </c>
      <c r="CI117" s="51">
        <v>2.3254593053327999</v>
      </c>
      <c r="CJ117" s="51">
        <v>2.7868629998943701</v>
      </c>
      <c r="CK117" s="51">
        <v>2.02390365317682</v>
      </c>
      <c r="CL117" s="51">
        <v>2.45112390165492</v>
      </c>
      <c r="CM117" s="201">
        <v>2.9428550278447099</v>
      </c>
    </row>
    <row r="118" spans="1:91" x14ac:dyDescent="0.2">
      <c r="A118" s="205">
        <v>18100204</v>
      </c>
      <c r="B118" s="51">
        <v>15.1074809130372</v>
      </c>
      <c r="C118" s="51">
        <v>16.2400746744825</v>
      </c>
      <c r="D118" s="51">
        <v>17.3526366810162</v>
      </c>
      <c r="E118" s="51">
        <v>15.1109102709488</v>
      </c>
      <c r="F118" s="51">
        <v>16.225399059393698</v>
      </c>
      <c r="G118" s="51">
        <v>17.334936851890198</v>
      </c>
      <c r="H118" s="51">
        <v>15.107325915809801</v>
      </c>
      <c r="I118" s="51">
        <v>16.2382474379332</v>
      </c>
      <c r="J118" s="51">
        <v>17.336953500121801</v>
      </c>
      <c r="K118" s="51">
        <v>15.1068764998364</v>
      </c>
      <c r="L118" s="51">
        <v>16.227059371832699</v>
      </c>
      <c r="M118" s="51">
        <v>17.333092513222301</v>
      </c>
      <c r="N118" s="51">
        <v>15.125818050041801</v>
      </c>
      <c r="O118" s="51">
        <v>16.222161357228099</v>
      </c>
      <c r="P118" s="201">
        <v>17.318816573764799</v>
      </c>
      <c r="Q118" s="51">
        <v>30.641380626134701</v>
      </c>
      <c r="R118" s="51">
        <v>32.315534713241902</v>
      </c>
      <c r="S118" s="51">
        <v>34.380999111429297</v>
      </c>
      <c r="T118" s="51">
        <v>28.421145695689201</v>
      </c>
      <c r="U118" s="51">
        <v>30.6362481517932</v>
      </c>
      <c r="V118" s="51">
        <v>32.613757153578703</v>
      </c>
      <c r="W118" s="51">
        <v>27.993487825646898</v>
      </c>
      <c r="X118" s="51">
        <v>29.455845836697499</v>
      </c>
      <c r="Y118" s="51">
        <v>31.2904022801292</v>
      </c>
      <c r="Z118" s="51">
        <v>26.245535254599201</v>
      </c>
      <c r="AA118" s="51">
        <v>28.108266226930098</v>
      </c>
      <c r="AB118" s="51">
        <v>30.031317013252401</v>
      </c>
      <c r="AC118" s="51">
        <v>25.119119649995401</v>
      </c>
      <c r="AD118" s="51">
        <v>28.201676199555202</v>
      </c>
      <c r="AE118" s="201">
        <v>30.828806790986398</v>
      </c>
      <c r="AF118" s="51">
        <v>0</v>
      </c>
      <c r="AG118" s="51">
        <v>0</v>
      </c>
      <c r="AH118" s="51">
        <v>0</v>
      </c>
      <c r="AI118" s="51">
        <v>0</v>
      </c>
      <c r="AJ118" s="51">
        <v>0</v>
      </c>
      <c r="AK118" s="51">
        <v>0</v>
      </c>
      <c r="AL118" s="51">
        <v>0</v>
      </c>
      <c r="AM118" s="51">
        <v>0</v>
      </c>
      <c r="AN118" s="51">
        <v>0</v>
      </c>
      <c r="AO118" s="51">
        <v>0</v>
      </c>
      <c r="AP118" s="51">
        <v>0</v>
      </c>
      <c r="AQ118" s="51">
        <v>0</v>
      </c>
      <c r="AR118" s="51">
        <v>0</v>
      </c>
      <c r="AS118" s="51">
        <v>0</v>
      </c>
      <c r="AT118" s="201">
        <v>0</v>
      </c>
      <c r="AU118" s="51">
        <v>1475.7263656511</v>
      </c>
      <c r="AV118" s="51">
        <v>2941.8546857669799</v>
      </c>
      <c r="AW118" s="51">
        <v>5061.3467818699701</v>
      </c>
      <c r="AX118" s="51">
        <v>1067.3321754814799</v>
      </c>
      <c r="AY118" s="51">
        <v>1850.9989598118</v>
      </c>
      <c r="AZ118" s="51">
        <v>2918.9474794245898</v>
      </c>
      <c r="BA118" s="51">
        <v>470.37851951719301</v>
      </c>
      <c r="BB118" s="51">
        <v>865.63575770757996</v>
      </c>
      <c r="BC118" s="51">
        <v>1381.3844018386801</v>
      </c>
      <c r="BD118" s="51">
        <v>1577.14729763227</v>
      </c>
      <c r="BE118" s="51">
        <v>2410.7953765675602</v>
      </c>
      <c r="BF118" s="51">
        <v>3353.6337013802599</v>
      </c>
      <c r="BG118" s="51">
        <v>678.03186751758403</v>
      </c>
      <c r="BH118" s="51">
        <v>1516.50543792852</v>
      </c>
      <c r="BI118" s="201">
        <v>2636.3397799428399</v>
      </c>
      <c r="BJ118" s="51">
        <v>4.1237782145402697</v>
      </c>
      <c r="BK118" s="51">
        <v>4.2514772119439499</v>
      </c>
      <c r="BL118" s="51">
        <v>4.3924257246451202</v>
      </c>
      <c r="BM118" s="51">
        <v>4.1256904018941096</v>
      </c>
      <c r="BN118" s="51">
        <v>4.2534013724472803</v>
      </c>
      <c r="BO118" s="51">
        <v>4.3890006400250803</v>
      </c>
      <c r="BP118" s="51">
        <v>4.1263020160140602</v>
      </c>
      <c r="BQ118" s="51">
        <v>4.2513704702450799</v>
      </c>
      <c r="BR118" s="51">
        <v>4.3921011629361697</v>
      </c>
      <c r="BS118" s="51">
        <v>4.1225402717335404</v>
      </c>
      <c r="BT118" s="51">
        <v>4.2504545785721701</v>
      </c>
      <c r="BU118" s="51">
        <v>4.3873168006755501</v>
      </c>
      <c r="BV118" s="51">
        <v>4.1259412895054899</v>
      </c>
      <c r="BW118" s="51">
        <v>4.24950808163101</v>
      </c>
      <c r="BX118" s="201">
        <v>4.3917866250742099</v>
      </c>
      <c r="BY118" s="51">
        <v>0</v>
      </c>
      <c r="BZ118" s="51">
        <v>0</v>
      </c>
      <c r="CA118" s="51">
        <v>0</v>
      </c>
      <c r="CB118" s="51"/>
      <c r="CC118" s="51"/>
      <c r="CD118" s="51"/>
      <c r="CE118" s="51">
        <v>0</v>
      </c>
      <c r="CF118" s="51">
        <v>0</v>
      </c>
      <c r="CG118" s="51">
        <v>0</v>
      </c>
      <c r="CH118" s="51">
        <v>0</v>
      </c>
      <c r="CI118" s="51">
        <v>0</v>
      </c>
      <c r="CJ118" s="51">
        <v>0</v>
      </c>
      <c r="CK118" s="51">
        <v>0</v>
      </c>
      <c r="CL118" s="51">
        <v>0</v>
      </c>
      <c r="CM118" s="201">
        <v>0</v>
      </c>
    </row>
    <row r="119" spans="1:91" x14ac:dyDescent="0.2">
      <c r="A119" s="205">
        <v>16060013</v>
      </c>
      <c r="B119" s="51">
        <v>8.9859136032877096E-2</v>
      </c>
      <c r="C119" s="51">
        <v>9.8764276096572706E-2</v>
      </c>
      <c r="D119" s="51">
        <v>0.10748793674471201</v>
      </c>
      <c r="E119" s="51">
        <v>9.0210614020983501E-2</v>
      </c>
      <c r="F119" s="51">
        <v>9.89088594408222E-2</v>
      </c>
      <c r="G119" s="51">
        <v>0.107500133783792</v>
      </c>
      <c r="H119" s="51">
        <v>8.9737930658776693E-2</v>
      </c>
      <c r="I119" s="51">
        <v>9.8657426384857402E-2</v>
      </c>
      <c r="J119" s="51">
        <v>0.10738454696430701</v>
      </c>
      <c r="K119" s="51">
        <v>9.0127030078986994E-2</v>
      </c>
      <c r="L119" s="51">
        <v>9.8801233389098506E-2</v>
      </c>
      <c r="M119" s="51">
        <v>0.107622428216959</v>
      </c>
      <c r="N119" s="51">
        <v>8.9780931487345894E-2</v>
      </c>
      <c r="O119" s="51">
        <v>9.8797693205398399E-2</v>
      </c>
      <c r="P119" s="201">
        <v>0.107404723009414</v>
      </c>
      <c r="Q119" s="51">
        <v>7.7100737797916299</v>
      </c>
      <c r="R119" s="51">
        <v>8.5813086748176506</v>
      </c>
      <c r="S119" s="51">
        <v>9.6413698195511301</v>
      </c>
      <c r="T119" s="51">
        <v>7.4613230929516501</v>
      </c>
      <c r="U119" s="51">
        <v>8.4529076913298091</v>
      </c>
      <c r="V119" s="51">
        <v>9.5656169882300599</v>
      </c>
      <c r="W119" s="51">
        <v>6.7697740521899696</v>
      </c>
      <c r="X119" s="51">
        <v>7.53430154071226</v>
      </c>
      <c r="Y119" s="51">
        <v>8.4872062975488092</v>
      </c>
      <c r="Z119" s="51">
        <v>6.8254640289558397</v>
      </c>
      <c r="AA119" s="51">
        <v>7.7682872031866701</v>
      </c>
      <c r="AB119" s="51">
        <v>8.6082364982755095</v>
      </c>
      <c r="AC119" s="51">
        <v>6.5702516480614701</v>
      </c>
      <c r="AD119" s="51">
        <v>7.3638788550119703</v>
      </c>
      <c r="AE119" s="201">
        <v>8.3008331949996901</v>
      </c>
      <c r="AF119" s="51">
        <v>0</v>
      </c>
      <c r="AG119" s="51">
        <v>0</v>
      </c>
      <c r="AH119" s="51">
        <v>0</v>
      </c>
      <c r="AI119" s="51">
        <v>0</v>
      </c>
      <c r="AJ119" s="51">
        <v>0</v>
      </c>
      <c r="AK119" s="51">
        <v>0</v>
      </c>
      <c r="AL119" s="51">
        <v>0</v>
      </c>
      <c r="AM119" s="51">
        <v>0</v>
      </c>
      <c r="AN119" s="51">
        <v>0</v>
      </c>
      <c r="AO119" s="51">
        <v>0</v>
      </c>
      <c r="AP119" s="51">
        <v>0</v>
      </c>
      <c r="AQ119" s="51">
        <v>0</v>
      </c>
      <c r="AR119" s="51">
        <v>0</v>
      </c>
      <c r="AS119" s="51">
        <v>0</v>
      </c>
      <c r="AT119" s="201">
        <v>0</v>
      </c>
      <c r="AU119" s="51">
        <v>48.079586988123602</v>
      </c>
      <c r="AV119" s="51">
        <v>72.467751057495207</v>
      </c>
      <c r="AW119" s="51">
        <v>103.18987594877601</v>
      </c>
      <c r="AX119" s="51">
        <v>51.5710757482004</v>
      </c>
      <c r="AY119" s="51">
        <v>75.376005295205104</v>
      </c>
      <c r="AZ119" s="51">
        <v>106.29978181617101</v>
      </c>
      <c r="BA119" s="51">
        <v>9.9479111903646693</v>
      </c>
      <c r="BB119" s="51">
        <v>16.35001609895</v>
      </c>
      <c r="BC119" s="51">
        <v>24.9275063146905</v>
      </c>
      <c r="BD119" s="51">
        <v>46.398195840889301</v>
      </c>
      <c r="BE119" s="51">
        <v>63.779298724933902</v>
      </c>
      <c r="BF119" s="51">
        <v>83.948535861834003</v>
      </c>
      <c r="BG119" s="51">
        <v>12.6249226638467</v>
      </c>
      <c r="BH119" s="51">
        <v>25.5046884765983</v>
      </c>
      <c r="BI119" s="201">
        <v>44.240611502042803</v>
      </c>
      <c r="BJ119" s="51">
        <v>0.230644231603367</v>
      </c>
      <c r="BK119" s="51">
        <v>0.24276591049709201</v>
      </c>
      <c r="BL119" s="51">
        <v>0.25588162440517498</v>
      </c>
      <c r="BM119" s="51">
        <v>0.23049569031366901</v>
      </c>
      <c r="BN119" s="51">
        <v>0.24284184896625399</v>
      </c>
      <c r="BO119" s="51">
        <v>0.25586421237971202</v>
      </c>
      <c r="BP119" s="51">
        <v>0.23036135882808501</v>
      </c>
      <c r="BQ119" s="51">
        <v>0.24276203416959499</v>
      </c>
      <c r="BR119" s="51">
        <v>0.25563505658903501</v>
      </c>
      <c r="BS119" s="51">
        <v>0.23043356301853599</v>
      </c>
      <c r="BT119" s="51">
        <v>0.24289332146305301</v>
      </c>
      <c r="BU119" s="51">
        <v>0.25595852841743499</v>
      </c>
      <c r="BV119" s="51">
        <v>0.23059241398157199</v>
      </c>
      <c r="BW119" s="51">
        <v>0.24277228597933201</v>
      </c>
      <c r="BX119" s="201">
        <v>0.25582054124731501</v>
      </c>
      <c r="BY119" s="51">
        <v>0</v>
      </c>
      <c r="BZ119" s="51">
        <v>0</v>
      </c>
      <c r="CA119" s="51">
        <v>0</v>
      </c>
      <c r="CB119" s="51">
        <v>0</v>
      </c>
      <c r="CC119" s="51">
        <v>0</v>
      </c>
      <c r="CD119" s="51">
        <v>0</v>
      </c>
      <c r="CE119" s="51">
        <v>0</v>
      </c>
      <c r="CF119" s="51">
        <v>0</v>
      </c>
      <c r="CG119" s="51">
        <v>0</v>
      </c>
      <c r="CH119" s="51">
        <v>0</v>
      </c>
      <c r="CI119" s="51">
        <v>0</v>
      </c>
      <c r="CJ119" s="51">
        <v>0</v>
      </c>
      <c r="CK119" s="51">
        <v>0</v>
      </c>
      <c r="CL119" s="51">
        <v>0</v>
      </c>
      <c r="CM119" s="201">
        <v>0</v>
      </c>
    </row>
    <row r="120" spans="1:91" x14ac:dyDescent="0.2">
      <c r="A120" s="205">
        <v>18090208</v>
      </c>
      <c r="B120" s="51">
        <v>8.4138190168628206</v>
      </c>
      <c r="C120" s="51">
        <v>9.0073158231028501</v>
      </c>
      <c r="D120" s="51">
        <v>9.6163637945340792</v>
      </c>
      <c r="E120" s="51">
        <v>8.4002513546000497</v>
      </c>
      <c r="F120" s="51">
        <v>9.00509392212237</v>
      </c>
      <c r="G120" s="51">
        <v>9.5875954090079905</v>
      </c>
      <c r="H120" s="51">
        <v>8.4107567964989993</v>
      </c>
      <c r="I120" s="51">
        <v>9.0119509543861298</v>
      </c>
      <c r="J120" s="51">
        <v>9.5922546195355007</v>
      </c>
      <c r="K120" s="51">
        <v>8.3998978540771301</v>
      </c>
      <c r="L120" s="51">
        <v>9.0062261846165992</v>
      </c>
      <c r="M120" s="51">
        <v>9.6073799677171401</v>
      </c>
      <c r="N120" s="51">
        <v>8.4026130805309602</v>
      </c>
      <c r="O120" s="51">
        <v>9.0132567165260706</v>
      </c>
      <c r="P120" s="201">
        <v>9.6120980339446298</v>
      </c>
      <c r="Q120" s="51">
        <v>487.26230535072102</v>
      </c>
      <c r="R120" s="51">
        <v>527.46915699165197</v>
      </c>
      <c r="S120" s="51">
        <v>568.64454403380398</v>
      </c>
      <c r="T120" s="51">
        <v>497.15451367931399</v>
      </c>
      <c r="U120" s="51">
        <v>545.79634377984098</v>
      </c>
      <c r="V120" s="51">
        <v>591.03827573963099</v>
      </c>
      <c r="W120" s="51">
        <v>421.97775945343801</v>
      </c>
      <c r="X120" s="51">
        <v>460.29604899703799</v>
      </c>
      <c r="Y120" s="51">
        <v>506.11018341094899</v>
      </c>
      <c r="Z120" s="51">
        <v>429.14574489360001</v>
      </c>
      <c r="AA120" s="51">
        <v>459.73035953184097</v>
      </c>
      <c r="AB120" s="51">
        <v>489.43442365622798</v>
      </c>
      <c r="AC120" s="51">
        <v>438.99604917368799</v>
      </c>
      <c r="AD120" s="51">
        <v>477.796770791234</v>
      </c>
      <c r="AE120" s="201">
        <v>518.12142439690797</v>
      </c>
      <c r="AF120" s="51">
        <v>0</v>
      </c>
      <c r="AG120" s="51">
        <v>0</v>
      </c>
      <c r="AH120" s="51">
        <v>0</v>
      </c>
      <c r="AI120" s="51">
        <v>0</v>
      </c>
      <c r="AJ120" s="51">
        <v>0</v>
      </c>
      <c r="AK120" s="51">
        <v>0</v>
      </c>
      <c r="AL120" s="51">
        <v>0</v>
      </c>
      <c r="AM120" s="51">
        <v>0</v>
      </c>
      <c r="AN120" s="51">
        <v>0</v>
      </c>
      <c r="AO120" s="51">
        <v>0</v>
      </c>
      <c r="AP120" s="51">
        <v>0</v>
      </c>
      <c r="AQ120" s="51">
        <v>0</v>
      </c>
      <c r="AR120" s="51">
        <v>0</v>
      </c>
      <c r="AS120" s="51">
        <v>0</v>
      </c>
      <c r="AT120" s="201">
        <v>0</v>
      </c>
      <c r="AU120" s="51">
        <v>426.69518513053498</v>
      </c>
      <c r="AV120" s="51">
        <v>727.94769729415998</v>
      </c>
      <c r="AW120" s="51">
        <v>1152.2729942804499</v>
      </c>
      <c r="AX120" s="51">
        <v>1062.2678722984399</v>
      </c>
      <c r="AY120" s="51">
        <v>1694.8229097585299</v>
      </c>
      <c r="AZ120" s="51">
        <v>2424.3261583762901</v>
      </c>
      <c r="BA120" s="51">
        <v>131.732079965336</v>
      </c>
      <c r="BB120" s="51">
        <v>226.05654753978001</v>
      </c>
      <c r="BC120" s="51">
        <v>338.03512264596498</v>
      </c>
      <c r="BD120" s="51">
        <v>616.42162395517801</v>
      </c>
      <c r="BE120" s="51">
        <v>1024.6059590438099</v>
      </c>
      <c r="BF120" s="51">
        <v>1637.82103285793</v>
      </c>
      <c r="BG120" s="51">
        <v>179.46309625249401</v>
      </c>
      <c r="BH120" s="51">
        <v>334.59892087863102</v>
      </c>
      <c r="BI120" s="201">
        <v>527.73224857134903</v>
      </c>
      <c r="BJ120" s="51">
        <v>6.1248279447040899</v>
      </c>
      <c r="BK120" s="51">
        <v>6.2993981138798496</v>
      </c>
      <c r="BL120" s="51">
        <v>6.4966464484992104</v>
      </c>
      <c r="BM120" s="51">
        <v>6.1191312324571898</v>
      </c>
      <c r="BN120" s="51">
        <v>6.2966824216889998</v>
      </c>
      <c r="BO120" s="51">
        <v>6.4946428074198703</v>
      </c>
      <c r="BP120" s="51">
        <v>6.1169646639456898</v>
      </c>
      <c r="BQ120" s="51">
        <v>6.2955552792927696</v>
      </c>
      <c r="BR120" s="51">
        <v>6.4945906739988599</v>
      </c>
      <c r="BS120" s="51">
        <v>6.1171347558715796</v>
      </c>
      <c r="BT120" s="51">
        <v>6.2943448208241497</v>
      </c>
      <c r="BU120" s="51">
        <v>6.4944599854820799</v>
      </c>
      <c r="BV120" s="51">
        <v>6.1200505533211604</v>
      </c>
      <c r="BW120" s="51">
        <v>6.2975555358735003</v>
      </c>
      <c r="BX120" s="201">
        <v>6.4915081889447004</v>
      </c>
      <c r="BY120" s="51">
        <v>5.75978708721175</v>
      </c>
      <c r="BZ120" s="51">
        <v>7.0114078517291603</v>
      </c>
      <c r="CA120" s="51">
        <v>8.3963880439272796</v>
      </c>
      <c r="CB120" s="51">
        <v>4.9740513018944998</v>
      </c>
      <c r="CC120" s="51">
        <v>5.7997654086914796</v>
      </c>
      <c r="CD120" s="51">
        <v>6.6732170591622104</v>
      </c>
      <c r="CE120" s="51">
        <v>6.1341565454356601</v>
      </c>
      <c r="CF120" s="51">
        <v>7.74699143198385</v>
      </c>
      <c r="CG120" s="51">
        <v>9.6925602183875093</v>
      </c>
      <c r="CH120" s="51">
        <v>5.64180224448726</v>
      </c>
      <c r="CI120" s="51">
        <v>6.7388560429780098</v>
      </c>
      <c r="CJ120" s="51">
        <v>7.9783124333234099</v>
      </c>
      <c r="CK120" s="51">
        <v>5.7800294830270298</v>
      </c>
      <c r="CL120" s="51">
        <v>7.0315637547521597</v>
      </c>
      <c r="CM120" s="201">
        <v>8.4112317547743594</v>
      </c>
    </row>
    <row r="121" spans="1:91" x14ac:dyDescent="0.2">
      <c r="A121" s="205">
        <v>16060003</v>
      </c>
      <c r="B121" s="51">
        <v>6.0128840026934999E-2</v>
      </c>
      <c r="C121" s="51">
        <v>6.5861572465218496E-2</v>
      </c>
      <c r="D121" s="51">
        <v>7.1569858530133396E-2</v>
      </c>
      <c r="E121" s="51">
        <v>6.0086957415034899E-2</v>
      </c>
      <c r="F121" s="51">
        <v>6.5899436298205799E-2</v>
      </c>
      <c r="G121" s="51">
        <v>7.1631359087708305E-2</v>
      </c>
      <c r="H121" s="51">
        <v>6.0082801821022699E-2</v>
      </c>
      <c r="I121" s="51">
        <v>6.5815091782253796E-2</v>
      </c>
      <c r="J121" s="51">
        <v>7.1648481288601198E-2</v>
      </c>
      <c r="K121" s="51">
        <v>5.9861488151790501E-2</v>
      </c>
      <c r="L121" s="51">
        <v>6.5772912289155799E-2</v>
      </c>
      <c r="M121" s="51">
        <v>7.1780855815205102E-2</v>
      </c>
      <c r="N121" s="51">
        <v>5.9988316297814599E-2</v>
      </c>
      <c r="O121" s="51">
        <v>6.5872202411803096E-2</v>
      </c>
      <c r="P121" s="201">
        <v>7.1646775544299601E-2</v>
      </c>
      <c r="Q121" s="51">
        <v>5.3783549311241297</v>
      </c>
      <c r="R121" s="51">
        <v>5.9615243435866203</v>
      </c>
      <c r="S121" s="51">
        <v>6.6721993980832703</v>
      </c>
      <c r="T121" s="51">
        <v>5.2035871320425899</v>
      </c>
      <c r="U121" s="51">
        <v>5.8606931951208496</v>
      </c>
      <c r="V121" s="51">
        <v>6.5950638650416202</v>
      </c>
      <c r="W121" s="51">
        <v>4.7232298361401996</v>
      </c>
      <c r="X121" s="51">
        <v>5.2412579099106802</v>
      </c>
      <c r="Y121" s="51">
        <v>5.8819928771571703</v>
      </c>
      <c r="Z121" s="51">
        <v>4.76880837790595</v>
      </c>
      <c r="AA121" s="51">
        <v>5.4100876621868004</v>
      </c>
      <c r="AB121" s="51">
        <v>5.9819217899793102</v>
      </c>
      <c r="AC121" s="51">
        <v>4.57689900022313</v>
      </c>
      <c r="AD121" s="51">
        <v>5.11243181834329</v>
      </c>
      <c r="AE121" s="201">
        <v>5.7358489752525701</v>
      </c>
      <c r="AF121" s="51">
        <v>0</v>
      </c>
      <c r="AG121" s="51">
        <v>0</v>
      </c>
      <c r="AH121" s="51">
        <v>0</v>
      </c>
      <c r="AI121" s="51">
        <v>0</v>
      </c>
      <c r="AJ121" s="51">
        <v>0</v>
      </c>
      <c r="AK121" s="51">
        <v>0</v>
      </c>
      <c r="AL121" s="51">
        <v>0</v>
      </c>
      <c r="AM121" s="51">
        <v>0</v>
      </c>
      <c r="AN121" s="51">
        <v>0</v>
      </c>
      <c r="AO121" s="51">
        <v>0</v>
      </c>
      <c r="AP121" s="51">
        <v>0</v>
      </c>
      <c r="AQ121" s="51">
        <v>0</v>
      </c>
      <c r="AR121" s="51">
        <v>0</v>
      </c>
      <c r="AS121" s="51">
        <v>0</v>
      </c>
      <c r="AT121" s="201">
        <v>0</v>
      </c>
      <c r="AU121" s="51">
        <v>34.030426562133997</v>
      </c>
      <c r="AV121" s="51">
        <v>51.502229499688703</v>
      </c>
      <c r="AW121" s="51">
        <v>73.3936002754387</v>
      </c>
      <c r="AX121" s="51">
        <v>37.959264142750399</v>
      </c>
      <c r="AY121" s="51">
        <v>56.248706174951799</v>
      </c>
      <c r="AZ121" s="51">
        <v>79.324597731445095</v>
      </c>
      <c r="BA121" s="51">
        <v>7.4243088047201802</v>
      </c>
      <c r="BB121" s="51">
        <v>11.930636338553301</v>
      </c>
      <c r="BC121" s="51">
        <v>18.184440033795099</v>
      </c>
      <c r="BD121" s="51">
        <v>33.932029106251498</v>
      </c>
      <c r="BE121" s="51">
        <v>46.486601454948698</v>
      </c>
      <c r="BF121" s="51">
        <v>60.302779857316899</v>
      </c>
      <c r="BG121" s="51">
        <v>9.2198916305623104</v>
      </c>
      <c r="BH121" s="51">
        <v>18.4916507017344</v>
      </c>
      <c r="BI121" s="201">
        <v>32.139946965187399</v>
      </c>
      <c r="BJ121" s="51">
        <v>0.16259293984748299</v>
      </c>
      <c r="BK121" s="51">
        <v>0.17106502295163201</v>
      </c>
      <c r="BL121" s="51">
        <v>0.180296069392541</v>
      </c>
      <c r="BM121" s="51">
        <v>0.16248356330772201</v>
      </c>
      <c r="BN121" s="51">
        <v>0.17105370651289201</v>
      </c>
      <c r="BO121" s="51">
        <v>0.180254882849465</v>
      </c>
      <c r="BP121" s="51">
        <v>0.16253915123281701</v>
      </c>
      <c r="BQ121" s="51">
        <v>0.17106612976254101</v>
      </c>
      <c r="BR121" s="51">
        <v>0.180222713336641</v>
      </c>
      <c r="BS121" s="51">
        <v>0.16239029126681601</v>
      </c>
      <c r="BT121" s="51">
        <v>0.17100934745874799</v>
      </c>
      <c r="BU121" s="51">
        <v>0.18031095947204601</v>
      </c>
      <c r="BV121" s="51">
        <v>0.162565687669704</v>
      </c>
      <c r="BW121" s="51">
        <v>0.17109714909221299</v>
      </c>
      <c r="BX121" s="201">
        <v>0.18040106398282299</v>
      </c>
      <c r="BY121" s="51">
        <v>0</v>
      </c>
      <c r="BZ121" s="51">
        <v>0</v>
      </c>
      <c r="CA121" s="51">
        <v>0</v>
      </c>
      <c r="CB121" s="51">
        <v>0</v>
      </c>
      <c r="CC121" s="51">
        <v>0</v>
      </c>
      <c r="CD121" s="51">
        <v>0</v>
      </c>
      <c r="CE121" s="51">
        <v>0</v>
      </c>
      <c r="CF121" s="51">
        <v>0</v>
      </c>
      <c r="CG121" s="51">
        <v>0</v>
      </c>
      <c r="CH121" s="51">
        <v>0</v>
      </c>
      <c r="CI121" s="51">
        <v>0</v>
      </c>
      <c r="CJ121" s="51">
        <v>0</v>
      </c>
      <c r="CK121" s="51">
        <v>0</v>
      </c>
      <c r="CL121" s="51">
        <v>0</v>
      </c>
      <c r="CM121" s="201">
        <v>0</v>
      </c>
    </row>
    <row r="122" spans="1:91" x14ac:dyDescent="0.2">
      <c r="A122" s="205">
        <v>3050105</v>
      </c>
      <c r="B122" s="51">
        <v>51.726172420336397</v>
      </c>
      <c r="C122" s="51">
        <v>56.730967583836701</v>
      </c>
      <c r="D122" s="51">
        <v>61.846637807446001</v>
      </c>
      <c r="E122" s="51">
        <v>51.6208118390539</v>
      </c>
      <c r="F122" s="51">
        <v>56.735851167479098</v>
      </c>
      <c r="G122" s="51">
        <v>61.9376991230546</v>
      </c>
      <c r="H122" s="51">
        <v>51.747479110473101</v>
      </c>
      <c r="I122" s="51">
        <v>56.803483972303198</v>
      </c>
      <c r="J122" s="51">
        <v>61.845433832936102</v>
      </c>
      <c r="K122" s="51">
        <v>51.6704498495032</v>
      </c>
      <c r="L122" s="51">
        <v>56.780027892813301</v>
      </c>
      <c r="M122" s="51">
        <v>61.852487491442297</v>
      </c>
      <c r="N122" s="51">
        <v>51.644228530662602</v>
      </c>
      <c r="O122" s="51">
        <v>56.790846072176997</v>
      </c>
      <c r="P122" s="201">
        <v>61.835640617293201</v>
      </c>
      <c r="Q122" s="51">
        <v>14.8273650893086</v>
      </c>
      <c r="R122" s="51">
        <v>16.280450531489699</v>
      </c>
      <c r="S122" s="51">
        <v>17.9202888838504</v>
      </c>
      <c r="T122" s="51">
        <v>18.387396742655898</v>
      </c>
      <c r="U122" s="51">
        <v>20.217259894830899</v>
      </c>
      <c r="V122" s="51">
        <v>22.459701961980802</v>
      </c>
      <c r="W122" s="51">
        <v>14.3825666574284</v>
      </c>
      <c r="X122" s="51">
        <v>15.425357347909801</v>
      </c>
      <c r="Y122" s="51">
        <v>16.5262534468946</v>
      </c>
      <c r="Z122" s="51">
        <v>15.0098717814002</v>
      </c>
      <c r="AA122" s="51">
        <v>16.125871413441001</v>
      </c>
      <c r="AB122" s="51">
        <v>17.558463229069599</v>
      </c>
      <c r="AC122" s="51">
        <v>15.911667904941099</v>
      </c>
      <c r="AD122" s="51">
        <v>17.061250403940001</v>
      </c>
      <c r="AE122" s="201">
        <v>18.5551039688199</v>
      </c>
      <c r="AF122" s="51">
        <v>3.7949219049788701</v>
      </c>
      <c r="AG122" s="51">
        <v>4.3079532837531298</v>
      </c>
      <c r="AH122" s="51">
        <v>4.8634679397518301</v>
      </c>
      <c r="AI122" s="51">
        <v>3.7981422730604</v>
      </c>
      <c r="AJ122" s="51">
        <v>4.30745556155063</v>
      </c>
      <c r="AK122" s="51">
        <v>4.8708773145261697</v>
      </c>
      <c r="AL122" s="51">
        <v>3.8038858570511902</v>
      </c>
      <c r="AM122" s="51">
        <v>4.3177510708715801</v>
      </c>
      <c r="AN122" s="51">
        <v>4.8717798961109597</v>
      </c>
      <c r="AO122" s="51">
        <v>3.7971262373363701</v>
      </c>
      <c r="AP122" s="51">
        <v>4.31885556865093</v>
      </c>
      <c r="AQ122" s="51">
        <v>4.8738132005137</v>
      </c>
      <c r="AR122" s="51">
        <v>3.7960623853694799</v>
      </c>
      <c r="AS122" s="51">
        <v>4.30632732679409</v>
      </c>
      <c r="AT122" s="201">
        <v>4.8666808112200197</v>
      </c>
      <c r="AU122" s="51">
        <v>3.2129768447372702</v>
      </c>
      <c r="AV122" s="51">
        <v>4.4957202147459903</v>
      </c>
      <c r="AW122" s="51">
        <v>6.4076445534924504</v>
      </c>
      <c r="AX122" s="51">
        <v>6.1365785651446902</v>
      </c>
      <c r="AY122" s="51">
        <v>10.9847967537298</v>
      </c>
      <c r="AZ122" s="51">
        <v>18.4973756981238</v>
      </c>
      <c r="BA122" s="51">
        <v>3.0316074352037599</v>
      </c>
      <c r="BB122" s="51">
        <v>3.7936485165613201</v>
      </c>
      <c r="BC122" s="51">
        <v>4.6449613300868799</v>
      </c>
      <c r="BD122" s="51">
        <v>2.97397955878361</v>
      </c>
      <c r="BE122" s="51">
        <v>3.71521154722423</v>
      </c>
      <c r="BF122" s="51">
        <v>4.5223855914457296</v>
      </c>
      <c r="BG122" s="51">
        <v>4.5139493387281098</v>
      </c>
      <c r="BH122" s="51">
        <v>5.4725048043311899</v>
      </c>
      <c r="BI122" s="201">
        <v>6.6384705359538998</v>
      </c>
      <c r="BJ122" s="51">
        <v>0.259698746679911</v>
      </c>
      <c r="BK122" s="51">
        <v>0.27444980377887701</v>
      </c>
      <c r="BL122" s="51">
        <v>0.29016801051650298</v>
      </c>
      <c r="BM122" s="51">
        <v>0.259467091353414</v>
      </c>
      <c r="BN122" s="51">
        <v>0.27456263294269401</v>
      </c>
      <c r="BO122" s="51">
        <v>0.29025430391915202</v>
      </c>
      <c r="BP122" s="51">
        <v>0.25952307674957498</v>
      </c>
      <c r="BQ122" s="51">
        <v>0.274445910303736</v>
      </c>
      <c r="BR122" s="51">
        <v>0.29026684684166398</v>
      </c>
      <c r="BS122" s="51">
        <v>0.25966969712364601</v>
      </c>
      <c r="BT122" s="51">
        <v>0.27452356817173401</v>
      </c>
      <c r="BU122" s="51">
        <v>0.29022283527678799</v>
      </c>
      <c r="BV122" s="51">
        <v>0.25978034299458302</v>
      </c>
      <c r="BW122" s="51">
        <v>0.27454475206401502</v>
      </c>
      <c r="BX122" s="201">
        <v>0.29010354205826</v>
      </c>
      <c r="BY122" s="51">
        <v>6.1657408177328703</v>
      </c>
      <c r="BZ122" s="51">
        <v>7.4076415496964501</v>
      </c>
      <c r="CA122" s="51">
        <v>8.9856216985449802</v>
      </c>
      <c r="CB122" s="51">
        <v>4.9514579975734296</v>
      </c>
      <c r="CC122" s="51">
        <v>5.7894488568993197</v>
      </c>
      <c r="CD122" s="51">
        <v>6.7023737238899903</v>
      </c>
      <c r="CE122" s="51">
        <v>5.8324026842065599</v>
      </c>
      <c r="CF122" s="51">
        <v>7.4460594854128903</v>
      </c>
      <c r="CG122" s="51">
        <v>9.3996829007900899</v>
      </c>
      <c r="CH122" s="51">
        <v>5.8122519437317797</v>
      </c>
      <c r="CI122" s="51">
        <v>7.0581352061485498</v>
      </c>
      <c r="CJ122" s="51">
        <v>8.6875068549424004</v>
      </c>
      <c r="CK122" s="51">
        <v>6.1351121026114503</v>
      </c>
      <c r="CL122" s="51">
        <v>7.4055757461340797</v>
      </c>
      <c r="CM122" s="201">
        <v>8.9853089817110998</v>
      </c>
    </row>
    <row r="123" spans="1:91" x14ac:dyDescent="0.2">
      <c r="A123" s="205">
        <v>16040201</v>
      </c>
      <c r="B123" s="51">
        <v>0</v>
      </c>
      <c r="C123" s="51">
        <v>0</v>
      </c>
      <c r="D123" s="51">
        <v>0</v>
      </c>
      <c r="E123" s="51">
        <v>0</v>
      </c>
      <c r="F123" s="51">
        <v>0</v>
      </c>
      <c r="G123" s="51">
        <v>0</v>
      </c>
      <c r="H123" s="51">
        <v>0</v>
      </c>
      <c r="I123" s="51">
        <v>0</v>
      </c>
      <c r="J123" s="51">
        <v>0</v>
      </c>
      <c r="K123" s="51">
        <v>0</v>
      </c>
      <c r="L123" s="51">
        <v>0</v>
      </c>
      <c r="M123" s="51">
        <v>0</v>
      </c>
      <c r="N123" s="51">
        <v>0</v>
      </c>
      <c r="O123" s="51">
        <v>0</v>
      </c>
      <c r="P123" s="201">
        <v>0</v>
      </c>
      <c r="Q123" s="51">
        <v>3.57994490913494</v>
      </c>
      <c r="R123" s="51">
        <v>3.8189699114931401</v>
      </c>
      <c r="S123" s="51">
        <v>4.1017779161260197</v>
      </c>
      <c r="T123" s="51">
        <v>3.6153471207899299</v>
      </c>
      <c r="U123" s="51">
        <v>3.9103476535192199</v>
      </c>
      <c r="V123" s="51">
        <v>4.2246954540496802</v>
      </c>
      <c r="W123" s="51">
        <v>3.39555094579244</v>
      </c>
      <c r="X123" s="51">
        <v>3.6354967443041999</v>
      </c>
      <c r="Y123" s="51">
        <v>3.8851300272935498</v>
      </c>
      <c r="Z123" s="51">
        <v>3.6690405806826099</v>
      </c>
      <c r="AA123" s="51">
        <v>3.89695377483923</v>
      </c>
      <c r="AB123" s="51">
        <v>4.1191639065269801</v>
      </c>
      <c r="AC123" s="51">
        <v>3.4533682784703399</v>
      </c>
      <c r="AD123" s="51">
        <v>3.6768612157887501</v>
      </c>
      <c r="AE123" s="201">
        <v>3.9570499431608601</v>
      </c>
      <c r="AF123" s="51">
        <v>0</v>
      </c>
      <c r="AG123" s="51">
        <v>0</v>
      </c>
      <c r="AH123" s="51">
        <v>0</v>
      </c>
      <c r="AI123" s="51">
        <v>0</v>
      </c>
      <c r="AJ123" s="51">
        <v>0</v>
      </c>
      <c r="AK123" s="51">
        <v>0</v>
      </c>
      <c r="AL123" s="51">
        <v>0</v>
      </c>
      <c r="AM123" s="51">
        <v>0</v>
      </c>
      <c r="AN123" s="51">
        <v>0</v>
      </c>
      <c r="AO123" s="51">
        <v>0</v>
      </c>
      <c r="AP123" s="51">
        <v>0</v>
      </c>
      <c r="AQ123" s="51">
        <v>0</v>
      </c>
      <c r="AR123" s="51">
        <v>0</v>
      </c>
      <c r="AS123" s="51">
        <v>0</v>
      </c>
      <c r="AT123" s="201">
        <v>0</v>
      </c>
      <c r="AU123" s="51">
        <v>365.93654116100299</v>
      </c>
      <c r="AV123" s="51">
        <v>506.07407318663701</v>
      </c>
      <c r="AW123" s="51">
        <v>694.64867296668899</v>
      </c>
      <c r="AX123" s="51">
        <v>415.72847722283097</v>
      </c>
      <c r="AY123" s="51">
        <v>566.42986915164397</v>
      </c>
      <c r="AZ123" s="51">
        <v>732.94769927829304</v>
      </c>
      <c r="BA123" s="51">
        <v>167.51555458490699</v>
      </c>
      <c r="BB123" s="51">
        <v>238.50859726605799</v>
      </c>
      <c r="BC123" s="51">
        <v>321.19286258084702</v>
      </c>
      <c r="BD123" s="51">
        <v>387.70233185362599</v>
      </c>
      <c r="BE123" s="51">
        <v>517.98968400616002</v>
      </c>
      <c r="BF123" s="51">
        <v>670.74209612484799</v>
      </c>
      <c r="BG123" s="51">
        <v>266.70059742881398</v>
      </c>
      <c r="BH123" s="51">
        <v>363.288067557874</v>
      </c>
      <c r="BI123" s="201">
        <v>482.19258371138301</v>
      </c>
      <c r="BJ123" s="51">
        <v>0.88375633839999301</v>
      </c>
      <c r="BK123" s="51">
        <v>0.92102980042596705</v>
      </c>
      <c r="BL123" s="51">
        <v>0.96055764948849598</v>
      </c>
      <c r="BM123" s="51">
        <v>0.88395526590941498</v>
      </c>
      <c r="BN123" s="51">
        <v>0.92095595761480298</v>
      </c>
      <c r="BO123" s="51">
        <v>0.96155917763627496</v>
      </c>
      <c r="BP123" s="51">
        <v>0.88424700272392898</v>
      </c>
      <c r="BQ123" s="51">
        <v>0.92132970186728402</v>
      </c>
      <c r="BR123" s="51">
        <v>0.96130830888153995</v>
      </c>
      <c r="BS123" s="51">
        <v>0.88383843851997701</v>
      </c>
      <c r="BT123" s="51">
        <v>0.92128444487611205</v>
      </c>
      <c r="BU123" s="51">
        <v>0.96205852674394998</v>
      </c>
      <c r="BV123" s="51">
        <v>0.884231955431937</v>
      </c>
      <c r="BW123" s="51">
        <v>0.92118306146266904</v>
      </c>
      <c r="BX123" s="201">
        <v>0.96151033988591905</v>
      </c>
      <c r="BY123" s="51">
        <v>0.99299044656982305</v>
      </c>
      <c r="BZ123" s="51">
        <v>1.16945950482976</v>
      </c>
      <c r="CA123" s="51">
        <v>1.3630315379078399</v>
      </c>
      <c r="CB123" s="51">
        <v>0.94292616464747403</v>
      </c>
      <c r="CC123" s="51">
        <v>1.10009529362903</v>
      </c>
      <c r="CD123" s="51">
        <v>1.2673174470322199</v>
      </c>
      <c r="CE123" s="51">
        <v>1.02723407287559</v>
      </c>
      <c r="CF123" s="51">
        <v>1.2269016929623799</v>
      </c>
      <c r="CG123" s="51">
        <v>1.4679508590785399</v>
      </c>
      <c r="CH123" s="51">
        <v>0.98041521826292599</v>
      </c>
      <c r="CI123" s="51">
        <v>1.1495490645991799</v>
      </c>
      <c r="CJ123" s="51">
        <v>1.3454192460583201</v>
      </c>
      <c r="CK123" s="51">
        <v>0.98895148762058704</v>
      </c>
      <c r="CL123" s="51">
        <v>1.17190032165877</v>
      </c>
      <c r="CM123" s="201">
        <v>1.3646691149829899</v>
      </c>
    </row>
    <row r="124" spans="1:91" x14ac:dyDescent="0.2">
      <c r="A124" s="205">
        <v>14030005</v>
      </c>
      <c r="B124" s="51">
        <v>5.7625990410242502E-2</v>
      </c>
      <c r="C124" s="51">
        <v>6.32291754934972E-2</v>
      </c>
      <c r="D124" s="51">
        <v>6.8747349669201693E-2</v>
      </c>
      <c r="E124" s="51">
        <v>5.7547861372675597E-2</v>
      </c>
      <c r="F124" s="51">
        <v>6.3184715051804702E-2</v>
      </c>
      <c r="G124" s="51">
        <v>6.8789415743233301E-2</v>
      </c>
      <c r="H124" s="51">
        <v>5.7632539029393297E-2</v>
      </c>
      <c r="I124" s="51">
        <v>6.3223141700708599E-2</v>
      </c>
      <c r="J124" s="51">
        <v>6.8691381347849495E-2</v>
      </c>
      <c r="K124" s="51">
        <v>5.7746191573653301E-2</v>
      </c>
      <c r="L124" s="51">
        <v>6.3125395157611897E-2</v>
      </c>
      <c r="M124" s="51">
        <v>6.8704834811431803E-2</v>
      </c>
      <c r="N124" s="51">
        <v>5.7494155642526398E-2</v>
      </c>
      <c r="O124" s="51">
        <v>6.3125429359706303E-2</v>
      </c>
      <c r="P124" s="201">
        <v>6.8776323411794807E-2</v>
      </c>
      <c r="Q124" s="51">
        <v>2.3787184843401099</v>
      </c>
      <c r="R124" s="51">
        <v>2.5835725058108299</v>
      </c>
      <c r="S124" s="51">
        <v>2.82657882750263</v>
      </c>
      <c r="T124" s="51">
        <v>2.4389116687071599</v>
      </c>
      <c r="U124" s="51">
        <v>2.6297850534231499</v>
      </c>
      <c r="V124" s="51">
        <v>2.7972157310426198</v>
      </c>
      <c r="W124" s="51">
        <v>2.4236934813475499</v>
      </c>
      <c r="X124" s="51">
        <v>2.5753910528064399</v>
      </c>
      <c r="Y124" s="51">
        <v>2.7557160270823999</v>
      </c>
      <c r="Z124" s="51">
        <v>2.3982947731523798</v>
      </c>
      <c r="AA124" s="51">
        <v>2.5699035287537701</v>
      </c>
      <c r="AB124" s="51">
        <v>2.7386481303217201</v>
      </c>
      <c r="AC124" s="51">
        <v>2.21070223931754</v>
      </c>
      <c r="AD124" s="51">
        <v>2.4530607579545798</v>
      </c>
      <c r="AE124" s="201">
        <v>2.7134917692668399</v>
      </c>
      <c r="AF124" s="51">
        <v>7.3806008916377994E-2</v>
      </c>
      <c r="AG124" s="51">
        <v>8.4963680285108298E-2</v>
      </c>
      <c r="AH124" s="51">
        <v>9.7265098381317305E-2</v>
      </c>
      <c r="AI124" s="51">
        <v>7.3405230334480806E-2</v>
      </c>
      <c r="AJ124" s="51">
        <v>8.5067234013576395E-2</v>
      </c>
      <c r="AK124" s="51">
        <v>9.7437735725965799E-2</v>
      </c>
      <c r="AL124" s="51">
        <v>7.3431932147194706E-2</v>
      </c>
      <c r="AM124" s="51">
        <v>8.5307541829258995E-2</v>
      </c>
      <c r="AN124" s="51">
        <v>9.7643578665299297E-2</v>
      </c>
      <c r="AO124" s="51">
        <v>7.3512200534580505E-2</v>
      </c>
      <c r="AP124" s="51">
        <v>8.50801267655871E-2</v>
      </c>
      <c r="AQ124" s="51">
        <v>9.7663065128738E-2</v>
      </c>
      <c r="AR124" s="51">
        <v>7.3462578072319096E-2</v>
      </c>
      <c r="AS124" s="51">
        <v>8.4978791471578205E-2</v>
      </c>
      <c r="AT124" s="201">
        <v>9.7120925236661604E-2</v>
      </c>
      <c r="AU124" s="51">
        <v>14.1197485024889</v>
      </c>
      <c r="AV124" s="51">
        <v>18.948783892031202</v>
      </c>
      <c r="AW124" s="51">
        <v>24.915834443824799</v>
      </c>
      <c r="AX124" s="51">
        <v>17.532288831951998</v>
      </c>
      <c r="AY124" s="51">
        <v>24.9107130822456</v>
      </c>
      <c r="AZ124" s="51">
        <v>35.341335400473199</v>
      </c>
      <c r="BA124" s="51">
        <v>14.1853821764874</v>
      </c>
      <c r="BB124" s="51">
        <v>19.637142027608601</v>
      </c>
      <c r="BC124" s="51">
        <v>27.170510194153898</v>
      </c>
      <c r="BD124" s="51">
        <v>20.0709788990848</v>
      </c>
      <c r="BE124" s="51">
        <v>25.106241140070001</v>
      </c>
      <c r="BF124" s="51">
        <v>31.120161332211001</v>
      </c>
      <c r="BG124" s="51">
        <v>13.608631466768101</v>
      </c>
      <c r="BH124" s="51">
        <v>21.536072670292999</v>
      </c>
      <c r="BI124" s="201">
        <v>32.246424172848997</v>
      </c>
      <c r="BJ124" s="51">
        <v>0.113914100813247</v>
      </c>
      <c r="BK124" s="51">
        <v>0.119730750248203</v>
      </c>
      <c r="BL124" s="51">
        <v>0.12606685267272</v>
      </c>
      <c r="BM124" s="51">
        <v>0.113749387537656</v>
      </c>
      <c r="BN124" s="51">
        <v>0.11971075888103699</v>
      </c>
      <c r="BO124" s="51">
        <v>0.12600818706853401</v>
      </c>
      <c r="BP124" s="51">
        <v>0.11389063309363499</v>
      </c>
      <c r="BQ124" s="51">
        <v>0.119837892373961</v>
      </c>
      <c r="BR124" s="51">
        <v>0.126089873024813</v>
      </c>
      <c r="BS124" s="51">
        <v>0.113860280011314</v>
      </c>
      <c r="BT124" s="51">
        <v>0.119710359762149</v>
      </c>
      <c r="BU124" s="51">
        <v>0.12593245847249401</v>
      </c>
      <c r="BV124" s="51">
        <v>0.114002364544402</v>
      </c>
      <c r="BW124" s="51">
        <v>0.11980286390422699</v>
      </c>
      <c r="BX124" s="201">
        <v>0.12602533773764499</v>
      </c>
      <c r="BY124" s="51">
        <v>0</v>
      </c>
      <c r="BZ124" s="51">
        <v>0</v>
      </c>
      <c r="CA124" s="51">
        <v>0</v>
      </c>
      <c r="CB124" s="51">
        <v>0</v>
      </c>
      <c r="CC124" s="51">
        <v>0</v>
      </c>
      <c r="CD124" s="51">
        <v>0</v>
      </c>
      <c r="CE124" s="51">
        <v>0</v>
      </c>
      <c r="CF124" s="51">
        <v>0</v>
      </c>
      <c r="CG124" s="51">
        <v>0</v>
      </c>
      <c r="CH124" s="51">
        <v>0</v>
      </c>
      <c r="CI124" s="51">
        <v>0</v>
      </c>
      <c r="CJ124" s="51">
        <v>0</v>
      </c>
      <c r="CK124" s="51">
        <v>0</v>
      </c>
      <c r="CL124" s="51">
        <v>0</v>
      </c>
      <c r="CM124" s="201">
        <v>0</v>
      </c>
    </row>
    <row r="125" spans="1:91" x14ac:dyDescent="0.2">
      <c r="A125" s="205">
        <v>3050102</v>
      </c>
      <c r="B125" s="51">
        <v>1.8579739443477701</v>
      </c>
      <c r="C125" s="51">
        <v>2.0580305213893699</v>
      </c>
      <c r="D125" s="51">
        <v>2.2612446167379598</v>
      </c>
      <c r="E125" s="51">
        <v>1.8528527309031599</v>
      </c>
      <c r="F125" s="51">
        <v>2.0568780814505598</v>
      </c>
      <c r="G125" s="51">
        <v>2.2546954988248902</v>
      </c>
      <c r="H125" s="51">
        <v>1.86054967494098</v>
      </c>
      <c r="I125" s="51">
        <v>2.0572700758165299</v>
      </c>
      <c r="J125" s="51">
        <v>2.2566272831632599</v>
      </c>
      <c r="K125" s="51">
        <v>1.8536615471617499</v>
      </c>
      <c r="L125" s="51">
        <v>2.0538446225120599</v>
      </c>
      <c r="M125" s="51">
        <v>2.25790406924509</v>
      </c>
      <c r="N125" s="51">
        <v>1.8527835449752701</v>
      </c>
      <c r="O125" s="51">
        <v>2.0566538064548001</v>
      </c>
      <c r="P125" s="201">
        <v>2.2586549019492601</v>
      </c>
      <c r="Q125" s="51">
        <v>9.6695168266999296</v>
      </c>
      <c r="R125" s="51">
        <v>10.777570175725799</v>
      </c>
      <c r="S125" s="51">
        <v>12.1023240373073</v>
      </c>
      <c r="T125" s="51">
        <v>12.5455866375765</v>
      </c>
      <c r="U125" s="51">
        <v>13.990407830238</v>
      </c>
      <c r="V125" s="51">
        <v>15.819347098576999</v>
      </c>
      <c r="W125" s="51">
        <v>9.2448240330630291</v>
      </c>
      <c r="X125" s="51">
        <v>10.073382175082401</v>
      </c>
      <c r="Y125" s="51">
        <v>10.891359284892999</v>
      </c>
      <c r="Z125" s="51">
        <v>9.6603603674323004</v>
      </c>
      <c r="AA125" s="51">
        <v>10.531145336814699</v>
      </c>
      <c r="AB125" s="51">
        <v>11.556920203140001</v>
      </c>
      <c r="AC125" s="51">
        <v>10.607403256661501</v>
      </c>
      <c r="AD125" s="51">
        <v>11.4733889294069</v>
      </c>
      <c r="AE125" s="201">
        <v>12.6386284535968</v>
      </c>
      <c r="AF125" s="51">
        <v>0.19528586598307601</v>
      </c>
      <c r="AG125" s="51">
        <v>0.219295335268231</v>
      </c>
      <c r="AH125" s="51">
        <v>0.244586904003808</v>
      </c>
      <c r="AI125" s="51">
        <v>0.195997704102987</v>
      </c>
      <c r="AJ125" s="51">
        <v>0.21942235883575001</v>
      </c>
      <c r="AK125" s="51">
        <v>0.24532294416762501</v>
      </c>
      <c r="AL125" s="51">
        <v>0.19536976096214401</v>
      </c>
      <c r="AM125" s="51">
        <v>0.219230657902377</v>
      </c>
      <c r="AN125" s="51">
        <v>0.24484266626180401</v>
      </c>
      <c r="AO125" s="51">
        <v>0.195843868063932</v>
      </c>
      <c r="AP125" s="51">
        <v>0.21953746851238801</v>
      </c>
      <c r="AQ125" s="51">
        <v>0.24509875705720999</v>
      </c>
      <c r="AR125" s="51">
        <v>0.19610397464769699</v>
      </c>
      <c r="AS125" s="51">
        <v>0.219852687569975</v>
      </c>
      <c r="AT125" s="201">
        <v>0.24524313760421201</v>
      </c>
      <c r="AU125" s="51">
        <v>4.1276139386668502</v>
      </c>
      <c r="AV125" s="51">
        <v>5.8408339556099502</v>
      </c>
      <c r="AW125" s="51">
        <v>8.5295405155596598</v>
      </c>
      <c r="AX125" s="51">
        <v>7.89562610474752</v>
      </c>
      <c r="AY125" s="51">
        <v>14.202036937927</v>
      </c>
      <c r="AZ125" s="51">
        <v>23.96854218088</v>
      </c>
      <c r="BA125" s="51">
        <v>4.0821975236294898</v>
      </c>
      <c r="BB125" s="51">
        <v>5.0717973147606399</v>
      </c>
      <c r="BC125" s="51">
        <v>6.2117248861079197</v>
      </c>
      <c r="BD125" s="51">
        <v>3.96375874524397</v>
      </c>
      <c r="BE125" s="51">
        <v>4.9166451073661399</v>
      </c>
      <c r="BF125" s="51">
        <v>5.9789639092307203</v>
      </c>
      <c r="BG125" s="51">
        <v>5.7304341008263702</v>
      </c>
      <c r="BH125" s="51">
        <v>7.0614130619737203</v>
      </c>
      <c r="BI125" s="201">
        <v>8.69812215942828</v>
      </c>
      <c r="BJ125" s="51">
        <v>0.447515414581862</v>
      </c>
      <c r="BK125" s="51">
        <v>0.47377643127779501</v>
      </c>
      <c r="BL125" s="51">
        <v>0.50093116439033403</v>
      </c>
      <c r="BM125" s="51">
        <v>0.44817359951733898</v>
      </c>
      <c r="BN125" s="51">
        <v>0.47378463821177502</v>
      </c>
      <c r="BO125" s="51">
        <v>0.50098848585158695</v>
      </c>
      <c r="BP125" s="51">
        <v>0.44771653608925599</v>
      </c>
      <c r="BQ125" s="51">
        <v>0.47376615834191399</v>
      </c>
      <c r="BR125" s="51">
        <v>0.50126217865029499</v>
      </c>
      <c r="BS125" s="51">
        <v>0.44749045445517399</v>
      </c>
      <c r="BT125" s="51">
        <v>0.473849375547993</v>
      </c>
      <c r="BU125" s="51">
        <v>0.50136246655817696</v>
      </c>
      <c r="BV125" s="51">
        <v>0.447566429037695</v>
      </c>
      <c r="BW125" s="51">
        <v>0.47394026600609301</v>
      </c>
      <c r="BX125" s="201">
        <v>0.502057774493324</v>
      </c>
      <c r="BY125" s="51">
        <v>5.52830395990682</v>
      </c>
      <c r="BZ125" s="51">
        <v>6.73512793653095</v>
      </c>
      <c r="CA125" s="51">
        <v>8.1802025980249002</v>
      </c>
      <c r="CB125" s="51">
        <v>4.4809755966292899</v>
      </c>
      <c r="CC125" s="51">
        <v>5.2640174398976196</v>
      </c>
      <c r="CD125" s="51">
        <v>6.06898156613497</v>
      </c>
      <c r="CE125" s="51">
        <v>5.2826053828658797</v>
      </c>
      <c r="CF125" s="51">
        <v>6.8008206143621797</v>
      </c>
      <c r="CG125" s="51">
        <v>8.5675542632816999</v>
      </c>
      <c r="CH125" s="51">
        <v>5.2449536971789898</v>
      </c>
      <c r="CI125" s="51">
        <v>6.3539651658462404</v>
      </c>
      <c r="CJ125" s="51">
        <v>7.7918233367129703</v>
      </c>
      <c r="CK125" s="51">
        <v>5.55579326973979</v>
      </c>
      <c r="CL125" s="51">
        <v>6.7396320785450001</v>
      </c>
      <c r="CM125" s="201">
        <v>8.1727195157635695</v>
      </c>
    </row>
    <row r="126" spans="1:91" x14ac:dyDescent="0.2">
      <c r="A126" s="205">
        <v>16060010</v>
      </c>
      <c r="B126" s="51">
        <v>14.6599562252265</v>
      </c>
      <c r="C126" s="51">
        <v>15.718978439324699</v>
      </c>
      <c r="D126" s="51">
        <v>16.811539696204999</v>
      </c>
      <c r="E126" s="51">
        <v>14.653533941285801</v>
      </c>
      <c r="F126" s="51">
        <v>15.732065618942</v>
      </c>
      <c r="G126" s="51">
        <v>16.793337535472801</v>
      </c>
      <c r="H126" s="51">
        <v>14.6564967660206</v>
      </c>
      <c r="I126" s="51">
        <v>15.7301803813486</v>
      </c>
      <c r="J126" s="51">
        <v>16.793212729695799</v>
      </c>
      <c r="K126" s="51">
        <v>14.677592779659401</v>
      </c>
      <c r="L126" s="51">
        <v>15.743116254053</v>
      </c>
      <c r="M126" s="51">
        <v>16.804548643135998</v>
      </c>
      <c r="N126" s="51">
        <v>14.6738737769904</v>
      </c>
      <c r="O126" s="51">
        <v>15.747457374526601</v>
      </c>
      <c r="P126" s="201">
        <v>16.795889321311101</v>
      </c>
      <c r="Q126" s="51">
        <v>1.19071774104345</v>
      </c>
      <c r="R126" s="51">
        <v>1.28227493095571</v>
      </c>
      <c r="S126" s="51">
        <v>1.3839333860512899</v>
      </c>
      <c r="T126" s="51">
        <v>1.21883466460761</v>
      </c>
      <c r="U126" s="51">
        <v>1.3124952409995401</v>
      </c>
      <c r="V126" s="51">
        <v>1.4240653007089801</v>
      </c>
      <c r="W126" s="51">
        <v>1.00506735469189</v>
      </c>
      <c r="X126" s="51">
        <v>1.08742893409506</v>
      </c>
      <c r="Y126" s="51">
        <v>1.1842074421815401</v>
      </c>
      <c r="Z126" s="51">
        <v>1.06321026152403</v>
      </c>
      <c r="AA126" s="51">
        <v>1.13627597303536</v>
      </c>
      <c r="AB126" s="51">
        <v>1.2032335621938299</v>
      </c>
      <c r="AC126" s="51">
        <v>0.951212534508309</v>
      </c>
      <c r="AD126" s="51">
        <v>1.0598096371335901</v>
      </c>
      <c r="AE126" s="201">
        <v>1.1639682344423401</v>
      </c>
      <c r="AF126" s="51">
        <v>0</v>
      </c>
      <c r="AG126" s="51">
        <v>0</v>
      </c>
      <c r="AH126" s="51">
        <v>0</v>
      </c>
      <c r="AI126" s="51">
        <v>0</v>
      </c>
      <c r="AJ126" s="51">
        <v>0</v>
      </c>
      <c r="AK126" s="51">
        <v>0</v>
      </c>
      <c r="AL126" s="51">
        <v>0</v>
      </c>
      <c r="AM126" s="51">
        <v>0</v>
      </c>
      <c r="AN126" s="51">
        <v>0</v>
      </c>
      <c r="AO126" s="51">
        <v>0</v>
      </c>
      <c r="AP126" s="51">
        <v>0</v>
      </c>
      <c r="AQ126" s="51">
        <v>0</v>
      </c>
      <c r="AR126" s="51">
        <v>0</v>
      </c>
      <c r="AS126" s="51">
        <v>0</v>
      </c>
      <c r="AT126" s="201">
        <v>0</v>
      </c>
      <c r="AU126" s="51">
        <v>28.947225634080301</v>
      </c>
      <c r="AV126" s="51">
        <v>42.093728355196099</v>
      </c>
      <c r="AW126" s="51">
        <v>57.484802910881299</v>
      </c>
      <c r="AX126" s="51">
        <v>42.208073468126301</v>
      </c>
      <c r="AY126" s="51">
        <v>67.120928467025394</v>
      </c>
      <c r="AZ126" s="51">
        <v>97.418213744488298</v>
      </c>
      <c r="BA126" s="51">
        <v>6.81761826180312</v>
      </c>
      <c r="BB126" s="51">
        <v>11.3171471313357</v>
      </c>
      <c r="BC126" s="51">
        <v>17.082968620195601</v>
      </c>
      <c r="BD126" s="51">
        <v>28.7008102102569</v>
      </c>
      <c r="BE126" s="51">
        <v>39.358416120801003</v>
      </c>
      <c r="BF126" s="51">
        <v>50.644959579157103</v>
      </c>
      <c r="BG126" s="51">
        <v>8.5170033799479405</v>
      </c>
      <c r="BH126" s="51">
        <v>17.019149786202298</v>
      </c>
      <c r="BI126" s="201">
        <v>29.767880825258501</v>
      </c>
      <c r="BJ126" s="51">
        <v>8.3338386209793697E-2</v>
      </c>
      <c r="BK126" s="51">
        <v>8.6207236255789299E-2</v>
      </c>
      <c r="BL126" s="51">
        <v>8.9373225361306499E-2</v>
      </c>
      <c r="BM126" s="51">
        <v>8.3429942979292598E-2</v>
      </c>
      <c r="BN126" s="51">
        <v>8.6244055658833196E-2</v>
      </c>
      <c r="BO126" s="51">
        <v>8.9440094407179704E-2</v>
      </c>
      <c r="BP126" s="51">
        <v>8.3346304430788595E-2</v>
      </c>
      <c r="BQ126" s="51">
        <v>8.6236060836169304E-2</v>
      </c>
      <c r="BR126" s="51">
        <v>8.9331471113831898E-2</v>
      </c>
      <c r="BS126" s="51">
        <v>8.3347985589718093E-2</v>
      </c>
      <c r="BT126" s="51">
        <v>8.6207595390902197E-2</v>
      </c>
      <c r="BU126" s="51">
        <v>8.9351381939990496E-2</v>
      </c>
      <c r="BV126" s="51">
        <v>8.3324845374435005E-2</v>
      </c>
      <c r="BW126" s="51">
        <v>8.6159240966401304E-2</v>
      </c>
      <c r="BX126" s="201">
        <v>8.9372896838409904E-2</v>
      </c>
      <c r="BY126" s="51">
        <v>0</v>
      </c>
      <c r="BZ126" s="51">
        <v>0</v>
      </c>
      <c r="CA126" s="51">
        <v>0</v>
      </c>
      <c r="CB126" s="51">
        <v>0</v>
      </c>
      <c r="CC126" s="51">
        <v>0</v>
      </c>
      <c r="CD126" s="51">
        <v>0</v>
      </c>
      <c r="CE126" s="51">
        <v>0</v>
      </c>
      <c r="CF126" s="51">
        <v>0</v>
      </c>
      <c r="CG126" s="51">
        <v>0</v>
      </c>
      <c r="CH126" s="51">
        <v>0</v>
      </c>
      <c r="CI126" s="51">
        <v>0</v>
      </c>
      <c r="CJ126" s="51">
        <v>0</v>
      </c>
      <c r="CK126" s="51">
        <v>0</v>
      </c>
      <c r="CL126" s="51">
        <v>0</v>
      </c>
      <c r="CM126" s="201">
        <v>0</v>
      </c>
    </row>
    <row r="127" spans="1:91" ht="16" thickBot="1" x14ac:dyDescent="0.25">
      <c r="A127" s="206">
        <v>11140205</v>
      </c>
      <c r="B127" s="203">
        <v>1.34935811607131</v>
      </c>
      <c r="C127" s="203">
        <v>1.4546984938024801</v>
      </c>
      <c r="D127" s="203">
        <v>1.5588978339523201</v>
      </c>
      <c r="E127" s="203">
        <v>1.35013860962594</v>
      </c>
      <c r="F127" s="203">
        <v>1.4575504341046699</v>
      </c>
      <c r="G127" s="203">
        <v>1.56059579659604</v>
      </c>
      <c r="H127" s="203">
        <v>1.35240374536271</v>
      </c>
      <c r="I127" s="203">
        <v>1.45645841287469</v>
      </c>
      <c r="J127" s="203">
        <v>1.56450248979214</v>
      </c>
      <c r="K127" s="203">
        <v>1.3500113915012399</v>
      </c>
      <c r="L127" s="203">
        <v>1.45433763210064</v>
      </c>
      <c r="M127" s="203">
        <v>1.5592975543671299</v>
      </c>
      <c r="N127" s="203">
        <v>1.3509398848641501</v>
      </c>
      <c r="O127" s="203">
        <v>1.45502606980127</v>
      </c>
      <c r="P127" s="204">
        <v>1.55974287993627</v>
      </c>
      <c r="Q127" s="203">
        <v>3.8502175175822799</v>
      </c>
      <c r="R127" s="203">
        <v>4.4162925950644496</v>
      </c>
      <c r="S127" s="203">
        <v>5.0514271308524004</v>
      </c>
      <c r="T127" s="203">
        <v>5.0611268140092198</v>
      </c>
      <c r="U127" s="203">
        <v>5.5265989761908596</v>
      </c>
      <c r="V127" s="203">
        <v>5.9397901537479703</v>
      </c>
      <c r="W127" s="203">
        <v>4.2979558820870896</v>
      </c>
      <c r="X127" s="203">
        <v>5.0199256516170498</v>
      </c>
      <c r="Y127" s="203">
        <v>5.6190690259123199</v>
      </c>
      <c r="Z127" s="203">
        <v>3.7394243862499201</v>
      </c>
      <c r="AA127" s="203">
        <v>4.1352834843844999</v>
      </c>
      <c r="AB127" s="203">
        <v>4.6205602937448598</v>
      </c>
      <c r="AC127" s="203">
        <v>4.0603354575445199</v>
      </c>
      <c r="AD127" s="203">
        <v>4.8412037034123498</v>
      </c>
      <c r="AE127" s="204">
        <v>5.6162672016239004</v>
      </c>
      <c r="AF127" s="203">
        <v>2.0998755957934701E-2</v>
      </c>
      <c r="AG127" s="203">
        <v>2.34833984106694E-2</v>
      </c>
      <c r="AH127" s="203">
        <v>2.61337492157813E-2</v>
      </c>
      <c r="AI127" s="203">
        <v>2.09580160975152E-2</v>
      </c>
      <c r="AJ127" s="203">
        <v>2.3478388908069001E-2</v>
      </c>
      <c r="AK127" s="203">
        <v>2.61520711825847E-2</v>
      </c>
      <c r="AL127" s="203">
        <v>2.1028705415143199E-2</v>
      </c>
      <c r="AM127" s="203">
        <v>2.3477667535908499E-2</v>
      </c>
      <c r="AN127" s="203">
        <v>2.6144293412960099E-2</v>
      </c>
      <c r="AO127" s="203">
        <v>2.09991303638314E-2</v>
      </c>
      <c r="AP127" s="203">
        <v>2.34757371613903E-2</v>
      </c>
      <c r="AQ127" s="203">
        <v>2.61553499868932E-2</v>
      </c>
      <c r="AR127" s="203">
        <v>2.10270877737097E-2</v>
      </c>
      <c r="AS127" s="203">
        <v>2.35103261934262E-2</v>
      </c>
      <c r="AT127" s="204">
        <v>2.6193200482615E-2</v>
      </c>
      <c r="AU127" s="203">
        <v>3.23694671184496</v>
      </c>
      <c r="AV127" s="203">
        <v>4.8343931725896896</v>
      </c>
      <c r="AW127" s="203">
        <v>7.1087614468139204</v>
      </c>
      <c r="AX127" s="203">
        <v>7.1650149131701397</v>
      </c>
      <c r="AY127" s="203">
        <v>10.761037981903099</v>
      </c>
      <c r="AZ127" s="203">
        <v>15.5532858251667</v>
      </c>
      <c r="BA127" s="203">
        <v>4.7215359715643803</v>
      </c>
      <c r="BB127" s="203">
        <v>7.6738468961053199</v>
      </c>
      <c r="BC127" s="203">
        <v>10.8403957720011</v>
      </c>
      <c r="BD127" s="203">
        <v>3.0964240536452898</v>
      </c>
      <c r="BE127" s="203">
        <v>4.3821327232161797</v>
      </c>
      <c r="BF127" s="203">
        <v>6.1117798028639996</v>
      </c>
      <c r="BG127" s="203">
        <v>5.0705988898190002</v>
      </c>
      <c r="BH127" s="203">
        <v>8.04257201365699</v>
      </c>
      <c r="BI127" s="204">
        <v>11.8159666547496</v>
      </c>
      <c r="BJ127" s="203">
        <v>0.31466314234798098</v>
      </c>
      <c r="BK127" s="203">
        <v>0.32655767948463699</v>
      </c>
      <c r="BL127" s="203">
        <v>0.33971352612726702</v>
      </c>
      <c r="BM127" s="203">
        <v>0.31472250197384599</v>
      </c>
      <c r="BN127" s="203">
        <v>0.32674279304065401</v>
      </c>
      <c r="BO127" s="203">
        <v>0.33971522019383199</v>
      </c>
      <c r="BP127" s="203">
        <v>0.31451689799487698</v>
      </c>
      <c r="BQ127" s="203">
        <v>0.32606875715963102</v>
      </c>
      <c r="BR127" s="203">
        <v>0.33942438537047098</v>
      </c>
      <c r="BS127" s="203">
        <v>0.31462411619642899</v>
      </c>
      <c r="BT127" s="203">
        <v>0.32650003626718199</v>
      </c>
      <c r="BU127" s="203">
        <v>0.33950706758173899</v>
      </c>
      <c r="BV127" s="203">
        <v>0.31473038063098102</v>
      </c>
      <c r="BW127" s="203">
        <v>0.32658639333053602</v>
      </c>
      <c r="BX127" s="204">
        <v>0.33959086381933101</v>
      </c>
      <c r="BY127" s="203">
        <v>1.3950513713905</v>
      </c>
      <c r="BZ127" s="203">
        <v>1.77001153182055</v>
      </c>
      <c r="CA127" s="203">
        <v>2.1886380236767602</v>
      </c>
      <c r="CB127" s="203">
        <v>1.1590953024035799</v>
      </c>
      <c r="CC127" s="203">
        <v>1.35666949552837</v>
      </c>
      <c r="CD127" s="203">
        <v>1.5666717600747999</v>
      </c>
      <c r="CE127" s="203">
        <v>1.4616712044732101</v>
      </c>
      <c r="CF127" s="203">
        <v>1.9064127482554301</v>
      </c>
      <c r="CG127" s="203">
        <v>2.5218715656046098</v>
      </c>
      <c r="CH127" s="203">
        <v>1.32410299316517</v>
      </c>
      <c r="CI127" s="203">
        <v>1.6095877913285599</v>
      </c>
      <c r="CJ127" s="203">
        <v>1.96828904315197</v>
      </c>
      <c r="CK127" s="203">
        <v>1.3925670635313501</v>
      </c>
      <c r="CL127" s="203">
        <v>1.76841499855913</v>
      </c>
      <c r="CM127" s="204">
        <v>2.18667677546035</v>
      </c>
    </row>
    <row r="129" spans="1:16" ht="16" thickBot="1" x14ac:dyDescent="0.25">
      <c r="A129" s="32" t="s">
        <v>472</v>
      </c>
    </row>
    <row r="130" spans="1:16" s="253" customFormat="1" ht="16" thickBot="1" x14ac:dyDescent="0.25">
      <c r="A130" s="192" t="s">
        <v>409</v>
      </c>
      <c r="B130" s="436" t="s">
        <v>462</v>
      </c>
      <c r="C130" s="471"/>
      <c r="D130" s="471"/>
      <c r="E130" s="471"/>
      <c r="F130" s="471"/>
      <c r="G130" s="471"/>
      <c r="H130" s="471"/>
      <c r="I130" s="471"/>
      <c r="J130" s="471"/>
      <c r="K130" s="471"/>
      <c r="L130" s="471"/>
      <c r="M130" s="471"/>
      <c r="N130" s="471"/>
      <c r="O130" s="471"/>
      <c r="P130" s="437"/>
    </row>
    <row r="131" spans="1:16" ht="16" thickBot="1" x14ac:dyDescent="0.25">
      <c r="A131" s="192" t="s">
        <v>407</v>
      </c>
      <c r="B131" s="436" t="s">
        <v>457</v>
      </c>
      <c r="C131" s="471"/>
      <c r="D131" s="437"/>
      <c r="E131" s="436" t="s">
        <v>458</v>
      </c>
      <c r="F131" s="471"/>
      <c r="G131" s="437"/>
      <c r="H131" s="436" t="s">
        <v>459</v>
      </c>
      <c r="I131" s="471"/>
      <c r="J131" s="437"/>
      <c r="K131" s="436" t="s">
        <v>460</v>
      </c>
      <c r="L131" s="471"/>
      <c r="M131" s="437"/>
      <c r="N131" s="436" t="s">
        <v>461</v>
      </c>
      <c r="O131" s="471"/>
      <c r="P131" s="437"/>
    </row>
    <row r="132" spans="1:16" ht="16" thickBot="1" x14ac:dyDescent="0.25">
      <c r="A132" s="192" t="s">
        <v>179</v>
      </c>
      <c r="B132" s="194" t="s">
        <v>396</v>
      </c>
      <c r="C132" s="195" t="s">
        <v>397</v>
      </c>
      <c r="D132" s="196" t="s">
        <v>398</v>
      </c>
      <c r="E132" s="194" t="s">
        <v>396</v>
      </c>
      <c r="F132" s="195" t="s">
        <v>397</v>
      </c>
      <c r="G132" s="196" t="s">
        <v>398</v>
      </c>
      <c r="H132" s="194" t="s">
        <v>396</v>
      </c>
      <c r="I132" s="195" t="s">
        <v>397</v>
      </c>
      <c r="J132" s="196" t="s">
        <v>398</v>
      </c>
      <c r="K132" s="194" t="s">
        <v>396</v>
      </c>
      <c r="L132" s="195" t="s">
        <v>397</v>
      </c>
      <c r="M132" s="196" t="s">
        <v>398</v>
      </c>
      <c r="N132" s="194" t="s">
        <v>396</v>
      </c>
      <c r="O132" s="195" t="s">
        <v>397</v>
      </c>
      <c r="P132" s="196" t="s">
        <v>398</v>
      </c>
    </row>
    <row r="133" spans="1:16" x14ac:dyDescent="0.2">
      <c r="A133" s="205">
        <v>16060011</v>
      </c>
      <c r="B133" s="200">
        <f>SUM(B61,Q61,AF61,AU61,BJ61,BY61)</f>
        <v>50.990130043266916</v>
      </c>
      <c r="C133" s="200">
        <f t="shared" ref="C133:D144" si="0">SUM(C61,R61,AG61,AV61,BK61,BZ61)</f>
        <v>76.327921080891784</v>
      </c>
      <c r="D133" s="200">
        <f t="shared" si="0"/>
        <v>110.55065860225741</v>
      </c>
      <c r="E133" s="200">
        <f t="shared" ref="E133:E145" si="1">SUM(E61,T61,AI61,AX61,BM61,CB61)</f>
        <v>65.503040063510824</v>
      </c>
      <c r="F133" s="200">
        <f t="shared" ref="F133:F145" si="2">SUM(F61,U61,AJ61,AY61,BN61,CC61)</f>
        <v>134.61197053408455</v>
      </c>
      <c r="G133" s="200">
        <f t="shared" ref="G133:H145" si="3">SUM(G61,V61,AK61,AZ61,BO61,CD61)</f>
        <v>245.96151389532673</v>
      </c>
      <c r="H133" s="200">
        <f t="shared" si="3"/>
        <v>119.15956897092815</v>
      </c>
      <c r="I133" s="200">
        <f t="shared" ref="I133:I145" si="4">SUM(I61,X61,AM61,BB61,BQ61,CF61)</f>
        <v>239.35651858407721</v>
      </c>
      <c r="J133" s="200">
        <f t="shared" ref="J133:K145" si="5">SUM(J61,Y61,AN61,BC61,BR61,CG61)</f>
        <v>437.12845708987089</v>
      </c>
      <c r="K133" s="200">
        <f t="shared" si="5"/>
        <v>41.82174295401299</v>
      </c>
      <c r="L133" s="200">
        <f t="shared" ref="L133:L145" si="6">SUM(L61,AA61,AP61,BE61,BT61,CI61)</f>
        <v>65.933325064688418</v>
      </c>
      <c r="M133" s="200">
        <f t="shared" ref="M133:N145" si="7">SUM(M61,AB61,AQ61,BF61,BU61,CJ61)</f>
        <v>100.96542290110459</v>
      </c>
      <c r="N133" s="200">
        <f t="shared" si="7"/>
        <v>91.602640016591081</v>
      </c>
      <c r="O133" s="200">
        <f t="shared" ref="O133:O145" si="8">SUM(O61,AD61,AS61,BH61,BW61,CL61)</f>
        <v>183.55441482981058</v>
      </c>
      <c r="P133" s="200">
        <f t="shared" ref="P133:P145" si="9">SUM(P61,AE61,AT61,BI61,BX61,CM61)</f>
        <v>332.53210480514042</v>
      </c>
    </row>
    <row r="134" spans="1:16" x14ac:dyDescent="0.2">
      <c r="A134" s="205">
        <v>15030202</v>
      </c>
      <c r="B134" s="200">
        <f t="shared" ref="B134:B144" si="10">SUM(B62,Q62,AF62,AU62,BJ62,BY62)</f>
        <v>141.46253563761141</v>
      </c>
      <c r="C134" s="200">
        <f t="shared" si="0"/>
        <v>175.25173562299219</v>
      </c>
      <c r="D134" s="200">
        <f t="shared" si="0"/>
        <v>209.23150558062815</v>
      </c>
      <c r="E134" s="200">
        <f t="shared" si="1"/>
        <v>85.640336768650656</v>
      </c>
      <c r="F134" s="200">
        <f t="shared" si="2"/>
        <v>106.91534028228681</v>
      </c>
      <c r="G134" s="200">
        <f t="shared" si="3"/>
        <v>132.03157664968808</v>
      </c>
      <c r="H134" s="200">
        <f t="shared" si="3"/>
        <v>253.33135523246412</v>
      </c>
      <c r="I134" s="200">
        <f t="shared" si="4"/>
        <v>629.98381858062828</v>
      </c>
      <c r="J134" s="200">
        <f t="shared" si="5"/>
        <v>1228.3847990699023</v>
      </c>
      <c r="K134" s="200">
        <f t="shared" si="5"/>
        <v>91.696458102873876</v>
      </c>
      <c r="L134" s="200">
        <f t="shared" si="6"/>
        <v>108.51693471547112</v>
      </c>
      <c r="M134" s="200">
        <f t="shared" si="7"/>
        <v>128.5399320594891</v>
      </c>
      <c r="N134" s="200">
        <f t="shared" si="7"/>
        <v>135.65002947657118</v>
      </c>
      <c r="O134" s="200">
        <f t="shared" si="8"/>
        <v>187.67065318505669</v>
      </c>
      <c r="P134" s="200">
        <f t="shared" si="9"/>
        <v>259.40535345743342</v>
      </c>
    </row>
    <row r="135" spans="1:16" x14ac:dyDescent="0.2">
      <c r="A135" s="205">
        <v>15030201</v>
      </c>
      <c r="B135" s="200">
        <f t="shared" si="10"/>
        <v>141.1873775137671</v>
      </c>
      <c r="C135" s="200">
        <f t="shared" si="0"/>
        <v>175.60817159572326</v>
      </c>
      <c r="D135" s="200">
        <f t="shared" si="0"/>
        <v>209.65015970352354</v>
      </c>
      <c r="E135" s="200">
        <f t="shared" si="1"/>
        <v>86.206736622968904</v>
      </c>
      <c r="F135" s="200">
        <f t="shared" si="2"/>
        <v>107.25704536577882</v>
      </c>
      <c r="G135" s="200">
        <f t="shared" si="3"/>
        <v>132.15474610879238</v>
      </c>
      <c r="H135" s="200">
        <f t="shared" si="3"/>
        <v>257.63125687224397</v>
      </c>
      <c r="I135" s="200">
        <f t="shared" si="4"/>
        <v>628.47174558654979</v>
      </c>
      <c r="J135" s="200">
        <f t="shared" si="5"/>
        <v>1226.020283146559</v>
      </c>
      <c r="K135" s="200">
        <f t="shared" si="5"/>
        <v>91.821827910155363</v>
      </c>
      <c r="L135" s="200">
        <f t="shared" si="6"/>
        <v>108.73041848149737</v>
      </c>
      <c r="M135" s="200">
        <f t="shared" si="7"/>
        <v>128.72181938582966</v>
      </c>
      <c r="N135" s="200">
        <f t="shared" si="7"/>
        <v>136.67383107160705</v>
      </c>
      <c r="O135" s="200">
        <f t="shared" si="8"/>
        <v>188.10309448620018</v>
      </c>
      <c r="P135" s="200">
        <f t="shared" si="9"/>
        <v>260.91279986774572</v>
      </c>
    </row>
    <row r="136" spans="1:16" x14ac:dyDescent="0.2">
      <c r="A136" s="205">
        <v>18100204</v>
      </c>
      <c r="B136" s="200">
        <f t="shared" si="10"/>
        <v>738.02341805466187</v>
      </c>
      <c r="C136" s="200">
        <f t="shared" si="0"/>
        <v>1202.5751349721177</v>
      </c>
      <c r="D136" s="200">
        <f t="shared" si="0"/>
        <v>1622.7173118170986</v>
      </c>
      <c r="E136" s="200">
        <f t="shared" si="1"/>
        <v>923.76224519946118</v>
      </c>
      <c r="F136" s="200">
        <f t="shared" si="2"/>
        <v>1591.2322966627169</v>
      </c>
      <c r="G136" s="200">
        <f t="shared" si="3"/>
        <v>2440.661249245798</v>
      </c>
      <c r="H136" s="200">
        <f t="shared" si="3"/>
        <v>4190.150794544008</v>
      </c>
      <c r="I136" s="200">
        <f t="shared" si="4"/>
        <v>8912.1667418647576</v>
      </c>
      <c r="J136" s="200">
        <f t="shared" si="5"/>
        <v>15965.208310141445</v>
      </c>
      <c r="K136" s="200">
        <f t="shared" si="5"/>
        <v>1324.7378307573583</v>
      </c>
      <c r="L136" s="200">
        <f t="shared" si="6"/>
        <v>2044.0830678701845</v>
      </c>
      <c r="M136" s="200">
        <f t="shared" si="7"/>
        <v>2753.2726277358684</v>
      </c>
      <c r="N136" s="200">
        <f t="shared" si="7"/>
        <v>938.84495631499215</v>
      </c>
      <c r="O136" s="200">
        <f t="shared" si="8"/>
        <v>1588.5047302632586</v>
      </c>
      <c r="P136" s="200">
        <f t="shared" si="9"/>
        <v>2419.1500037160376</v>
      </c>
    </row>
    <row r="137" spans="1:16" x14ac:dyDescent="0.2">
      <c r="A137" s="205">
        <v>16060013</v>
      </c>
      <c r="B137" s="200">
        <f t="shared" si="10"/>
        <v>50.840153478643565</v>
      </c>
      <c r="C137" s="200">
        <f t="shared" si="0"/>
        <v>76.292312655297181</v>
      </c>
      <c r="D137" s="200">
        <f t="shared" si="0"/>
        <v>111.23668132302794</v>
      </c>
      <c r="E137" s="200">
        <f t="shared" si="1"/>
        <v>63.883203085484702</v>
      </c>
      <c r="F137" s="200">
        <f t="shared" si="2"/>
        <v>134.89496099943662</v>
      </c>
      <c r="G137" s="200">
        <f t="shared" si="3"/>
        <v>244.96241665950555</v>
      </c>
      <c r="H137" s="200">
        <f t="shared" si="3"/>
        <v>117.2451072986984</v>
      </c>
      <c r="I137" s="200">
        <f t="shared" si="4"/>
        <v>242.15054332748278</v>
      </c>
      <c r="J137" s="200">
        <f t="shared" si="5"/>
        <v>435.8223311157434</v>
      </c>
      <c r="K137" s="200">
        <f t="shared" si="5"/>
        <v>42.58893545425444</v>
      </c>
      <c r="L137" s="200">
        <f t="shared" si="6"/>
        <v>65.694893942823839</v>
      </c>
      <c r="M137" s="200">
        <f t="shared" si="7"/>
        <v>101.16034222640683</v>
      </c>
      <c r="N137" s="200">
        <f t="shared" si="7"/>
        <v>88.772826064947594</v>
      </c>
      <c r="O137" s="200">
        <f t="shared" si="8"/>
        <v>181.1732355865212</v>
      </c>
      <c r="P137" s="200">
        <f t="shared" si="9"/>
        <v>327.41945366737804</v>
      </c>
    </row>
    <row r="138" spans="1:16" x14ac:dyDescent="0.2">
      <c r="A138" s="205">
        <v>18090208</v>
      </c>
      <c r="B138" s="200">
        <f t="shared" si="10"/>
        <v>654.06011154132477</v>
      </c>
      <c r="C138" s="200">
        <f t="shared" si="0"/>
        <v>841.71291181846993</v>
      </c>
      <c r="D138" s="200">
        <f t="shared" si="0"/>
        <v>1055.6188230961261</v>
      </c>
      <c r="E138" s="200">
        <f t="shared" si="1"/>
        <v>1043.6201280086434</v>
      </c>
      <c r="F138" s="200">
        <f t="shared" si="2"/>
        <v>1573.7824870311158</v>
      </c>
      <c r="G138" s="200">
        <f t="shared" si="3"/>
        <v>2328.7358124033594</v>
      </c>
      <c r="H138" s="200">
        <f t="shared" si="3"/>
        <v>1912.1053412708352</v>
      </c>
      <c r="I138" s="200">
        <f t="shared" si="4"/>
        <v>3411.2790945159486</v>
      </c>
      <c r="J138" s="200">
        <f t="shared" si="5"/>
        <v>5674.5934093642263</v>
      </c>
      <c r="K138" s="200">
        <f t="shared" si="5"/>
        <v>810.29645194965781</v>
      </c>
      <c r="L138" s="200">
        <f t="shared" si="6"/>
        <v>1040.3065885170838</v>
      </c>
      <c r="M138" s="200">
        <f t="shared" si="7"/>
        <v>1356.3390211926428</v>
      </c>
      <c r="N138" s="200">
        <f t="shared" si="7"/>
        <v>744.75193271957528</v>
      </c>
      <c r="O138" s="200">
        <f t="shared" si="8"/>
        <v>1077.1407506370053</v>
      </c>
      <c r="P138" s="200">
        <f t="shared" si="9"/>
        <v>1583.803987524873</v>
      </c>
    </row>
    <row r="139" spans="1:16" x14ac:dyDescent="0.2">
      <c r="A139" s="205">
        <v>16060003</v>
      </c>
      <c r="B139" s="200">
        <f t="shared" si="10"/>
        <v>35.743384328073958</v>
      </c>
      <c r="C139" s="200">
        <f t="shared" si="0"/>
        <v>53.69533472694134</v>
      </c>
      <c r="D139" s="200">
        <f t="shared" si="0"/>
        <v>77.654660001293806</v>
      </c>
      <c r="E139" s="200">
        <f t="shared" si="1"/>
        <v>46.397856100088575</v>
      </c>
      <c r="F139" s="200">
        <f t="shared" si="2"/>
        <v>98.353479532444922</v>
      </c>
      <c r="G139" s="200">
        <f t="shared" si="3"/>
        <v>179.81620979388944</v>
      </c>
      <c r="H139" s="200">
        <f t="shared" si="3"/>
        <v>85.946020192908293</v>
      </c>
      <c r="I139" s="200">
        <f t="shared" si="4"/>
        <v>174.78732390408513</v>
      </c>
      <c r="J139" s="200">
        <f t="shared" si="5"/>
        <v>315.26198134481439</v>
      </c>
      <c r="K139" s="200">
        <f t="shared" si="5"/>
        <v>29.739347010635267</v>
      </c>
      <c r="L139" s="200">
        <f t="shared" si="6"/>
        <v>46.12581420327534</v>
      </c>
      <c r="M139" s="200">
        <f t="shared" si="7"/>
        <v>70.807559490370878</v>
      </c>
      <c r="N139" s="200">
        <f t="shared" si="7"/>
        <v>63.816720435172854</v>
      </c>
      <c r="O139" s="200">
        <f t="shared" si="8"/>
        <v>133.01669950537297</v>
      </c>
      <c r="P139" s="200">
        <f t="shared" si="9"/>
        <v>238.37474624896046</v>
      </c>
    </row>
    <row r="140" spans="1:16" x14ac:dyDescent="0.2">
      <c r="A140" s="205">
        <v>3050105</v>
      </c>
      <c r="B140" s="200">
        <f t="shared" si="10"/>
        <v>90.556280173204158</v>
      </c>
      <c r="C140" s="200">
        <f t="shared" si="0"/>
        <v>98.915310800875844</v>
      </c>
      <c r="D140" s="200">
        <f t="shared" si="0"/>
        <v>108.0156288108093</v>
      </c>
      <c r="E140" s="200">
        <f t="shared" si="1"/>
        <v>86.064989448638698</v>
      </c>
      <c r="F140" s="200">
        <f t="shared" si="2"/>
        <v>93.849609535382342</v>
      </c>
      <c r="G140" s="200">
        <f t="shared" si="3"/>
        <v>101.54579922831434</v>
      </c>
      <c r="H140" s="200">
        <f t="shared" si="3"/>
        <v>92.02030764302053</v>
      </c>
      <c r="I140" s="200">
        <f t="shared" si="4"/>
        <v>99.704359851855415</v>
      </c>
      <c r="J140" s="200">
        <f t="shared" si="5"/>
        <v>107.62984555041514</v>
      </c>
      <c r="K140" s="200">
        <f t="shared" si="5"/>
        <v>89.45443848940171</v>
      </c>
      <c r="L140" s="200">
        <f t="shared" si="6"/>
        <v>96.383475611392399</v>
      </c>
      <c r="M140" s="200">
        <f t="shared" si="7"/>
        <v>103.14289462344406</v>
      </c>
      <c r="N140" s="200">
        <f t="shared" si="7"/>
        <v>89.931718660587464</v>
      </c>
      <c r="O140" s="200">
        <f t="shared" si="8"/>
        <v>96.759066890998213</v>
      </c>
      <c r="P140" s="200">
        <f t="shared" si="9"/>
        <v>103.6934159860195</v>
      </c>
    </row>
    <row r="141" spans="1:16" x14ac:dyDescent="0.2">
      <c r="A141" s="205">
        <v>16040201</v>
      </c>
      <c r="B141" s="200">
        <f t="shared" si="10"/>
        <v>334.05678529044087</v>
      </c>
      <c r="C141" s="200">
        <f t="shared" si="0"/>
        <v>427.69491349865683</v>
      </c>
      <c r="D141" s="200">
        <f t="shared" si="0"/>
        <v>551.67014839431738</v>
      </c>
      <c r="E141" s="200">
        <f t="shared" si="1"/>
        <v>339.1506941327541</v>
      </c>
      <c r="F141" s="200">
        <f t="shared" si="2"/>
        <v>538.7844753144268</v>
      </c>
      <c r="G141" s="200">
        <f t="shared" si="3"/>
        <v>827.74636794752348</v>
      </c>
      <c r="H141" s="200">
        <f t="shared" si="3"/>
        <v>532.11167448009348</v>
      </c>
      <c r="I141" s="200">
        <f t="shared" si="4"/>
        <v>815.08294293291942</v>
      </c>
      <c r="J141" s="200">
        <f t="shared" si="5"/>
        <v>1226.4518786749313</v>
      </c>
      <c r="K141" s="200">
        <f t="shared" si="5"/>
        <v>189.61375327927803</v>
      </c>
      <c r="L141" s="200">
        <f t="shared" si="6"/>
        <v>251.05353546703671</v>
      </c>
      <c r="M141" s="200">
        <f t="shared" si="7"/>
        <v>329.0946352329932</v>
      </c>
      <c r="N141" s="200">
        <f t="shared" si="7"/>
        <v>521.46963398288221</v>
      </c>
      <c r="O141" s="200">
        <f t="shared" si="8"/>
        <v>861.37243477326444</v>
      </c>
      <c r="P141" s="200">
        <f t="shared" si="9"/>
        <v>1351.2701812598084</v>
      </c>
    </row>
    <row r="142" spans="1:16" x14ac:dyDescent="0.2">
      <c r="A142" s="205">
        <v>14030005</v>
      </c>
      <c r="B142" s="200">
        <f t="shared" si="10"/>
        <v>26.896207781167877</v>
      </c>
      <c r="C142" s="200">
        <f t="shared" si="0"/>
        <v>37.223501596375975</v>
      </c>
      <c r="D142" s="200">
        <f t="shared" si="0"/>
        <v>49.586083045516951</v>
      </c>
      <c r="E142" s="200">
        <f t="shared" si="1"/>
        <v>11.059566482293567</v>
      </c>
      <c r="F142" s="200">
        <f t="shared" si="2"/>
        <v>16.94425110741507</v>
      </c>
      <c r="G142" s="200">
        <f t="shared" si="3"/>
        <v>25.376013036193942</v>
      </c>
      <c r="H142" s="200">
        <f t="shared" si="3"/>
        <v>31.995708123070326</v>
      </c>
      <c r="I142" s="200">
        <f t="shared" si="4"/>
        <v>71.192786486771979</v>
      </c>
      <c r="J142" s="200">
        <f t="shared" si="5"/>
        <v>134.3834355041117</v>
      </c>
      <c r="K142" s="200">
        <f t="shared" si="5"/>
        <v>14.416046345377561</v>
      </c>
      <c r="L142" s="200">
        <f t="shared" si="6"/>
        <v>17.931349514157333</v>
      </c>
      <c r="M142" s="200">
        <f t="shared" si="7"/>
        <v>22.255654224893416</v>
      </c>
      <c r="N142" s="200">
        <f t="shared" si="7"/>
        <v>30.888260568249777</v>
      </c>
      <c r="O142" s="200">
        <f t="shared" si="8"/>
        <v>56.35503943989896</v>
      </c>
      <c r="P142" s="200">
        <f t="shared" si="9"/>
        <v>96.79316991970704</v>
      </c>
    </row>
    <row r="143" spans="1:16" x14ac:dyDescent="0.2">
      <c r="A143" s="205">
        <v>3050102</v>
      </c>
      <c r="B143" s="200">
        <f t="shared" si="10"/>
        <v>19.114696605484344</v>
      </c>
      <c r="C143" s="200">
        <f t="shared" si="0"/>
        <v>23.058692552650733</v>
      </c>
      <c r="D143" s="200">
        <f t="shared" si="0"/>
        <v>28.161527147755841</v>
      </c>
      <c r="E143" s="200">
        <f t="shared" si="1"/>
        <v>14.155114896128515</v>
      </c>
      <c r="F143" s="200">
        <f t="shared" si="2"/>
        <v>17.100518296442196</v>
      </c>
      <c r="G143" s="200">
        <f t="shared" si="3"/>
        <v>20.087949463464415</v>
      </c>
      <c r="H143" s="200">
        <f t="shared" si="3"/>
        <v>19.965666491241024</v>
      </c>
      <c r="I143" s="200">
        <f t="shared" si="4"/>
        <v>23.117953524159322</v>
      </c>
      <c r="J143" s="200">
        <f t="shared" si="5"/>
        <v>26.689637094552467</v>
      </c>
      <c r="K143" s="200">
        <f t="shared" si="5"/>
        <v>17.222936403282418</v>
      </c>
      <c r="L143" s="200">
        <f t="shared" si="6"/>
        <v>19.632411138837632</v>
      </c>
      <c r="M143" s="200">
        <f t="shared" si="7"/>
        <v>21.975921352385704</v>
      </c>
      <c r="N143" s="200">
        <f t="shared" si="7"/>
        <v>17.947048879422088</v>
      </c>
      <c r="O143" s="200">
        <f t="shared" si="8"/>
        <v>20.210945626468654</v>
      </c>
      <c r="P143" s="200">
        <f t="shared" si="9"/>
        <v>22.887815857841197</v>
      </c>
    </row>
    <row r="144" spans="1:16" x14ac:dyDescent="0.2">
      <c r="A144" s="205">
        <v>16060010</v>
      </c>
      <c r="B144" s="200">
        <f t="shared" si="10"/>
        <v>42.685242080413389</v>
      </c>
      <c r="C144" s="200">
        <f t="shared" si="0"/>
        <v>56.366031091578137</v>
      </c>
      <c r="D144" s="200">
        <f t="shared" si="0"/>
        <v>73.125688571944181</v>
      </c>
      <c r="E144" s="200">
        <f t="shared" si="1"/>
        <v>54.658212096265856</v>
      </c>
      <c r="F144" s="200">
        <f t="shared" si="2"/>
        <v>96.603051801308354</v>
      </c>
      <c r="G144" s="200">
        <f t="shared" si="3"/>
        <v>163.69692002003512</v>
      </c>
      <c r="H144" s="200">
        <f t="shared" si="3"/>
        <v>92.70968122370212</v>
      </c>
      <c r="I144" s="200">
        <f t="shared" si="4"/>
        <v>175.68535931463552</v>
      </c>
      <c r="J144" s="200">
        <f t="shared" si="5"/>
        <v>310.21439567785268</v>
      </c>
      <c r="K144" s="200">
        <f t="shared" si="5"/>
        <v>39.349818870873555</v>
      </c>
      <c r="L144" s="200">
        <f t="shared" si="6"/>
        <v>51.976833621238356</v>
      </c>
      <c r="M144" s="200">
        <f t="shared" si="7"/>
        <v>69.554839127494773</v>
      </c>
      <c r="N144" s="200">
        <f t="shared" si="7"/>
        <v>55.690885788584033</v>
      </c>
      <c r="O144" s="200">
        <f t="shared" si="8"/>
        <v>103.91687342427318</v>
      </c>
      <c r="P144" s="200">
        <f t="shared" si="9"/>
        <v>178.53369288722129</v>
      </c>
    </row>
    <row r="145" spans="1:16" s="210" customFormat="1" ht="16" thickBot="1" x14ac:dyDescent="0.25">
      <c r="A145" s="206">
        <v>11140205</v>
      </c>
      <c r="B145" s="202">
        <f>SUM(B73,Q73,AF73,AU73,BJ73,BY73)</f>
        <v>9.7037445351911238</v>
      </c>
      <c r="C145" s="202">
        <f t="shared" ref="C145:D145" si="11">SUM(C73,R73,AG73,AV73,BK73,BZ73)</f>
        <v>11.886289921495488</v>
      </c>
      <c r="D145" s="202">
        <f t="shared" si="11"/>
        <v>14.595947057560466</v>
      </c>
      <c r="E145" s="202">
        <f t="shared" si="1"/>
        <v>9.6586700654938014</v>
      </c>
      <c r="F145" s="202">
        <f t="shared" si="2"/>
        <v>12.946384847340294</v>
      </c>
      <c r="G145" s="202">
        <f t="shared" si="3"/>
        <v>17.449606172399747</v>
      </c>
      <c r="H145" s="202">
        <f t="shared" ref="H145" si="12">SUM(H73,W73,AL73,BA73,BP73,CE73)</f>
        <v>8.7254303841073906</v>
      </c>
      <c r="I145" s="202">
        <f t="shared" si="4"/>
        <v>10.816898754925941</v>
      </c>
      <c r="J145" s="202">
        <f t="shared" si="5"/>
        <v>13.343977610249532</v>
      </c>
      <c r="K145" s="202">
        <f t="shared" ref="K145" si="13">SUM(K73,Z73,AO73,BD73,BS73,CH73)</f>
        <v>8.7751234180824191</v>
      </c>
      <c r="L145" s="202">
        <f t="shared" si="6"/>
        <v>10.410841288526687</v>
      </c>
      <c r="M145" s="202">
        <f t="shared" si="7"/>
        <v>12.348561521390137</v>
      </c>
      <c r="N145" s="202">
        <f t="shared" ref="N145" si="14">SUM(N73,AC73,AR73,BG73,BV73,CK73)</f>
        <v>9.3234261051411025</v>
      </c>
      <c r="O145" s="202">
        <f t="shared" si="8"/>
        <v>11.167185877958246</v>
      </c>
      <c r="P145" s="202">
        <f t="shared" si="9"/>
        <v>13.555048572880308</v>
      </c>
    </row>
    <row r="147" spans="1:16" ht="16" thickBot="1" x14ac:dyDescent="0.25">
      <c r="A147" s="32" t="s">
        <v>475</v>
      </c>
      <c r="J147" s="51"/>
    </row>
    <row r="148" spans="1:16" ht="16" thickBot="1" x14ac:dyDescent="0.25">
      <c r="A148" s="192" t="s">
        <v>409</v>
      </c>
      <c r="B148" s="436" t="s">
        <v>463</v>
      </c>
      <c r="C148" s="471"/>
      <c r="D148" s="471"/>
      <c r="E148" s="471"/>
      <c r="F148" s="471"/>
      <c r="G148" s="471"/>
      <c r="H148" s="471"/>
      <c r="I148" s="471"/>
      <c r="J148" s="471"/>
      <c r="K148" s="471"/>
      <c r="L148" s="471"/>
      <c r="M148" s="471"/>
      <c r="N148" s="471"/>
      <c r="O148" s="471"/>
      <c r="P148" s="437"/>
    </row>
    <row r="149" spans="1:16" ht="16" thickBot="1" x14ac:dyDescent="0.25">
      <c r="A149" s="192" t="s">
        <v>407</v>
      </c>
      <c r="B149" s="436" t="s">
        <v>457</v>
      </c>
      <c r="C149" s="471"/>
      <c r="D149" s="437"/>
      <c r="E149" s="436" t="s">
        <v>458</v>
      </c>
      <c r="F149" s="471"/>
      <c r="G149" s="437"/>
      <c r="H149" s="436" t="s">
        <v>459</v>
      </c>
      <c r="I149" s="471"/>
      <c r="J149" s="437"/>
      <c r="K149" s="436" t="s">
        <v>460</v>
      </c>
      <c r="L149" s="471"/>
      <c r="M149" s="437"/>
      <c r="N149" s="436" t="s">
        <v>461</v>
      </c>
      <c r="O149" s="471"/>
      <c r="P149" s="437"/>
    </row>
    <row r="150" spans="1:16" ht="16" thickBot="1" x14ac:dyDescent="0.25">
      <c r="A150" s="192" t="s">
        <v>179</v>
      </c>
      <c r="B150" s="194" t="s">
        <v>396</v>
      </c>
      <c r="C150" s="195" t="s">
        <v>397</v>
      </c>
      <c r="D150" s="196" t="s">
        <v>398</v>
      </c>
      <c r="E150" s="194" t="s">
        <v>396</v>
      </c>
      <c r="F150" s="195" t="s">
        <v>397</v>
      </c>
      <c r="G150" s="196" t="s">
        <v>398</v>
      </c>
      <c r="H150" s="194" t="s">
        <v>396</v>
      </c>
      <c r="I150" s="195" t="s">
        <v>397</v>
      </c>
      <c r="J150" s="196" t="s">
        <v>398</v>
      </c>
      <c r="K150" s="194" t="s">
        <v>396</v>
      </c>
      <c r="L150" s="195" t="s">
        <v>397</v>
      </c>
      <c r="M150" s="196" t="s">
        <v>398</v>
      </c>
      <c r="N150" s="194" t="s">
        <v>396</v>
      </c>
      <c r="O150" s="195" t="s">
        <v>397</v>
      </c>
      <c r="P150" s="196" t="s">
        <v>398</v>
      </c>
    </row>
    <row r="151" spans="1:16" x14ac:dyDescent="0.2">
      <c r="A151" s="205">
        <v>16060011</v>
      </c>
      <c r="B151" s="200">
        <f>SUM(B79,Q79,AF79,AU79,BJ79,BY79)</f>
        <v>54.199199167765848</v>
      </c>
      <c r="C151" s="200">
        <f t="shared" ref="C151:P163" si="15">SUM(C79,R79,AG79,AV79,BK79,BZ79)</f>
        <v>79.712989093206431</v>
      </c>
      <c r="D151" s="200">
        <f t="shared" si="15"/>
        <v>110.91492248341652</v>
      </c>
      <c r="E151" s="200">
        <f t="shared" si="15"/>
        <v>57.776293469760546</v>
      </c>
      <c r="F151" s="200">
        <f t="shared" si="15"/>
        <v>82.161387824236996</v>
      </c>
      <c r="G151" s="200">
        <f t="shared" si="15"/>
        <v>113.97234028077152</v>
      </c>
      <c r="H151" s="200">
        <f t="shared" si="15"/>
        <v>15.882619482235626</v>
      </c>
      <c r="I151" s="200">
        <f t="shared" si="15"/>
        <v>22.792544828432312</v>
      </c>
      <c r="J151" s="200">
        <f t="shared" si="15"/>
        <v>32.320858145420203</v>
      </c>
      <c r="K151" s="200">
        <f t="shared" si="15"/>
        <v>52.461386771795546</v>
      </c>
      <c r="L151" s="200">
        <f t="shared" si="15"/>
        <v>70.644815490876709</v>
      </c>
      <c r="M151" s="200">
        <f t="shared" si="15"/>
        <v>91.157570884941393</v>
      </c>
      <c r="N151" s="200">
        <f t="shared" si="15"/>
        <v>18.638209184799138</v>
      </c>
      <c r="O151" s="200">
        <f t="shared" si="15"/>
        <v>31.948610899585141</v>
      </c>
      <c r="P151" s="250">
        <f t="shared" si="15"/>
        <v>51.596556128650789</v>
      </c>
    </row>
    <row r="152" spans="1:16" x14ac:dyDescent="0.2">
      <c r="A152" s="205">
        <v>15030202</v>
      </c>
      <c r="B152" s="200">
        <f t="shared" ref="B152:B163" si="16">SUM(B80,Q80,AF80,AU80,BJ80,BY80)</f>
        <v>113.31486883325159</v>
      </c>
      <c r="C152" s="200">
        <f t="shared" si="15"/>
        <v>150.60410322219818</v>
      </c>
      <c r="D152" s="200">
        <f t="shared" si="15"/>
        <v>197.10125971587678</v>
      </c>
      <c r="E152" s="200">
        <f t="shared" si="15"/>
        <v>107.39210802496362</v>
      </c>
      <c r="F152" s="200">
        <f t="shared" si="15"/>
        <v>134.8995008414891</v>
      </c>
      <c r="G152" s="200">
        <f t="shared" si="15"/>
        <v>173.49857298217836</v>
      </c>
      <c r="H152" s="200">
        <f t="shared" si="15"/>
        <v>86.503360276340032</v>
      </c>
      <c r="I152" s="200">
        <f t="shared" si="15"/>
        <v>104.71434312517991</v>
      </c>
      <c r="J152" s="200">
        <f t="shared" si="15"/>
        <v>128.04246026836694</v>
      </c>
      <c r="K152" s="200">
        <f t="shared" si="15"/>
        <v>101.88553076421645</v>
      </c>
      <c r="L152" s="200">
        <f t="shared" si="15"/>
        <v>125.24888879846196</v>
      </c>
      <c r="M152" s="200">
        <f t="shared" si="15"/>
        <v>151.07575561703118</v>
      </c>
      <c r="N152" s="200">
        <f t="shared" si="15"/>
        <v>76.950558317520148</v>
      </c>
      <c r="O152" s="200">
        <f t="shared" si="15"/>
        <v>95.353354815486568</v>
      </c>
      <c r="P152" s="250">
        <f t="shared" si="15"/>
        <v>117.27231202570985</v>
      </c>
    </row>
    <row r="153" spans="1:16" x14ac:dyDescent="0.2">
      <c r="A153" s="205">
        <v>15030201</v>
      </c>
      <c r="B153" s="200">
        <f t="shared" si="16"/>
        <v>113.87701798448849</v>
      </c>
      <c r="C153" s="200">
        <f t="shared" si="15"/>
        <v>150.42733764415962</v>
      </c>
      <c r="D153" s="200">
        <f t="shared" si="15"/>
        <v>197.15131156662798</v>
      </c>
      <c r="E153" s="200">
        <f t="shared" si="15"/>
        <v>107.50570380954778</v>
      </c>
      <c r="F153" s="200">
        <f t="shared" si="15"/>
        <v>134.94088176590412</v>
      </c>
      <c r="G153" s="200">
        <f t="shared" si="15"/>
        <v>173.00175526992444</v>
      </c>
      <c r="H153" s="200">
        <f t="shared" si="15"/>
        <v>86.751646909151404</v>
      </c>
      <c r="I153" s="200">
        <f t="shared" si="15"/>
        <v>104.95601014306517</v>
      </c>
      <c r="J153" s="200">
        <f t="shared" si="15"/>
        <v>128.04029183177687</v>
      </c>
      <c r="K153" s="200">
        <f t="shared" si="15"/>
        <v>101.5346930331022</v>
      </c>
      <c r="L153" s="200">
        <f t="shared" si="15"/>
        <v>125.41405042649991</v>
      </c>
      <c r="M153" s="200">
        <f t="shared" si="15"/>
        <v>151.07068191019565</v>
      </c>
      <c r="N153" s="200">
        <f t="shared" si="15"/>
        <v>76.746890257448101</v>
      </c>
      <c r="O153" s="200">
        <f t="shared" si="15"/>
        <v>94.814505991052016</v>
      </c>
      <c r="P153" s="250">
        <f t="shared" si="15"/>
        <v>116.99504600043707</v>
      </c>
    </row>
    <row r="154" spans="1:16" x14ac:dyDescent="0.2">
      <c r="A154" s="205">
        <v>18100204</v>
      </c>
      <c r="B154" s="200">
        <f t="shared" si="16"/>
        <v>1511.9376566395065</v>
      </c>
      <c r="C154" s="200">
        <f t="shared" si="15"/>
        <v>3010.0282610704771</v>
      </c>
      <c r="D154" s="200">
        <f t="shared" si="15"/>
        <v>5088.6402608099643</v>
      </c>
      <c r="E154" s="200">
        <f t="shared" si="15"/>
        <v>1109.3881607445858</v>
      </c>
      <c r="F154" s="200">
        <f t="shared" si="15"/>
        <v>1870.3096306412278</v>
      </c>
      <c r="G154" s="200">
        <f t="shared" si="15"/>
        <v>2943.7722971242806</v>
      </c>
      <c r="H154" s="200">
        <f t="shared" si="15"/>
        <v>521.5469122492824</v>
      </c>
      <c r="I154" s="200">
        <f t="shared" si="15"/>
        <v>909.0300472370734</v>
      </c>
      <c r="J154" s="200">
        <f t="shared" si="15"/>
        <v>1407.2384907788251</v>
      </c>
      <c r="K154" s="200">
        <f t="shared" si="15"/>
        <v>1611.5648961349873</v>
      </c>
      <c r="L154" s="200">
        <f t="shared" si="15"/>
        <v>2467.5075636893503</v>
      </c>
      <c r="M154" s="200">
        <f t="shared" si="15"/>
        <v>3401.3092799646843</v>
      </c>
      <c r="N154" s="200">
        <f t="shared" si="15"/>
        <v>735.67617219190902</v>
      </c>
      <c r="O154" s="200">
        <f t="shared" si="15"/>
        <v>1565.3517603888718</v>
      </c>
      <c r="P154" s="250">
        <f t="shared" si="15"/>
        <v>2707.3989911420208</v>
      </c>
    </row>
    <row r="155" spans="1:16" x14ac:dyDescent="0.2">
      <c r="A155" s="205">
        <v>16060013</v>
      </c>
      <c r="B155" s="200">
        <f t="shared" si="16"/>
        <v>54.295562801797935</v>
      </c>
      <c r="C155" s="200">
        <f t="shared" si="15"/>
        <v>79.358020818142649</v>
      </c>
      <c r="D155" s="200">
        <f t="shared" si="15"/>
        <v>111.26598578667797</v>
      </c>
      <c r="E155" s="200">
        <f t="shared" si="15"/>
        <v>57.398334638864355</v>
      </c>
      <c r="F155" s="200">
        <f t="shared" si="15"/>
        <v>82.331421114035024</v>
      </c>
      <c r="G155" s="200">
        <f t="shared" si="15"/>
        <v>113.71954816401075</v>
      </c>
      <c r="H155" s="200">
        <f t="shared" si="15"/>
        <v>16.097445602833094</v>
      </c>
      <c r="I155" s="200">
        <f t="shared" si="15"/>
        <v>22.913009608459777</v>
      </c>
      <c r="J155" s="200">
        <f t="shared" si="15"/>
        <v>32.240553715706092</v>
      </c>
      <c r="K155" s="200">
        <f t="shared" si="15"/>
        <v>52.359116453164411</v>
      </c>
      <c r="L155" s="200">
        <f t="shared" si="15"/>
        <v>70.655137757899723</v>
      </c>
      <c r="M155" s="200">
        <f t="shared" si="15"/>
        <v>91.350895830775542</v>
      </c>
      <c r="N155" s="200">
        <f t="shared" si="15"/>
        <v>18.43987963302807</v>
      </c>
      <c r="O155" s="200">
        <f t="shared" si="15"/>
        <v>32.027522113098293</v>
      </c>
      <c r="P155" s="250">
        <f t="shared" si="15"/>
        <v>51.264778244238954</v>
      </c>
    </row>
    <row r="156" spans="1:16" x14ac:dyDescent="0.2">
      <c r="A156" s="205">
        <v>18090208</v>
      </c>
      <c r="B156" s="200">
        <f t="shared" si="16"/>
        <v>856.83939924343281</v>
      </c>
      <c r="C156" s="200">
        <f t="shared" si="15"/>
        <v>1186.0397682117791</v>
      </c>
      <c r="D156" s="200">
        <f t="shared" si="15"/>
        <v>1639.4500850049583</v>
      </c>
      <c r="E156" s="200">
        <f t="shared" si="15"/>
        <v>1520.9088515372666</v>
      </c>
      <c r="F156" s="200">
        <f t="shared" si="15"/>
        <v>2182.3558931523689</v>
      </c>
      <c r="G156" s="200">
        <f t="shared" si="15"/>
        <v>2943.3414035864866</v>
      </c>
      <c r="H156" s="200">
        <f t="shared" si="15"/>
        <v>507.78860840345158</v>
      </c>
      <c r="I156" s="200">
        <f t="shared" si="15"/>
        <v>632.09380162602167</v>
      </c>
      <c r="J156" s="200">
        <f t="shared" si="15"/>
        <v>779.4183005676465</v>
      </c>
      <c r="K156" s="200">
        <f t="shared" si="15"/>
        <v>999.28670981336631</v>
      </c>
      <c r="L156" s="200">
        <f t="shared" si="15"/>
        <v>1434.4536316418055</v>
      </c>
      <c r="M156" s="200">
        <f t="shared" si="15"/>
        <v>2074.7346266124805</v>
      </c>
      <c r="N156" s="200">
        <f t="shared" si="15"/>
        <v>572.52033288746009</v>
      </c>
      <c r="O156" s="200">
        <f t="shared" si="15"/>
        <v>749.02209822233829</v>
      </c>
      <c r="P156" s="250">
        <f t="shared" si="15"/>
        <v>973.34329188783261</v>
      </c>
    </row>
    <row r="157" spans="1:16" x14ac:dyDescent="0.2">
      <c r="A157" s="205">
        <v>16060003</v>
      </c>
      <c r="B157" s="200">
        <f t="shared" si="16"/>
        <v>38.828096108154966</v>
      </c>
      <c r="C157" s="200">
        <f t="shared" si="15"/>
        <v>56.533615582032219</v>
      </c>
      <c r="D157" s="200">
        <f t="shared" si="15"/>
        <v>78.936461767317425</v>
      </c>
      <c r="E157" s="200">
        <f t="shared" si="15"/>
        <v>42.452181797790843</v>
      </c>
      <c r="F157" s="200">
        <f t="shared" si="15"/>
        <v>61.281513568317315</v>
      </c>
      <c r="G157" s="200">
        <f t="shared" si="15"/>
        <v>84.902211581733027</v>
      </c>
      <c r="H157" s="200">
        <f t="shared" si="15"/>
        <v>11.586888086344366</v>
      </c>
      <c r="I157" s="200">
        <f t="shared" si="15"/>
        <v>16.545555070801058</v>
      </c>
      <c r="J157" s="200">
        <f t="shared" si="15"/>
        <v>23.137513237011078</v>
      </c>
      <c r="K157" s="200">
        <f t="shared" si="15"/>
        <v>38.306363204916202</v>
      </c>
      <c r="L157" s="200">
        <f t="shared" si="15"/>
        <v>51.247550057127775</v>
      </c>
      <c r="M157" s="200">
        <f t="shared" si="15"/>
        <v>65.454606412428532</v>
      </c>
      <c r="N157" s="200">
        <f t="shared" si="15"/>
        <v>13.269724704313804</v>
      </c>
      <c r="O157" s="200">
        <f t="shared" si="15"/>
        <v>23.20148467413798</v>
      </c>
      <c r="P157" s="250">
        <f t="shared" si="15"/>
        <v>37.083400413211329</v>
      </c>
    </row>
    <row r="158" spans="1:16" x14ac:dyDescent="0.2">
      <c r="A158" s="205">
        <v>3050105</v>
      </c>
      <c r="B158" s="200">
        <f t="shared" si="16"/>
        <v>68.606220669907955</v>
      </c>
      <c r="C158" s="200">
        <f t="shared" si="15"/>
        <v>75.137389808901176</v>
      </c>
      <c r="D158" s="200">
        <f t="shared" si="15"/>
        <v>82.384033822845836</v>
      </c>
      <c r="E158" s="200">
        <f t="shared" si="15"/>
        <v>73.538602270366425</v>
      </c>
      <c r="F158" s="200">
        <f t="shared" si="15"/>
        <v>83.69952696724458</v>
      </c>
      <c r="G158" s="200">
        <f t="shared" si="15"/>
        <v>96.321586925067123</v>
      </c>
      <c r="H158" s="200">
        <f t="shared" si="15"/>
        <v>67.698731692276198</v>
      </c>
      <c r="I158" s="200">
        <f t="shared" si="15"/>
        <v>73.384027678002269</v>
      </c>
      <c r="J158" s="200">
        <f t="shared" si="15"/>
        <v>78.872667865583452</v>
      </c>
      <c r="K158" s="200">
        <f t="shared" si="15"/>
        <v>68.489250176519903</v>
      </c>
      <c r="L158" s="200">
        <f t="shared" si="15"/>
        <v>73.604569098896363</v>
      </c>
      <c r="M158" s="200">
        <f t="shared" si="15"/>
        <v>78.832288270612537</v>
      </c>
      <c r="N158" s="200">
        <f t="shared" si="15"/>
        <v>70.921807369208608</v>
      </c>
      <c r="O158" s="200">
        <f t="shared" si="15"/>
        <v>76.413608581439817</v>
      </c>
      <c r="P158" s="250">
        <f t="shared" si="15"/>
        <v>82.178379832120157</v>
      </c>
    </row>
    <row r="159" spans="1:16" x14ac:dyDescent="0.2">
      <c r="A159" s="205">
        <v>16040201</v>
      </c>
      <c r="B159" s="200">
        <f t="shared" si="16"/>
        <v>368.88698157016597</v>
      </c>
      <c r="C159" s="200">
        <f t="shared" si="15"/>
        <v>509.67143483008772</v>
      </c>
      <c r="D159" s="200">
        <f t="shared" si="15"/>
        <v>697.24136537306129</v>
      </c>
      <c r="E159" s="200">
        <f t="shared" si="15"/>
        <v>423.4857325797189</v>
      </c>
      <c r="F159" s="200">
        <f t="shared" si="15"/>
        <v>572.15955352514584</v>
      </c>
      <c r="G159" s="200">
        <f t="shared" si="15"/>
        <v>740.33902134060634</v>
      </c>
      <c r="H159" s="200">
        <f t="shared" si="15"/>
        <v>172.98937540797129</v>
      </c>
      <c r="I159" s="200">
        <f t="shared" si="15"/>
        <v>243.45559462422523</v>
      </c>
      <c r="J159" s="200">
        <f t="shared" si="15"/>
        <v>326.64124452115379</v>
      </c>
      <c r="K159" s="200">
        <f t="shared" si="15"/>
        <v>391.71920552867954</v>
      </c>
      <c r="L159" s="200">
        <f t="shared" si="15"/>
        <v>522.40435585212049</v>
      </c>
      <c r="M159" s="200">
        <f t="shared" si="15"/>
        <v>673.26574155499088</v>
      </c>
      <c r="N159" s="200">
        <f t="shared" si="15"/>
        <v>274.04366653098867</v>
      </c>
      <c r="O159" s="200">
        <f t="shared" si="15"/>
        <v>370.82030476642109</v>
      </c>
      <c r="P159" s="250">
        <f t="shared" si="15"/>
        <v>483.3338729565528</v>
      </c>
    </row>
    <row r="160" spans="1:16" x14ac:dyDescent="0.2">
      <c r="A160" s="205">
        <v>14030005</v>
      </c>
      <c r="B160" s="200">
        <f t="shared" si="16"/>
        <v>16.292229916059384</v>
      </c>
      <c r="C160" s="200">
        <f t="shared" si="15"/>
        <v>21.296852441000762</v>
      </c>
      <c r="D160" s="200">
        <f t="shared" si="15"/>
        <v>27.220454703205309</v>
      </c>
      <c r="E160" s="200">
        <f t="shared" si="15"/>
        <v>19.935840109119408</v>
      </c>
      <c r="F160" s="200">
        <f t="shared" si="15"/>
        <v>27.350274790838224</v>
      </c>
      <c r="G160" s="200">
        <f t="shared" si="15"/>
        <v>37.796475176484499</v>
      </c>
      <c r="H160" s="200">
        <f t="shared" si="15"/>
        <v>16.500468682102394</v>
      </c>
      <c r="I160" s="200">
        <f t="shared" si="15"/>
        <v>22.025752744889516</v>
      </c>
      <c r="J160" s="200">
        <f t="shared" si="15"/>
        <v>29.606318746538047</v>
      </c>
      <c r="K160" s="200">
        <f t="shared" si="15"/>
        <v>22.221981048222677</v>
      </c>
      <c r="L160" s="200">
        <f t="shared" si="15"/>
        <v>27.429405605016544</v>
      </c>
      <c r="M160" s="200">
        <f t="shared" si="15"/>
        <v>33.565817133274237</v>
      </c>
      <c r="N160" s="200">
        <f t="shared" si="15"/>
        <v>15.577860324144824</v>
      </c>
      <c r="O160" s="200">
        <f t="shared" si="15"/>
        <v>23.780510342839708</v>
      </c>
      <c r="P160" s="250">
        <f t="shared" si="15"/>
        <v>34.545441584540917</v>
      </c>
    </row>
    <row r="161" spans="1:16" x14ac:dyDescent="0.2">
      <c r="A161" s="205">
        <v>3050102</v>
      </c>
      <c r="B161" s="200">
        <f t="shared" si="16"/>
        <v>18.396154453389915</v>
      </c>
      <c r="C161" s="200">
        <f t="shared" si="15"/>
        <v>22.172417467107103</v>
      </c>
      <c r="D161" s="200">
        <f t="shared" si="15"/>
        <v>27.120177036320634</v>
      </c>
      <c r="E161" s="200">
        <f t="shared" si="15"/>
        <v>24.129755103999479</v>
      </c>
      <c r="F161" s="200">
        <f t="shared" si="15"/>
        <v>32.256341975846595</v>
      </c>
      <c r="G161" s="200">
        <f t="shared" si="15"/>
        <v>44.109464589434509</v>
      </c>
      <c r="H161" s="200">
        <f t="shared" si="15"/>
        <v>17.951261438474692</v>
      </c>
      <c r="I161" s="200">
        <f t="shared" si="15"/>
        <v>20.753996651503531</v>
      </c>
      <c r="J161" s="200">
        <f t="shared" si="15"/>
        <v>23.747016289315333</v>
      </c>
      <c r="K161" s="200">
        <f t="shared" si="15"/>
        <v>18.282573233429218</v>
      </c>
      <c r="L161" s="200">
        <f t="shared" si="15"/>
        <v>20.544269139380795</v>
      </c>
      <c r="M161" s="200">
        <f t="shared" si="15"/>
        <v>23.067035680070163</v>
      </c>
      <c r="N161" s="200">
        <f t="shared" si="15"/>
        <v>21.037220625416282</v>
      </c>
      <c r="O161" s="200">
        <f t="shared" si="15"/>
        <v>23.789560527223461</v>
      </c>
      <c r="P161" s="250">
        <f t="shared" si="15"/>
        <v>27.125691739444498</v>
      </c>
    </row>
    <row r="162" spans="1:16" x14ac:dyDescent="0.2">
      <c r="A162" s="205">
        <v>16060010</v>
      </c>
      <c r="B162" s="200">
        <f t="shared" si="16"/>
        <v>43.015923628230354</v>
      </c>
      <c r="C162" s="200">
        <f t="shared" si="15"/>
        <v>56.575879863333292</v>
      </c>
      <c r="D162" s="200">
        <f t="shared" si="15"/>
        <v>72.954569352154621</v>
      </c>
      <c r="E162" s="200">
        <f t="shared" si="15"/>
        <v>56.138950256559994</v>
      </c>
      <c r="F162" s="200">
        <f t="shared" si="15"/>
        <v>82.294736760565272</v>
      </c>
      <c r="G162" s="200">
        <f t="shared" si="15"/>
        <v>112.91980238459657</v>
      </c>
      <c r="H162" s="200">
        <f t="shared" si="15"/>
        <v>20.700487356446171</v>
      </c>
      <c r="I162" s="200">
        <f t="shared" si="15"/>
        <v>25.65729684293246</v>
      </c>
      <c r="J162" s="200">
        <f t="shared" si="15"/>
        <v>32.004945204695964</v>
      </c>
      <c r="K162" s="200">
        <f t="shared" si="15"/>
        <v>42.275013028258073</v>
      </c>
      <c r="L162" s="200">
        <f t="shared" si="15"/>
        <v>53.511246960167647</v>
      </c>
      <c r="M162" s="200">
        <f t="shared" si="15"/>
        <v>65.433033180361107</v>
      </c>
      <c r="N162" s="200">
        <f t="shared" si="15"/>
        <v>22.503692711692487</v>
      </c>
      <c r="O162" s="200">
        <f t="shared" si="15"/>
        <v>31.516359688090574</v>
      </c>
      <c r="P162" s="250">
        <f t="shared" si="15"/>
        <v>44.85410622143354</v>
      </c>
    </row>
    <row r="163" spans="1:16" ht="16" thickBot="1" x14ac:dyDescent="0.25">
      <c r="A163" s="206">
        <v>11140205</v>
      </c>
      <c r="B163" s="202">
        <f t="shared" si="16"/>
        <v>9.0872045834662334</v>
      </c>
      <c r="C163" s="202">
        <f t="shared" si="15"/>
        <v>11.386312765925164</v>
      </c>
      <c r="D163" s="202">
        <f t="shared" si="15"/>
        <v>14.517401708578744</v>
      </c>
      <c r="E163" s="202">
        <f t="shared" si="15"/>
        <v>13.906594747007574</v>
      </c>
      <c r="F163" s="202">
        <f t="shared" si="15"/>
        <v>18.008094130888544</v>
      </c>
      <c r="G163" s="202">
        <f t="shared" si="15"/>
        <v>23.399119745449148</v>
      </c>
      <c r="H163" s="202">
        <f t="shared" si="15"/>
        <v>10.891878346723345</v>
      </c>
      <c r="I163" s="202">
        <f t="shared" si="15"/>
        <v>14.795801487858075</v>
      </c>
      <c r="J163" s="202">
        <f t="shared" si="15"/>
        <v>18.937018457428408</v>
      </c>
      <c r="K163" s="202">
        <f t="shared" si="15"/>
        <v>8.7623534724048646</v>
      </c>
      <c r="L163" s="202">
        <f t="shared" si="15"/>
        <v>10.535728664747044</v>
      </c>
      <c r="M163" s="202">
        <f t="shared" si="15"/>
        <v>12.899923128271551</v>
      </c>
      <c r="N163" s="202">
        <f t="shared" si="15"/>
        <v>11.121180163910761</v>
      </c>
      <c r="O163" s="202">
        <f t="shared" si="15"/>
        <v>14.915664228418109</v>
      </c>
      <c r="P163" s="251">
        <f t="shared" si="15"/>
        <v>19.638442916850128</v>
      </c>
    </row>
    <row r="165" spans="1:16" ht="16" thickBot="1" x14ac:dyDescent="0.25">
      <c r="A165" s="32" t="s">
        <v>474</v>
      </c>
    </row>
    <row r="166" spans="1:16" ht="16" thickBot="1" x14ac:dyDescent="0.25">
      <c r="A166" s="192" t="s">
        <v>409</v>
      </c>
      <c r="B166" s="436" t="s">
        <v>464</v>
      </c>
      <c r="C166" s="471"/>
      <c r="D166" s="471"/>
      <c r="E166" s="471"/>
      <c r="F166" s="471"/>
      <c r="G166" s="471"/>
      <c r="H166" s="471"/>
      <c r="I166" s="471"/>
      <c r="J166" s="471"/>
      <c r="K166" s="471"/>
      <c r="L166" s="471"/>
      <c r="M166" s="471"/>
      <c r="N166" s="471"/>
      <c r="O166" s="471"/>
      <c r="P166" s="437"/>
    </row>
    <row r="167" spans="1:16" ht="16" thickBot="1" x14ac:dyDescent="0.25">
      <c r="A167" s="192" t="s">
        <v>407</v>
      </c>
      <c r="B167" s="436" t="s">
        <v>457</v>
      </c>
      <c r="C167" s="471"/>
      <c r="D167" s="437"/>
      <c r="E167" s="436" t="s">
        <v>458</v>
      </c>
      <c r="F167" s="471"/>
      <c r="G167" s="437"/>
      <c r="H167" s="436" t="s">
        <v>459</v>
      </c>
      <c r="I167" s="471"/>
      <c r="J167" s="437"/>
      <c r="K167" s="436" t="s">
        <v>460</v>
      </c>
      <c r="L167" s="471"/>
      <c r="M167" s="437"/>
      <c r="N167" s="436" t="s">
        <v>461</v>
      </c>
      <c r="O167" s="471"/>
      <c r="P167" s="437"/>
    </row>
    <row r="168" spans="1:16" ht="16" thickBot="1" x14ac:dyDescent="0.25">
      <c r="A168" s="192" t="s">
        <v>179</v>
      </c>
      <c r="B168" s="194" t="s">
        <v>396</v>
      </c>
      <c r="C168" s="195" t="s">
        <v>397</v>
      </c>
      <c r="D168" s="196" t="s">
        <v>398</v>
      </c>
      <c r="E168" s="194" t="s">
        <v>396</v>
      </c>
      <c r="F168" s="195" t="s">
        <v>397</v>
      </c>
      <c r="G168" s="196" t="s">
        <v>398</v>
      </c>
      <c r="H168" s="194" t="s">
        <v>396</v>
      </c>
      <c r="I168" s="195" t="s">
        <v>397</v>
      </c>
      <c r="J168" s="196" t="s">
        <v>398</v>
      </c>
      <c r="K168" s="194" t="s">
        <v>396</v>
      </c>
      <c r="L168" s="195" t="s">
        <v>397</v>
      </c>
      <c r="M168" s="196" t="s">
        <v>398</v>
      </c>
      <c r="N168" s="194" t="s">
        <v>396</v>
      </c>
      <c r="O168" s="195" t="s">
        <v>397</v>
      </c>
      <c r="P168" s="196" t="s">
        <v>398</v>
      </c>
    </row>
    <row r="169" spans="1:16" x14ac:dyDescent="0.2">
      <c r="A169" s="281">
        <v>16060011</v>
      </c>
      <c r="B169" s="258">
        <f>SUM(B97,Q97,AF97,AU97,BJ97,BY97)</f>
        <v>52.99433730483716</v>
      </c>
      <c r="C169" s="258">
        <f t="shared" ref="C169:P181" si="17">SUM(C97,R97,AG97,AV97,BK97,BZ97)</f>
        <v>78.004044172758739</v>
      </c>
      <c r="D169" s="258">
        <f t="shared" si="17"/>
        <v>109.73919924503026</v>
      </c>
      <c r="E169" s="258">
        <f t="shared" si="17"/>
        <v>56.906085029732473</v>
      </c>
      <c r="F169" s="258">
        <f t="shared" si="17"/>
        <v>81.257535358102558</v>
      </c>
      <c r="G169" s="258">
        <f t="shared" si="17"/>
        <v>112.72529243664846</v>
      </c>
      <c r="H169" s="258">
        <f t="shared" si="17"/>
        <v>14.996876428930682</v>
      </c>
      <c r="I169" s="258">
        <f t="shared" si="17"/>
        <v>21.729740224230909</v>
      </c>
      <c r="J169" s="258">
        <f t="shared" si="17"/>
        <v>30.866822924821559</v>
      </c>
      <c r="K169" s="258">
        <f t="shared" si="17"/>
        <v>51.64595508773963</v>
      </c>
      <c r="L169" s="258">
        <f t="shared" si="17"/>
        <v>69.723187601115171</v>
      </c>
      <c r="M169" s="258">
        <f t="shared" si="17"/>
        <v>90.435766200318824</v>
      </c>
      <c r="N169" s="258">
        <f t="shared" si="17"/>
        <v>17.423216632057301</v>
      </c>
      <c r="O169" s="258">
        <f t="shared" si="17"/>
        <v>30.832919688982809</v>
      </c>
      <c r="P169" s="282">
        <f t="shared" si="17"/>
        <v>49.513045856411793</v>
      </c>
    </row>
    <row r="170" spans="1:16" x14ac:dyDescent="0.2">
      <c r="A170" s="205">
        <v>15030202</v>
      </c>
      <c r="B170" s="200">
        <f t="shared" ref="B170:B181" si="18">SUM(B98,Q98,AF98,AU98,BJ98,BY98)</f>
        <v>103.25524423031756</v>
      </c>
      <c r="C170" s="200">
        <f t="shared" si="17"/>
        <v>138.24186937335904</v>
      </c>
      <c r="D170" s="200">
        <f t="shared" si="17"/>
        <v>182.62467536359313</v>
      </c>
      <c r="E170" s="200">
        <f t="shared" si="17"/>
        <v>97.616147407882508</v>
      </c>
      <c r="F170" s="200">
        <f t="shared" si="17"/>
        <v>122.89708609084651</v>
      </c>
      <c r="G170" s="200">
        <f t="shared" si="17"/>
        <v>158.80024304685568</v>
      </c>
      <c r="H170" s="200">
        <f t="shared" si="17"/>
        <v>77.788262218657977</v>
      </c>
      <c r="I170" s="200">
        <f t="shared" si="17"/>
        <v>93.875716425730346</v>
      </c>
      <c r="J170" s="200">
        <f t="shared" si="17"/>
        <v>114.783932981288</v>
      </c>
      <c r="K170" s="200">
        <f t="shared" si="17"/>
        <v>92.580192316922705</v>
      </c>
      <c r="L170" s="200">
        <f t="shared" si="17"/>
        <v>114.24726546643203</v>
      </c>
      <c r="M170" s="200">
        <f t="shared" si="17"/>
        <v>138.21928452500197</v>
      </c>
      <c r="N170" s="200">
        <f t="shared" si="17"/>
        <v>67.538396410035503</v>
      </c>
      <c r="O170" s="200">
        <f t="shared" si="17"/>
        <v>83.434039546926272</v>
      </c>
      <c r="P170" s="250">
        <f t="shared" si="17"/>
        <v>103.56377629415934</v>
      </c>
    </row>
    <row r="171" spans="1:16" x14ac:dyDescent="0.2">
      <c r="A171" s="205">
        <v>15030201</v>
      </c>
      <c r="B171" s="200">
        <f t="shared" si="18"/>
        <v>102.51209852851237</v>
      </c>
      <c r="C171" s="200">
        <f t="shared" si="17"/>
        <v>137.1778967041254</v>
      </c>
      <c r="D171" s="200">
        <f t="shared" si="17"/>
        <v>182.08539042610306</v>
      </c>
      <c r="E171" s="200">
        <f t="shared" si="17"/>
        <v>97.333762953873162</v>
      </c>
      <c r="F171" s="200">
        <f t="shared" si="17"/>
        <v>122.41883245469847</v>
      </c>
      <c r="G171" s="200">
        <f t="shared" si="17"/>
        <v>158.87634822080716</v>
      </c>
      <c r="H171" s="200">
        <f t="shared" si="17"/>
        <v>77.730833929020918</v>
      </c>
      <c r="I171" s="200">
        <f t="shared" si="17"/>
        <v>93.645908694303088</v>
      </c>
      <c r="J171" s="200">
        <f t="shared" si="17"/>
        <v>114.79765762412033</v>
      </c>
      <c r="K171" s="200">
        <f t="shared" si="17"/>
        <v>92.694847075894756</v>
      </c>
      <c r="L171" s="200">
        <f t="shared" si="17"/>
        <v>114.03017853685866</v>
      </c>
      <c r="M171" s="200">
        <f t="shared" si="17"/>
        <v>137.45505378165888</v>
      </c>
      <c r="N171" s="200">
        <f t="shared" si="17"/>
        <v>67.853279759003769</v>
      </c>
      <c r="O171" s="200">
        <f t="shared" si="17"/>
        <v>83.843164025623182</v>
      </c>
      <c r="P171" s="250">
        <f t="shared" si="17"/>
        <v>103.79027458240414</v>
      </c>
    </row>
    <row r="172" spans="1:16" x14ac:dyDescent="0.2">
      <c r="A172" s="205">
        <v>18100204</v>
      </c>
      <c r="B172" s="200">
        <f t="shared" si="18"/>
        <v>1508.7024738835312</v>
      </c>
      <c r="C172" s="200">
        <f t="shared" si="17"/>
        <v>2961.6431689825072</v>
      </c>
      <c r="D172" s="200">
        <f t="shared" si="17"/>
        <v>5025.6618092180561</v>
      </c>
      <c r="E172" s="200">
        <f t="shared" si="17"/>
        <v>1110.2141206012802</v>
      </c>
      <c r="F172" s="200">
        <f t="shared" si="17"/>
        <v>1870.3899333657403</v>
      </c>
      <c r="G172" s="200">
        <f t="shared" si="17"/>
        <v>2937.8258336677195</v>
      </c>
      <c r="H172" s="200">
        <f t="shared" si="17"/>
        <v>503.24387084085606</v>
      </c>
      <c r="I172" s="200">
        <f t="shared" si="17"/>
        <v>896.74347503566025</v>
      </c>
      <c r="J172" s="200">
        <f t="shared" si="17"/>
        <v>1410.6121615549976</v>
      </c>
      <c r="K172" s="200">
        <f t="shared" si="17"/>
        <v>1598.8611079723869</v>
      </c>
      <c r="L172" s="200">
        <f t="shared" si="17"/>
        <v>2450.1776809907565</v>
      </c>
      <c r="M172" s="200">
        <f t="shared" si="17"/>
        <v>3402.141775676118</v>
      </c>
      <c r="N172" s="200">
        <f t="shared" si="17"/>
        <v>722.21587959573549</v>
      </c>
      <c r="O172" s="200">
        <f t="shared" si="17"/>
        <v>1528.6665890387899</v>
      </c>
      <c r="P172" s="250">
        <f t="shared" si="17"/>
        <v>2672.4790006022595</v>
      </c>
    </row>
    <row r="173" spans="1:16" x14ac:dyDescent="0.2">
      <c r="A173" s="205">
        <v>16060013</v>
      </c>
      <c r="B173" s="200">
        <f t="shared" si="18"/>
        <v>53.492361227518863</v>
      </c>
      <c r="C173" s="200">
        <f t="shared" si="17"/>
        <v>78.186790657696633</v>
      </c>
      <c r="D173" s="200">
        <f t="shared" si="17"/>
        <v>108.92097827811739</v>
      </c>
      <c r="E173" s="200">
        <f t="shared" si="17"/>
        <v>57.138767112398526</v>
      </c>
      <c r="F173" s="200">
        <f t="shared" si="17"/>
        <v>81.282533654408383</v>
      </c>
      <c r="G173" s="200">
        <f t="shared" si="17"/>
        <v>111.54808047893601</v>
      </c>
      <c r="H173" s="200">
        <f t="shared" si="17"/>
        <v>14.97752763987622</v>
      </c>
      <c r="I173" s="200">
        <f t="shared" si="17"/>
        <v>21.733525124593275</v>
      </c>
      <c r="J173" s="200">
        <f t="shared" si="17"/>
        <v>30.936458425602702</v>
      </c>
      <c r="K173" s="200">
        <f t="shared" si="17"/>
        <v>51.940163151187477</v>
      </c>
      <c r="L173" s="200">
        <f t="shared" si="17"/>
        <v>69.578746192933664</v>
      </c>
      <c r="M173" s="200">
        <f t="shared" si="17"/>
        <v>90.235824414617625</v>
      </c>
      <c r="N173" s="200">
        <f t="shared" si="17"/>
        <v>17.416313297375215</v>
      </c>
      <c r="O173" s="200">
        <f t="shared" si="17"/>
        <v>30.651831001431884</v>
      </c>
      <c r="P173" s="250">
        <f t="shared" si="17"/>
        <v>49.634206681286273</v>
      </c>
    </row>
    <row r="174" spans="1:16" x14ac:dyDescent="0.2">
      <c r="A174" s="205">
        <v>18090208</v>
      </c>
      <c r="B174" s="200">
        <f t="shared" si="18"/>
        <v>794.78805012284363</v>
      </c>
      <c r="C174" s="200">
        <f t="shared" si="17"/>
        <v>1114.275936736871</v>
      </c>
      <c r="D174" s="200">
        <f t="shared" si="17"/>
        <v>1569.9160526283642</v>
      </c>
      <c r="E174" s="200">
        <f t="shared" si="17"/>
        <v>1434.572706007127</v>
      </c>
      <c r="F174" s="200">
        <f t="shared" si="17"/>
        <v>2100.095167203759</v>
      </c>
      <c r="G174" s="200">
        <f t="shared" si="17"/>
        <v>2863.5199166502871</v>
      </c>
      <c r="H174" s="200">
        <f t="shared" si="17"/>
        <v>446.44004728997942</v>
      </c>
      <c r="I174" s="200">
        <f t="shared" si="17"/>
        <v>564.10930081410891</v>
      </c>
      <c r="J174" s="200">
        <f t="shared" si="17"/>
        <v>707.04459770771189</v>
      </c>
      <c r="K174" s="200">
        <f t="shared" si="17"/>
        <v>933.48515140385962</v>
      </c>
      <c r="L174" s="200">
        <f t="shared" si="17"/>
        <v>1359.9352124109175</v>
      </c>
      <c r="M174" s="200">
        <f t="shared" si="17"/>
        <v>1982.1871302076383</v>
      </c>
      <c r="N174" s="200">
        <f t="shared" si="17"/>
        <v>511.23807374785127</v>
      </c>
      <c r="O174" s="200">
        <f t="shared" si="17"/>
        <v>687.2349776121705</v>
      </c>
      <c r="P174" s="250">
        <f t="shared" si="17"/>
        <v>900.52003647342076</v>
      </c>
    </row>
    <row r="175" spans="1:16" x14ac:dyDescent="0.2">
      <c r="A175" s="205">
        <v>16060003</v>
      </c>
      <c r="B175" s="200">
        <f t="shared" si="18"/>
        <v>38.029396628136922</v>
      </c>
      <c r="C175" s="200">
        <f t="shared" si="17"/>
        <v>56.039974093927292</v>
      </c>
      <c r="D175" s="200">
        <f t="shared" si="17"/>
        <v>77.229716909241972</v>
      </c>
      <c r="E175" s="200">
        <f t="shared" si="17"/>
        <v>41.941115158864022</v>
      </c>
      <c r="F175" s="200">
        <f t="shared" si="17"/>
        <v>60.18013754181419</v>
      </c>
      <c r="G175" s="200">
        <f t="shared" si="17"/>
        <v>83.458280753167529</v>
      </c>
      <c r="H175" s="200">
        <f t="shared" si="17"/>
        <v>10.954488847920082</v>
      </c>
      <c r="I175" s="200">
        <f t="shared" si="17"/>
        <v>15.835204748132826</v>
      </c>
      <c r="J175" s="200">
        <f t="shared" si="17"/>
        <v>22.173978071415508</v>
      </c>
      <c r="K175" s="200">
        <f t="shared" si="17"/>
        <v>37.581304911520689</v>
      </c>
      <c r="L175" s="200">
        <f t="shared" si="17"/>
        <v>50.271446499219032</v>
      </c>
      <c r="M175" s="200">
        <f t="shared" si="17"/>
        <v>64.348873775629997</v>
      </c>
      <c r="N175" s="200">
        <f t="shared" si="17"/>
        <v>12.659288787617283</v>
      </c>
      <c r="O175" s="200">
        <f t="shared" si="17"/>
        <v>22.659246443240431</v>
      </c>
      <c r="P175" s="250">
        <f t="shared" si="17"/>
        <v>36.608723173654177</v>
      </c>
    </row>
    <row r="176" spans="1:16" x14ac:dyDescent="0.2">
      <c r="A176" s="205">
        <v>3050105</v>
      </c>
      <c r="B176" s="200">
        <f t="shared" si="18"/>
        <v>59.365265512688133</v>
      </c>
      <c r="C176" s="200">
        <f t="shared" si="17"/>
        <v>63.204226090389668</v>
      </c>
      <c r="D176" s="200">
        <f t="shared" si="17"/>
        <v>67.652875114849323</v>
      </c>
      <c r="E176" s="200">
        <f t="shared" si="17"/>
        <v>64.083196903151915</v>
      </c>
      <c r="F176" s="200">
        <f t="shared" si="17"/>
        <v>71.538815165274542</v>
      </c>
      <c r="G176" s="200">
        <f t="shared" si="17"/>
        <v>82.004594990514121</v>
      </c>
      <c r="H176" s="200">
        <f t="shared" si="17"/>
        <v>58.531468115121456</v>
      </c>
      <c r="I176" s="200">
        <f t="shared" si="17"/>
        <v>61.800327808039512</v>
      </c>
      <c r="J176" s="200">
        <f t="shared" si="17"/>
        <v>64.844308562345262</v>
      </c>
      <c r="K176" s="200">
        <f t="shared" si="17"/>
        <v>59.035128977418665</v>
      </c>
      <c r="L176" s="200">
        <f t="shared" si="17"/>
        <v>61.940230372336394</v>
      </c>
      <c r="M176" s="200">
        <f t="shared" si="17"/>
        <v>64.806830045049566</v>
      </c>
      <c r="N176" s="200">
        <f t="shared" si="17"/>
        <v>61.399120178765138</v>
      </c>
      <c r="O176" s="200">
        <f t="shared" si="17"/>
        <v>64.49466735853818</v>
      </c>
      <c r="P176" s="250">
        <f t="shared" si="17"/>
        <v>67.75759934347839</v>
      </c>
    </row>
    <row r="177" spans="1:16" x14ac:dyDescent="0.2">
      <c r="A177" s="205">
        <v>16040201</v>
      </c>
      <c r="B177" s="200">
        <f t="shared" si="18"/>
        <v>371.76404316741525</v>
      </c>
      <c r="C177" s="200">
        <f t="shared" si="17"/>
        <v>508.93506893672804</v>
      </c>
      <c r="D177" s="200">
        <f t="shared" si="17"/>
        <v>697.4935210289467</v>
      </c>
      <c r="E177" s="200">
        <f t="shared" si="17"/>
        <v>420.79047596139191</v>
      </c>
      <c r="F177" s="200">
        <f t="shared" si="17"/>
        <v>569.35097271063228</v>
      </c>
      <c r="G177" s="200">
        <f t="shared" si="17"/>
        <v>737.32925841403096</v>
      </c>
      <c r="H177" s="200">
        <f t="shared" si="17"/>
        <v>170.91054383029214</v>
      </c>
      <c r="I177" s="200">
        <f t="shared" si="17"/>
        <v>242.05742339987904</v>
      </c>
      <c r="J177" s="200">
        <f t="shared" si="17"/>
        <v>326.79857580375329</v>
      </c>
      <c r="K177" s="200">
        <f t="shared" si="17"/>
        <v>393.83018428393331</v>
      </c>
      <c r="L177" s="200">
        <f t="shared" si="17"/>
        <v>522.81010116258494</v>
      </c>
      <c r="M177" s="200">
        <f t="shared" si="17"/>
        <v>675.63159320436694</v>
      </c>
      <c r="N177" s="200">
        <f t="shared" si="17"/>
        <v>270.94652838946217</v>
      </c>
      <c r="O177" s="200">
        <f t="shared" si="17"/>
        <v>370.30260568558055</v>
      </c>
      <c r="P177" s="250">
        <f t="shared" si="17"/>
        <v>484.42249915657351</v>
      </c>
    </row>
    <row r="178" spans="1:16" x14ac:dyDescent="0.2">
      <c r="A178" s="205">
        <v>14030005</v>
      </c>
      <c r="B178" s="200">
        <f t="shared" si="18"/>
        <v>15.90418323271895</v>
      </c>
      <c r="C178" s="200">
        <f t="shared" si="17"/>
        <v>20.859535277119022</v>
      </c>
      <c r="D178" s="200">
        <f t="shared" si="17"/>
        <v>26.795832911440588</v>
      </c>
      <c r="E178" s="200">
        <f t="shared" si="17"/>
        <v>19.400250077033139</v>
      </c>
      <c r="F178" s="200">
        <f t="shared" si="17"/>
        <v>26.987835015405317</v>
      </c>
      <c r="G178" s="200">
        <f t="shared" si="17"/>
        <v>37.399501762676373</v>
      </c>
      <c r="H178" s="200">
        <f t="shared" si="17"/>
        <v>15.985469089146431</v>
      </c>
      <c r="I178" s="200">
        <f t="shared" si="17"/>
        <v>21.476877681869269</v>
      </c>
      <c r="J178" s="200">
        <f t="shared" si="17"/>
        <v>29.069760474353551</v>
      </c>
      <c r="K178" s="200">
        <f t="shared" si="17"/>
        <v>21.875081080458742</v>
      </c>
      <c r="L178" s="200">
        <f t="shared" si="17"/>
        <v>26.991414033405647</v>
      </c>
      <c r="M178" s="200">
        <f t="shared" si="17"/>
        <v>33.065793470583351</v>
      </c>
      <c r="N178" s="200">
        <f t="shared" si="17"/>
        <v>15.40541762957006</v>
      </c>
      <c r="O178" s="200">
        <f t="shared" si="17"/>
        <v>23.365160452137911</v>
      </c>
      <c r="P178" s="250">
        <f t="shared" si="17"/>
        <v>34.183577572757081</v>
      </c>
    </row>
    <row r="179" spans="1:16" x14ac:dyDescent="0.2">
      <c r="A179" s="205">
        <v>3050102</v>
      </c>
      <c r="B179" s="200">
        <f t="shared" si="18"/>
        <v>15.859008548378712</v>
      </c>
      <c r="C179" s="200">
        <f t="shared" si="17"/>
        <v>19.030402159567991</v>
      </c>
      <c r="D179" s="200">
        <f t="shared" si="17"/>
        <v>23.181184510233585</v>
      </c>
      <c r="E179" s="200">
        <f t="shared" si="17"/>
        <v>21.330628040890346</v>
      </c>
      <c r="F179" s="200">
        <f t="shared" si="17"/>
        <v>29.117495786740069</v>
      </c>
      <c r="G179" s="200">
        <f t="shared" si="17"/>
        <v>40.64033965893919</v>
      </c>
      <c r="H179" s="200">
        <f t="shared" si="17"/>
        <v>15.470661658546947</v>
      </c>
      <c r="I179" s="200">
        <f t="shared" si="17"/>
        <v>17.788654327620574</v>
      </c>
      <c r="J179" s="200">
        <f t="shared" si="17"/>
        <v>20.202455104925662</v>
      </c>
      <c r="K179" s="200">
        <f t="shared" si="17"/>
        <v>15.625704267344593</v>
      </c>
      <c r="L179" s="200">
        <f t="shared" si="17"/>
        <v>17.624407550964303</v>
      </c>
      <c r="M179" s="200">
        <f t="shared" si="17"/>
        <v>19.758177953745165</v>
      </c>
      <c r="N179" s="200">
        <f t="shared" si="17"/>
        <v>18.206144264839075</v>
      </c>
      <c r="O179" s="200">
        <f t="shared" si="17"/>
        <v>20.561979344695079</v>
      </c>
      <c r="P179" s="250">
        <f t="shared" si="17"/>
        <v>23.354850500234033</v>
      </c>
    </row>
    <row r="180" spans="1:16" x14ac:dyDescent="0.2">
      <c r="A180" s="205">
        <v>16060010</v>
      </c>
      <c r="B180" s="200">
        <f t="shared" si="18"/>
        <v>41.046266755278452</v>
      </c>
      <c r="C180" s="200">
        <f t="shared" si="17"/>
        <v>54.40139789398421</v>
      </c>
      <c r="D180" s="200">
        <f t="shared" si="17"/>
        <v>70.064146026706396</v>
      </c>
      <c r="E180" s="200">
        <f t="shared" si="17"/>
        <v>53.888528747742882</v>
      </c>
      <c r="F180" s="200">
        <f t="shared" si="17"/>
        <v>80.02985413144161</v>
      </c>
      <c r="G180" s="200">
        <f t="shared" si="17"/>
        <v>110.51065070348702</v>
      </c>
      <c r="H180" s="200">
        <f t="shared" si="17"/>
        <v>19.038992448253023</v>
      </c>
      <c r="I180" s="200">
        <f t="shared" si="17"/>
        <v>23.621536543144305</v>
      </c>
      <c r="J180" s="200">
        <f t="shared" si="17"/>
        <v>29.521855179638397</v>
      </c>
      <c r="K180" s="200">
        <f t="shared" si="17"/>
        <v>40.723557427628457</v>
      </c>
      <c r="L180" s="200">
        <f t="shared" si="17"/>
        <v>51.585989806762612</v>
      </c>
      <c r="M180" s="200">
        <f t="shared" si="17"/>
        <v>63.01052138308232</v>
      </c>
      <c r="N180" s="200">
        <f t="shared" si="17"/>
        <v>20.673275952686453</v>
      </c>
      <c r="O180" s="200">
        <f t="shared" si="17"/>
        <v>29.400156934743904</v>
      </c>
      <c r="P180" s="250">
        <f t="shared" si="17"/>
        <v>42.310441663150868</v>
      </c>
    </row>
    <row r="181" spans="1:16" ht="16" thickBot="1" x14ac:dyDescent="0.25">
      <c r="A181" s="206">
        <v>11140205</v>
      </c>
      <c r="B181" s="202">
        <f t="shared" si="18"/>
        <v>8.1982799993307101</v>
      </c>
      <c r="C181" s="202">
        <f t="shared" si="17"/>
        <v>10.23369862851955</v>
      </c>
      <c r="D181" s="202">
        <f t="shared" si="17"/>
        <v>13.020787033296308</v>
      </c>
      <c r="E181" s="202">
        <f t="shared" si="17"/>
        <v>12.76619421939936</v>
      </c>
      <c r="F181" s="202">
        <f t="shared" si="17"/>
        <v>16.765125384667002</v>
      </c>
      <c r="G181" s="202">
        <f t="shared" si="17"/>
        <v>22.026579558881863</v>
      </c>
      <c r="H181" s="202">
        <f t="shared" si="17"/>
        <v>9.8669451128629131</v>
      </c>
      <c r="I181" s="202">
        <f t="shared" si="17"/>
        <v>13.47776866926815</v>
      </c>
      <c r="J181" s="202">
        <f t="shared" si="17"/>
        <v>17.405623569452217</v>
      </c>
      <c r="K181" s="202">
        <f t="shared" si="17"/>
        <v>7.7810898703602049</v>
      </c>
      <c r="L181" s="202">
        <f t="shared" si="17"/>
        <v>9.4494966123267155</v>
      </c>
      <c r="M181" s="202">
        <f t="shared" si="17"/>
        <v>11.67544714946732</v>
      </c>
      <c r="N181" s="202">
        <f t="shared" si="17"/>
        <v>10.17102900637909</v>
      </c>
      <c r="O181" s="202">
        <f t="shared" si="17"/>
        <v>13.793830857209612</v>
      </c>
      <c r="P181" s="251">
        <f t="shared" si="17"/>
        <v>18.219901960795305</v>
      </c>
    </row>
    <row r="183" spans="1:16" ht="16" thickBot="1" x14ac:dyDescent="0.25">
      <c r="A183" s="32" t="s">
        <v>473</v>
      </c>
    </row>
    <row r="184" spans="1:16" ht="16" thickBot="1" x14ac:dyDescent="0.25">
      <c r="A184" s="192" t="s">
        <v>409</v>
      </c>
      <c r="B184" s="436" t="s">
        <v>465</v>
      </c>
      <c r="C184" s="471"/>
      <c r="D184" s="471"/>
      <c r="E184" s="471"/>
      <c r="F184" s="471"/>
      <c r="G184" s="471"/>
      <c r="H184" s="471"/>
      <c r="I184" s="471"/>
      <c r="J184" s="471"/>
      <c r="K184" s="471"/>
      <c r="L184" s="471"/>
      <c r="M184" s="471"/>
      <c r="N184" s="471"/>
      <c r="O184" s="471"/>
      <c r="P184" s="437"/>
    </row>
    <row r="185" spans="1:16" ht="16" thickBot="1" x14ac:dyDescent="0.25">
      <c r="A185" s="192" t="s">
        <v>407</v>
      </c>
      <c r="B185" s="436" t="s">
        <v>457</v>
      </c>
      <c r="C185" s="471"/>
      <c r="D185" s="437"/>
      <c r="E185" s="436" t="s">
        <v>458</v>
      </c>
      <c r="F185" s="471"/>
      <c r="G185" s="437"/>
      <c r="H185" s="436" t="s">
        <v>459</v>
      </c>
      <c r="I185" s="471"/>
      <c r="J185" s="437"/>
      <c r="K185" s="436" t="s">
        <v>460</v>
      </c>
      <c r="L185" s="471"/>
      <c r="M185" s="437"/>
      <c r="N185" s="436" t="s">
        <v>461</v>
      </c>
      <c r="O185" s="471"/>
      <c r="P185" s="437"/>
    </row>
    <row r="186" spans="1:16" ht="16" thickBot="1" x14ac:dyDescent="0.25">
      <c r="A186" s="192" t="s">
        <v>179</v>
      </c>
      <c r="B186" s="194" t="s">
        <v>396</v>
      </c>
      <c r="C186" s="195" t="s">
        <v>397</v>
      </c>
      <c r="D186" s="196" t="s">
        <v>398</v>
      </c>
      <c r="E186" s="194" t="s">
        <v>396</v>
      </c>
      <c r="F186" s="195" t="s">
        <v>397</v>
      </c>
      <c r="G186" s="196" t="s">
        <v>398</v>
      </c>
      <c r="H186" s="194" t="s">
        <v>396</v>
      </c>
      <c r="I186" s="195" t="s">
        <v>397</v>
      </c>
      <c r="J186" s="196" t="s">
        <v>398</v>
      </c>
      <c r="K186" s="194" t="s">
        <v>396</v>
      </c>
      <c r="L186" s="195" t="s">
        <v>397</v>
      </c>
      <c r="M186" s="196" t="s">
        <v>398</v>
      </c>
      <c r="N186" s="194" t="s">
        <v>396</v>
      </c>
      <c r="O186" s="195" t="s">
        <v>397</v>
      </c>
      <c r="P186" s="196" t="s">
        <v>398</v>
      </c>
    </row>
    <row r="187" spans="1:16" x14ac:dyDescent="0.2">
      <c r="A187" s="281">
        <v>16060011</v>
      </c>
      <c r="B187" s="258">
        <f>SUM(B115,Q115,AF115,AU115,BJ115,BY115)</f>
        <v>55.433060298050854</v>
      </c>
      <c r="C187" s="258">
        <f t="shared" ref="C187:P199" si="19">SUM(C115,R115,AG115,AV115,BK115,BZ115)</f>
        <v>81.369865634550209</v>
      </c>
      <c r="D187" s="258">
        <f t="shared" si="19"/>
        <v>113.34609307798165</v>
      </c>
      <c r="E187" s="258">
        <f t="shared" si="19"/>
        <v>58.392030217592065</v>
      </c>
      <c r="F187" s="258">
        <f t="shared" si="19"/>
        <v>83.673284148766314</v>
      </c>
      <c r="G187" s="258">
        <f t="shared" si="19"/>
        <v>115.71063778257653</v>
      </c>
      <c r="H187" s="258">
        <f t="shared" si="19"/>
        <v>17.101888138103458</v>
      </c>
      <c r="I187" s="258">
        <f t="shared" si="19"/>
        <v>24.207693935965064</v>
      </c>
      <c r="J187" s="258">
        <f t="shared" si="19"/>
        <v>33.896764668422634</v>
      </c>
      <c r="K187" s="258">
        <f t="shared" si="19"/>
        <v>53.513094908383849</v>
      </c>
      <c r="L187" s="258">
        <f t="shared" si="19"/>
        <v>72.104076427253744</v>
      </c>
      <c r="M187" s="258">
        <f t="shared" si="19"/>
        <v>92.921667999452993</v>
      </c>
      <c r="N187" s="258">
        <f t="shared" si="19"/>
        <v>19.686665001540881</v>
      </c>
      <c r="O187" s="258">
        <f t="shared" si="19"/>
        <v>33.44637517679412</v>
      </c>
      <c r="P187" s="282">
        <f t="shared" si="19"/>
        <v>52.889535868716678</v>
      </c>
    </row>
    <row r="188" spans="1:16" x14ac:dyDescent="0.2">
      <c r="A188" s="205">
        <v>15030202</v>
      </c>
      <c r="B188" s="200">
        <f t="shared" ref="B188:B199" si="20">SUM(B116,Q116,AF116,AU116,BJ116,BY116)</f>
        <v>124.99122339596153</v>
      </c>
      <c r="C188" s="200">
        <f t="shared" si="19"/>
        <v>164.96589893204106</v>
      </c>
      <c r="D188" s="200">
        <f t="shared" si="19"/>
        <v>214.78102099615441</v>
      </c>
      <c r="E188" s="200">
        <f t="shared" si="19"/>
        <v>118.62839652940919</v>
      </c>
      <c r="F188" s="200">
        <f t="shared" si="19"/>
        <v>148.07747287788393</v>
      </c>
      <c r="G188" s="200">
        <f t="shared" si="19"/>
        <v>189.57552107205552</v>
      </c>
      <c r="H188" s="200">
        <f t="shared" si="19"/>
        <v>97.490720775666077</v>
      </c>
      <c r="I188" s="200">
        <f t="shared" si="19"/>
        <v>118.07953586185592</v>
      </c>
      <c r="J188" s="200">
        <f t="shared" si="19"/>
        <v>144.03619894663564</v>
      </c>
      <c r="K188" s="200">
        <f t="shared" si="19"/>
        <v>111.25629521385532</v>
      </c>
      <c r="L188" s="200">
        <f t="shared" si="19"/>
        <v>138.35599832293494</v>
      </c>
      <c r="M188" s="200">
        <f t="shared" si="19"/>
        <v>167.45812660020542</v>
      </c>
      <c r="N188" s="200">
        <f t="shared" si="19"/>
        <v>86.087757587604614</v>
      </c>
      <c r="O188" s="200">
        <f t="shared" si="19"/>
        <v>107.74768557113389</v>
      </c>
      <c r="P188" s="250">
        <f t="shared" si="19"/>
        <v>133.6266338474006</v>
      </c>
    </row>
    <row r="189" spans="1:16" x14ac:dyDescent="0.2">
      <c r="A189" s="205">
        <v>15030201</v>
      </c>
      <c r="B189" s="200">
        <f t="shared" si="20"/>
        <v>124.93810394624192</v>
      </c>
      <c r="C189" s="200">
        <f t="shared" si="19"/>
        <v>164.72200879260342</v>
      </c>
      <c r="D189" s="200">
        <f t="shared" si="19"/>
        <v>214.39002333920564</v>
      </c>
      <c r="E189" s="200">
        <f t="shared" si="19"/>
        <v>118.25479766393575</v>
      </c>
      <c r="F189" s="200">
        <f t="shared" si="19"/>
        <v>148.53334502403257</v>
      </c>
      <c r="G189" s="200">
        <f t="shared" si="19"/>
        <v>190.39067570589864</v>
      </c>
      <c r="H189" s="200">
        <f t="shared" si="19"/>
        <v>97.027762723125548</v>
      </c>
      <c r="I189" s="200">
        <f t="shared" si="19"/>
        <v>117.85868496233186</v>
      </c>
      <c r="J189" s="200">
        <f t="shared" si="19"/>
        <v>144.44379568212409</v>
      </c>
      <c r="K189" s="200">
        <f t="shared" si="19"/>
        <v>111.85715932604855</v>
      </c>
      <c r="L189" s="200">
        <f t="shared" si="19"/>
        <v>138.48783367394662</v>
      </c>
      <c r="M189" s="200">
        <f t="shared" si="19"/>
        <v>167.95235466166051</v>
      </c>
      <c r="N189" s="200">
        <f t="shared" si="19"/>
        <v>86.19161517573518</v>
      </c>
      <c r="O189" s="200">
        <f t="shared" si="19"/>
        <v>107.63474926268303</v>
      </c>
      <c r="P189" s="250">
        <f t="shared" si="19"/>
        <v>133.36731784692395</v>
      </c>
    </row>
    <row r="190" spans="1:16" x14ac:dyDescent="0.2">
      <c r="A190" s="205">
        <v>18100204</v>
      </c>
      <c r="B190" s="200">
        <f t="shared" si="20"/>
        <v>1525.5990054048123</v>
      </c>
      <c r="C190" s="200">
        <f t="shared" si="19"/>
        <v>2994.6617723666482</v>
      </c>
      <c r="D190" s="200">
        <f t="shared" si="19"/>
        <v>5117.4728433870605</v>
      </c>
      <c r="E190" s="200">
        <f t="shared" si="19"/>
        <v>1114.989921850012</v>
      </c>
      <c r="F190" s="200">
        <f t="shared" si="19"/>
        <v>1902.1140083954342</v>
      </c>
      <c r="G190" s="200">
        <f t="shared" si="19"/>
        <v>2973.2851740700839</v>
      </c>
      <c r="H190" s="200">
        <f t="shared" si="19"/>
        <v>517.60563527466377</v>
      </c>
      <c r="I190" s="200">
        <f t="shared" si="19"/>
        <v>915.58122145245579</v>
      </c>
      <c r="J190" s="200">
        <f t="shared" si="19"/>
        <v>1434.4038587818673</v>
      </c>
      <c r="K190" s="200">
        <f t="shared" si="19"/>
        <v>1622.6222496584392</v>
      </c>
      <c r="L190" s="200">
        <f t="shared" si="19"/>
        <v>2459.3811567448952</v>
      </c>
      <c r="M190" s="200">
        <f t="shared" si="19"/>
        <v>3405.3854277074106</v>
      </c>
      <c r="N190" s="200">
        <f t="shared" si="19"/>
        <v>722.40274650712672</v>
      </c>
      <c r="O190" s="200">
        <f t="shared" si="19"/>
        <v>1565.1787835669345</v>
      </c>
      <c r="P190" s="250">
        <f t="shared" si="19"/>
        <v>2688.8791899326652</v>
      </c>
    </row>
    <row r="191" spans="1:16" x14ac:dyDescent="0.2">
      <c r="A191" s="205">
        <v>16060013</v>
      </c>
      <c r="B191" s="200">
        <f t="shared" si="20"/>
        <v>56.110164135551472</v>
      </c>
      <c r="C191" s="200">
        <f t="shared" si="19"/>
        <v>81.390589918906528</v>
      </c>
      <c r="D191" s="200">
        <f t="shared" si="19"/>
        <v>113.19461532947703</v>
      </c>
      <c r="E191" s="200">
        <f t="shared" si="19"/>
        <v>59.353105145486701</v>
      </c>
      <c r="F191" s="200">
        <f t="shared" si="19"/>
        <v>84.170663694941979</v>
      </c>
      <c r="G191" s="200">
        <f t="shared" si="19"/>
        <v>116.22876315056456</v>
      </c>
      <c r="H191" s="200">
        <f t="shared" si="19"/>
        <v>17.037784532041499</v>
      </c>
      <c r="I191" s="200">
        <f t="shared" si="19"/>
        <v>24.225737100216712</v>
      </c>
      <c r="J191" s="200">
        <f t="shared" si="19"/>
        <v>33.777732215792653</v>
      </c>
      <c r="K191" s="200">
        <f t="shared" si="19"/>
        <v>53.544220462942661</v>
      </c>
      <c r="L191" s="200">
        <f t="shared" si="19"/>
        <v>71.889280482972723</v>
      </c>
      <c r="M191" s="200">
        <f t="shared" si="19"/>
        <v>92.920353316743913</v>
      </c>
      <c r="N191" s="200">
        <f t="shared" si="19"/>
        <v>19.515547657377088</v>
      </c>
      <c r="O191" s="200">
        <f t="shared" si="19"/>
        <v>33.210137310795005</v>
      </c>
      <c r="P191" s="250">
        <f t="shared" si="19"/>
        <v>52.904669961299227</v>
      </c>
    </row>
    <row r="192" spans="1:16" x14ac:dyDescent="0.2">
      <c r="A192" s="205">
        <v>18090208</v>
      </c>
      <c r="B192" s="200">
        <f t="shared" si="20"/>
        <v>934.25592453003458</v>
      </c>
      <c r="C192" s="200">
        <f t="shared" si="19"/>
        <v>1277.734976074524</v>
      </c>
      <c r="D192" s="200">
        <f t="shared" si="19"/>
        <v>1745.4269366012145</v>
      </c>
      <c r="E192" s="200">
        <f t="shared" si="19"/>
        <v>1578.9158198667055</v>
      </c>
      <c r="F192" s="200">
        <f t="shared" si="19"/>
        <v>2261.7207952908743</v>
      </c>
      <c r="G192" s="200">
        <f t="shared" si="19"/>
        <v>3038.1198893915112</v>
      </c>
      <c r="H192" s="200">
        <f t="shared" si="19"/>
        <v>574.37171742465443</v>
      </c>
      <c r="I192" s="200">
        <f t="shared" si="19"/>
        <v>709.40709420248072</v>
      </c>
      <c r="J192" s="200">
        <f t="shared" si="19"/>
        <v>869.92471156883585</v>
      </c>
      <c r="K192" s="200">
        <f t="shared" si="19"/>
        <v>1065.726203703214</v>
      </c>
      <c r="L192" s="200">
        <f t="shared" si="19"/>
        <v>1506.3757456240696</v>
      </c>
      <c r="M192" s="200">
        <f t="shared" si="19"/>
        <v>2151.3356089006807</v>
      </c>
      <c r="N192" s="200">
        <f t="shared" si="19"/>
        <v>638.76183854306112</v>
      </c>
      <c r="O192" s="200">
        <f t="shared" si="19"/>
        <v>834.73806767701672</v>
      </c>
      <c r="P192" s="250">
        <f t="shared" si="19"/>
        <v>1070.3685109459207</v>
      </c>
    </row>
    <row r="193" spans="1:16" x14ac:dyDescent="0.2">
      <c r="A193" s="205">
        <v>16060003</v>
      </c>
      <c r="B193" s="200">
        <f t="shared" si="20"/>
        <v>39.631503273132545</v>
      </c>
      <c r="C193" s="200">
        <f t="shared" si="19"/>
        <v>57.700680438692174</v>
      </c>
      <c r="D193" s="200">
        <f t="shared" si="19"/>
        <v>80.317665601444645</v>
      </c>
      <c r="E193" s="200">
        <f t="shared" si="19"/>
        <v>43.385421795515747</v>
      </c>
      <c r="F193" s="200">
        <f t="shared" si="19"/>
        <v>62.346352512883747</v>
      </c>
      <c r="G193" s="200">
        <f t="shared" si="19"/>
        <v>86.171547838423891</v>
      </c>
      <c r="H193" s="200">
        <f t="shared" si="19"/>
        <v>12.370160593914219</v>
      </c>
      <c r="I193" s="200">
        <f t="shared" si="19"/>
        <v>17.408775470008774</v>
      </c>
      <c r="J193" s="200">
        <f t="shared" si="19"/>
        <v>24.318304105577511</v>
      </c>
      <c r="K193" s="200">
        <f t="shared" si="19"/>
        <v>38.92308926357606</v>
      </c>
      <c r="L193" s="200">
        <f t="shared" si="19"/>
        <v>52.133471376883406</v>
      </c>
      <c r="M193" s="200">
        <f t="shared" si="19"/>
        <v>66.536793462583461</v>
      </c>
      <c r="N193" s="200">
        <f t="shared" si="19"/>
        <v>14.019344634752958</v>
      </c>
      <c r="O193" s="200">
        <f t="shared" si="19"/>
        <v>23.841051871581705</v>
      </c>
      <c r="P193" s="250">
        <f t="shared" si="19"/>
        <v>38.127843779967087</v>
      </c>
    </row>
    <row r="194" spans="1:16" x14ac:dyDescent="0.2">
      <c r="A194" s="205">
        <v>3050105</v>
      </c>
      <c r="B194" s="200">
        <f t="shared" si="20"/>
        <v>79.986875823773914</v>
      </c>
      <c r="C194" s="200">
        <f t="shared" si="19"/>
        <v>89.497182967300844</v>
      </c>
      <c r="D194" s="200">
        <f t="shared" si="19"/>
        <v>100.31382889360216</v>
      </c>
      <c r="E194" s="200">
        <f t="shared" si="19"/>
        <v>85.153854508841732</v>
      </c>
      <c r="F194" s="200">
        <f t="shared" si="19"/>
        <v>98.309374867432439</v>
      </c>
      <c r="G194" s="200">
        <f t="shared" si="19"/>
        <v>114.75828212549452</v>
      </c>
      <c r="H194" s="200">
        <f t="shared" si="19"/>
        <v>79.057464821112575</v>
      </c>
      <c r="I194" s="200">
        <f t="shared" si="19"/>
        <v>88.060746303362521</v>
      </c>
      <c r="J194" s="200">
        <f t="shared" si="19"/>
        <v>97.578378253660304</v>
      </c>
      <c r="K194" s="200">
        <f t="shared" si="19"/>
        <v>79.523349067878797</v>
      </c>
      <c r="L194" s="200">
        <f t="shared" si="19"/>
        <v>88.272625196449738</v>
      </c>
      <c r="M194" s="200">
        <f t="shared" si="19"/>
        <v>97.784879202690504</v>
      </c>
      <c r="N194" s="200">
        <f t="shared" si="19"/>
        <v>82.260800605307324</v>
      </c>
      <c r="O194" s="200">
        <f t="shared" si="19"/>
        <v>91.311049105440375</v>
      </c>
      <c r="P194" s="250">
        <f t="shared" si="19"/>
        <v>101.17130845705638</v>
      </c>
    </row>
    <row r="195" spans="1:16" x14ac:dyDescent="0.2">
      <c r="A195" s="205">
        <v>16040201</v>
      </c>
      <c r="B195" s="200">
        <f t="shared" si="20"/>
        <v>371.39323285510778</v>
      </c>
      <c r="C195" s="200">
        <f t="shared" si="19"/>
        <v>511.98353240338588</v>
      </c>
      <c r="D195" s="200">
        <f t="shared" si="19"/>
        <v>701.07404007021137</v>
      </c>
      <c r="E195" s="200">
        <f t="shared" si="19"/>
        <v>421.1707057741778</v>
      </c>
      <c r="F195" s="200">
        <f t="shared" si="19"/>
        <v>572.36126805640697</v>
      </c>
      <c r="G195" s="200">
        <f t="shared" si="19"/>
        <v>739.4012713570113</v>
      </c>
      <c r="H195" s="200">
        <f t="shared" si="19"/>
        <v>172.82258660629896</v>
      </c>
      <c r="I195" s="200">
        <f t="shared" si="19"/>
        <v>244.29232540519183</v>
      </c>
      <c r="J195" s="200">
        <f t="shared" si="19"/>
        <v>327.50725177610065</v>
      </c>
      <c r="K195" s="200">
        <f t="shared" si="19"/>
        <v>393.23562609109155</v>
      </c>
      <c r="L195" s="200">
        <f t="shared" si="19"/>
        <v>523.95747129047459</v>
      </c>
      <c r="M195" s="200">
        <f t="shared" si="19"/>
        <v>677.16873780417723</v>
      </c>
      <c r="N195" s="200">
        <f t="shared" si="19"/>
        <v>272.02714915033681</v>
      </c>
      <c r="O195" s="200">
        <f t="shared" si="19"/>
        <v>369.05801215678417</v>
      </c>
      <c r="P195" s="250">
        <f t="shared" si="19"/>
        <v>488.4758131094128</v>
      </c>
    </row>
    <row r="196" spans="1:16" x14ac:dyDescent="0.2">
      <c r="A196" s="205">
        <v>14030005</v>
      </c>
      <c r="B196" s="200">
        <f t="shared" si="20"/>
        <v>16.743813086968878</v>
      </c>
      <c r="C196" s="200">
        <f t="shared" si="19"/>
        <v>21.800280003868838</v>
      </c>
      <c r="D196" s="200">
        <f t="shared" si="19"/>
        <v>28.03449257205067</v>
      </c>
      <c r="E196" s="200">
        <f t="shared" si="19"/>
        <v>20.215902979903969</v>
      </c>
      <c r="F196" s="200">
        <f t="shared" si="19"/>
        <v>27.808460843615169</v>
      </c>
      <c r="G196" s="200">
        <f t="shared" si="19"/>
        <v>38.430786470053555</v>
      </c>
      <c r="H196" s="200">
        <f t="shared" si="19"/>
        <v>16.854030762105172</v>
      </c>
      <c r="I196" s="200">
        <f t="shared" si="19"/>
        <v>22.48090165631897</v>
      </c>
      <c r="J196" s="200">
        <f t="shared" si="19"/>
        <v>30.218651054274261</v>
      </c>
      <c r="K196" s="200">
        <f t="shared" si="19"/>
        <v>22.714392344356725</v>
      </c>
      <c r="L196" s="200">
        <f t="shared" si="19"/>
        <v>27.944060550509118</v>
      </c>
      <c r="M196" s="200">
        <f t="shared" si="19"/>
        <v>34.151109820945379</v>
      </c>
      <c r="N196" s="200">
        <f t="shared" si="19"/>
        <v>16.064292804344888</v>
      </c>
      <c r="O196" s="200">
        <f t="shared" si="19"/>
        <v>24.257040512983089</v>
      </c>
      <c r="P196" s="250">
        <f t="shared" si="19"/>
        <v>35.251838528501935</v>
      </c>
    </row>
    <row r="197" spans="1:16" x14ac:dyDescent="0.2">
      <c r="A197" s="205">
        <v>3050102</v>
      </c>
      <c r="B197" s="200">
        <f t="shared" si="20"/>
        <v>21.826209950186303</v>
      </c>
      <c r="C197" s="200">
        <f t="shared" si="19"/>
        <v>26.104634355802094</v>
      </c>
      <c r="D197" s="200">
        <f t="shared" si="19"/>
        <v>31.818829836023966</v>
      </c>
      <c r="E197" s="200">
        <f t="shared" si="19"/>
        <v>27.419212373476796</v>
      </c>
      <c r="F197" s="200">
        <f t="shared" si="19"/>
        <v>36.206547286560706</v>
      </c>
      <c r="G197" s="200">
        <f t="shared" si="19"/>
        <v>48.857877774436076</v>
      </c>
      <c r="H197" s="200">
        <f t="shared" si="19"/>
        <v>21.113262911550777</v>
      </c>
      <c r="I197" s="200">
        <f t="shared" si="19"/>
        <v>24.69626699626604</v>
      </c>
      <c r="J197" s="200">
        <f t="shared" si="19"/>
        <v>28.673370562357974</v>
      </c>
      <c r="K197" s="200">
        <f t="shared" si="19"/>
        <v>21.366068679536113</v>
      </c>
      <c r="L197" s="200">
        <f t="shared" si="19"/>
        <v>24.54898707659952</v>
      </c>
      <c r="M197" s="200">
        <f t="shared" si="19"/>
        <v>28.332072741944167</v>
      </c>
      <c r="N197" s="200">
        <f t="shared" si="19"/>
        <v>24.390084575888324</v>
      </c>
      <c r="O197" s="200">
        <f t="shared" si="19"/>
        <v>28.024880829956491</v>
      </c>
      <c r="P197" s="250">
        <f t="shared" si="19"/>
        <v>32.515425942835442</v>
      </c>
    </row>
    <row r="198" spans="1:16" x14ac:dyDescent="0.2">
      <c r="A198" s="205">
        <v>16060010</v>
      </c>
      <c r="B198" s="200">
        <f t="shared" si="20"/>
        <v>44.881237986560045</v>
      </c>
      <c r="C198" s="200">
        <f t="shared" si="19"/>
        <v>59.181188961732296</v>
      </c>
      <c r="D198" s="200">
        <f t="shared" si="19"/>
        <v>75.769649218498884</v>
      </c>
      <c r="E198" s="200">
        <f t="shared" si="19"/>
        <v>58.163872016999008</v>
      </c>
      <c r="F198" s="200">
        <f t="shared" si="19"/>
        <v>84.251733382625773</v>
      </c>
      <c r="G198" s="200">
        <f t="shared" si="19"/>
        <v>115.72505667507725</v>
      </c>
      <c r="H198" s="200">
        <f t="shared" si="19"/>
        <v>22.562528686946397</v>
      </c>
      <c r="I198" s="200">
        <f t="shared" si="19"/>
        <v>28.220992507615531</v>
      </c>
      <c r="J198" s="200">
        <f t="shared" si="19"/>
        <v>35.149720263186772</v>
      </c>
      <c r="K198" s="200">
        <f t="shared" si="19"/>
        <v>44.524961237030048</v>
      </c>
      <c r="L198" s="200">
        <f t="shared" si="19"/>
        <v>56.324015943280266</v>
      </c>
      <c r="M198" s="200">
        <f t="shared" si="19"/>
        <v>68.742093166426926</v>
      </c>
      <c r="N198" s="200">
        <f t="shared" si="19"/>
        <v>24.225414536821084</v>
      </c>
      <c r="O198" s="200">
        <f t="shared" si="19"/>
        <v>33.912576038828895</v>
      </c>
      <c r="P198" s="250">
        <f t="shared" si="19"/>
        <v>47.817111277850358</v>
      </c>
    </row>
    <row r="199" spans="1:16" ht="16" thickBot="1" x14ac:dyDescent="0.25">
      <c r="A199" s="206">
        <v>11140205</v>
      </c>
      <c r="B199" s="202">
        <f t="shared" si="20"/>
        <v>10.167235615194965</v>
      </c>
      <c r="C199" s="202">
        <f t="shared" si="19"/>
        <v>12.825436871172476</v>
      </c>
      <c r="D199" s="202">
        <f t="shared" si="19"/>
        <v>16.27357171063845</v>
      </c>
      <c r="E199" s="202">
        <f t="shared" si="19"/>
        <v>15.071056157280241</v>
      </c>
      <c r="F199" s="202">
        <f t="shared" si="19"/>
        <v>19.452078069675721</v>
      </c>
      <c r="G199" s="202">
        <f t="shared" si="19"/>
        <v>24.986210826961926</v>
      </c>
      <c r="H199" s="202">
        <f t="shared" si="19"/>
        <v>12.169112406897412</v>
      </c>
      <c r="I199" s="202">
        <f t="shared" si="19"/>
        <v>16.406190133548026</v>
      </c>
      <c r="J199" s="202">
        <f t="shared" si="19"/>
        <v>20.911407532093602</v>
      </c>
      <c r="K199" s="202">
        <f t="shared" si="19"/>
        <v>9.8455860711218808</v>
      </c>
      <c r="L199" s="202">
        <f t="shared" si="19"/>
        <v>11.931317404458451</v>
      </c>
      <c r="M199" s="202">
        <f t="shared" si="19"/>
        <v>14.625589111696591</v>
      </c>
      <c r="N199" s="202">
        <f t="shared" si="19"/>
        <v>12.210198764163712</v>
      </c>
      <c r="O199" s="202">
        <f t="shared" si="19"/>
        <v>16.457313504953703</v>
      </c>
      <c r="P199" s="251">
        <f t="shared" si="19"/>
        <v>21.544437576072063</v>
      </c>
    </row>
    <row r="201" spans="1:16" ht="16" thickBot="1" x14ac:dyDescent="0.25">
      <c r="A201" s="32" t="s">
        <v>476</v>
      </c>
      <c r="F201" s="259"/>
    </row>
    <row r="202" spans="1:16" ht="16" thickBot="1" x14ac:dyDescent="0.25">
      <c r="A202" s="207" t="s">
        <v>179</v>
      </c>
      <c r="B202" s="194" t="s">
        <v>396</v>
      </c>
      <c r="C202" s="195" t="s">
        <v>397</v>
      </c>
      <c r="D202" s="196" t="s">
        <v>398</v>
      </c>
    </row>
    <row r="203" spans="1:16" x14ac:dyDescent="0.2">
      <c r="A203" s="281">
        <v>16060011</v>
      </c>
      <c r="B203" s="236">
        <f t="shared" ref="B203:B215" si="21">SUMIF($E$5:$E$27,A203,$M$5:$M$27)</f>
        <v>28572915.147869598</v>
      </c>
      <c r="C203" s="39">
        <f t="shared" ref="C203:C215" si="22">SUMIF($E$5:$E$27,A203,$N$5:$N$27)</f>
        <v>36784589.510791823</v>
      </c>
      <c r="D203" s="225">
        <f t="shared" ref="D203:D215" si="23">SUMIF($E$5:$E$27,A203,$O$5:$O$27)</f>
        <v>63986855.731934547</v>
      </c>
    </row>
    <row r="204" spans="1:16" x14ac:dyDescent="0.2">
      <c r="A204" s="205">
        <v>15030202</v>
      </c>
      <c r="B204" s="236">
        <f t="shared" si="21"/>
        <v>366842.57135850086</v>
      </c>
      <c r="C204" s="39">
        <f t="shared" si="22"/>
        <v>1927238.7365708405</v>
      </c>
      <c r="D204" s="225">
        <f t="shared" si="23"/>
        <v>9736611.9085476827</v>
      </c>
    </row>
    <row r="205" spans="1:16" x14ac:dyDescent="0.2">
      <c r="A205" s="205">
        <v>15030201</v>
      </c>
      <c r="B205" s="236">
        <f t="shared" si="21"/>
        <v>234256.73678805656</v>
      </c>
      <c r="C205" s="39">
        <f t="shared" si="22"/>
        <v>1154893.0353673985</v>
      </c>
      <c r="D205" s="225">
        <f t="shared" si="23"/>
        <v>5512974.9020288968</v>
      </c>
    </row>
    <row r="206" spans="1:16" x14ac:dyDescent="0.2">
      <c r="A206" s="205">
        <v>18100204</v>
      </c>
      <c r="B206" s="236">
        <f t="shared" si="21"/>
        <v>22199286.375928421</v>
      </c>
      <c r="C206" s="39">
        <f t="shared" si="22"/>
        <v>24275416.981995799</v>
      </c>
      <c r="D206" s="225">
        <f t="shared" si="23"/>
        <v>26300815.250844281</v>
      </c>
    </row>
    <row r="207" spans="1:16" x14ac:dyDescent="0.2">
      <c r="A207" s="205">
        <v>16060013</v>
      </c>
      <c r="B207" s="236">
        <f t="shared" si="21"/>
        <v>4923485.5062215896</v>
      </c>
      <c r="C207" s="39">
        <f t="shared" si="22"/>
        <v>5371061.4209230598</v>
      </c>
      <c r="D207" s="225">
        <f t="shared" si="23"/>
        <v>5838965.3933930201</v>
      </c>
    </row>
    <row r="208" spans="1:16" x14ac:dyDescent="0.2">
      <c r="A208" s="205">
        <v>18090208</v>
      </c>
      <c r="B208" s="236">
        <f t="shared" si="21"/>
        <v>0</v>
      </c>
      <c r="C208" s="39">
        <f t="shared" si="22"/>
        <v>0</v>
      </c>
      <c r="D208" s="225">
        <f t="shared" si="23"/>
        <v>0</v>
      </c>
      <c r="E208" s="291" t="s">
        <v>542</v>
      </c>
    </row>
    <row r="209" spans="1:14" x14ac:dyDescent="0.2">
      <c r="A209" s="205">
        <v>16060003</v>
      </c>
      <c r="B209" s="236">
        <f t="shared" si="21"/>
        <v>12602172.90105447</v>
      </c>
      <c r="C209" s="39">
        <f t="shared" si="22"/>
        <v>19226978.004610445</v>
      </c>
      <c r="D209" s="225">
        <f t="shared" si="23"/>
        <v>49036167.912910365</v>
      </c>
      <c r="E209" s="291" t="s">
        <v>543</v>
      </c>
    </row>
    <row r="210" spans="1:14" x14ac:dyDescent="0.2">
      <c r="A210" s="205">
        <v>3050105</v>
      </c>
      <c r="B210" s="236">
        <f t="shared" si="21"/>
        <v>5641658.7436765898</v>
      </c>
      <c r="C210" s="39">
        <f t="shared" si="22"/>
        <v>8953939.5431325138</v>
      </c>
      <c r="D210" s="225">
        <f t="shared" si="23"/>
        <v>12991490.357235583</v>
      </c>
    </row>
    <row r="211" spans="1:14" x14ac:dyDescent="0.2">
      <c r="A211" s="205">
        <v>16040201</v>
      </c>
      <c r="B211" s="236">
        <f t="shared" si="21"/>
        <v>30329777.237026993</v>
      </c>
      <c r="C211" s="39">
        <f t="shared" si="22"/>
        <v>34810209.497471385</v>
      </c>
      <c r="D211" s="225">
        <f t="shared" si="23"/>
        <v>39804593.895523153</v>
      </c>
    </row>
    <row r="212" spans="1:14" x14ac:dyDescent="0.2">
      <c r="A212" s="205">
        <v>14030005</v>
      </c>
      <c r="B212" s="236">
        <f t="shared" si="21"/>
        <v>253458.36282697099</v>
      </c>
      <c r="C212" s="39">
        <f t="shared" si="22"/>
        <v>277827.54117581103</v>
      </c>
      <c r="D212" s="225">
        <f t="shared" si="23"/>
        <v>301790.97553201899</v>
      </c>
    </row>
    <row r="213" spans="1:14" x14ac:dyDescent="0.2">
      <c r="A213" s="205">
        <v>3050102</v>
      </c>
      <c r="B213" s="236">
        <f t="shared" si="21"/>
        <v>700606.32064829394</v>
      </c>
      <c r="C213" s="39">
        <f t="shared" si="22"/>
        <v>767537.19033624697</v>
      </c>
      <c r="D213" s="225">
        <f t="shared" si="23"/>
        <v>833662.78108524997</v>
      </c>
    </row>
    <row r="214" spans="1:14" x14ac:dyDescent="0.2">
      <c r="A214" s="205">
        <v>16060010</v>
      </c>
      <c r="B214" s="236">
        <f t="shared" si="21"/>
        <v>3907981.8470785301</v>
      </c>
      <c r="C214" s="39">
        <f t="shared" si="22"/>
        <v>4284302.1047777897</v>
      </c>
      <c r="D214" s="225">
        <f t="shared" si="23"/>
        <v>4647432.1803099699</v>
      </c>
    </row>
    <row r="215" spans="1:14" ht="16" thickBot="1" x14ac:dyDescent="0.25">
      <c r="A215" s="206">
        <v>11140205</v>
      </c>
      <c r="B215" s="237">
        <f t="shared" si="21"/>
        <v>3314052.43424983</v>
      </c>
      <c r="C215" s="227">
        <f t="shared" si="22"/>
        <v>3621992.3970981999</v>
      </c>
      <c r="D215" s="228">
        <f t="shared" si="23"/>
        <v>3935422.7909373799</v>
      </c>
    </row>
    <row r="219" spans="1:14" ht="16" thickBot="1" x14ac:dyDescent="0.25">
      <c r="A219" s="32" t="s">
        <v>486</v>
      </c>
    </row>
    <row r="220" spans="1:14" ht="16" thickBot="1" x14ac:dyDescent="0.25">
      <c r="C220" s="436" t="s">
        <v>462</v>
      </c>
      <c r="D220" s="471"/>
      <c r="E220" s="471"/>
      <c r="F220" s="471"/>
      <c r="G220" s="471"/>
      <c r="H220" s="471"/>
      <c r="I220" s="471"/>
      <c r="J220" s="471"/>
      <c r="K220" s="471"/>
      <c r="L220" s="471"/>
      <c r="M220" s="471"/>
      <c r="N220" s="437"/>
    </row>
    <row r="221" spans="1:14" ht="16" thickBot="1" x14ac:dyDescent="0.25">
      <c r="C221" s="436" t="s">
        <v>477</v>
      </c>
      <c r="D221" s="471"/>
      <c r="E221" s="437"/>
      <c r="F221" s="436" t="s">
        <v>478</v>
      </c>
      <c r="G221" s="471"/>
      <c r="H221" s="437"/>
      <c r="I221" s="436" t="s">
        <v>479</v>
      </c>
      <c r="J221" s="471"/>
      <c r="K221" s="437"/>
      <c r="L221" s="436" t="s">
        <v>480</v>
      </c>
      <c r="M221" s="471"/>
      <c r="N221" s="437"/>
    </row>
    <row r="222" spans="1:14" ht="16" thickBot="1" x14ac:dyDescent="0.25">
      <c r="A222" s="283" t="s">
        <v>407</v>
      </c>
      <c r="B222" s="234" t="s">
        <v>481</v>
      </c>
      <c r="C222" s="233" t="s">
        <v>396</v>
      </c>
      <c r="D222" s="234" t="s">
        <v>397</v>
      </c>
      <c r="E222" s="235" t="s">
        <v>398</v>
      </c>
      <c r="F222" s="233" t="s">
        <v>396</v>
      </c>
      <c r="G222" s="234" t="s">
        <v>397</v>
      </c>
      <c r="H222" s="235" t="s">
        <v>398</v>
      </c>
      <c r="I222" s="233" t="s">
        <v>396</v>
      </c>
      <c r="J222" s="234" t="s">
        <v>397</v>
      </c>
      <c r="K222" s="235" t="s">
        <v>398</v>
      </c>
      <c r="L222" s="233" t="s">
        <v>396</v>
      </c>
      <c r="M222" s="234" t="s">
        <v>397</v>
      </c>
      <c r="N222" s="235" t="s">
        <v>398</v>
      </c>
    </row>
    <row r="223" spans="1:14" x14ac:dyDescent="0.2">
      <c r="A223" s="284" t="s">
        <v>457</v>
      </c>
      <c r="B223" s="281">
        <v>16060011</v>
      </c>
      <c r="C223" s="287" cm="1">
        <f t="array" ref="C223:E235">$B$43:$D$55</f>
        <v>36.983542081239598</v>
      </c>
      <c r="D223" s="254">
        <v>53.576536406674002</v>
      </c>
      <c r="E223" s="255">
        <v>80.006728372648595</v>
      </c>
      <c r="F223" s="287" cm="1">
        <f t="array" ref="F223:H235">$B$133:$D$145</f>
        <v>50.990130043266916</v>
      </c>
      <c r="G223" s="254">
        <v>76.327921080891784</v>
      </c>
      <c r="H223" s="255">
        <v>110.55065860225741</v>
      </c>
      <c r="I223" s="287" cm="1">
        <f t="array" ref="I223:K235">$B$203:$D$215</f>
        <v>28572915.147869598</v>
      </c>
      <c r="J223" s="254">
        <v>36784589.510791823</v>
      </c>
      <c r="K223" s="255">
        <v>63986855.731934547</v>
      </c>
      <c r="L223" s="287">
        <f t="shared" ref="L223" si="24">((C223-F223)*(cubicm/gal)*(day/yr))-I223/1000000</f>
        <v>-47.925475624150096</v>
      </c>
      <c r="M223" s="254">
        <f t="shared" ref="M223" si="25">((D223-G223)*(cubicm/gal)*(day/yr))-J223/1000000</f>
        <v>-68.219622012682606</v>
      </c>
      <c r="N223" s="255">
        <f t="shared" ref="N223" si="26">((E223-H223)*(cubicm/gal)*(day/yr))-K223/1000000</f>
        <v>-106.18865809481638</v>
      </c>
    </row>
    <row r="224" spans="1:14" x14ac:dyDescent="0.2">
      <c r="A224" s="285" t="s">
        <v>457</v>
      </c>
      <c r="B224" s="205">
        <v>15030202</v>
      </c>
      <c r="C224" s="288">
        <v>41.867904858459802</v>
      </c>
      <c r="D224" s="40">
        <v>69.173541386466894</v>
      </c>
      <c r="E224" s="239">
        <v>98.418267725301902</v>
      </c>
      <c r="F224" s="288">
        <v>141.46253563761141</v>
      </c>
      <c r="G224" s="40">
        <v>175.25173562299219</v>
      </c>
      <c r="H224" s="239">
        <v>209.23150558062815</v>
      </c>
      <c r="I224" s="288">
        <v>366842.57135850086</v>
      </c>
      <c r="J224" s="40">
        <v>1927238.7365708405</v>
      </c>
      <c r="K224" s="239">
        <v>9736611.9085476827</v>
      </c>
      <c r="L224" s="288">
        <f t="shared" ref="L224:L287" si="27">((C224-F224)*(cubicm/gal)*(day/yr))-I224/1000000</f>
        <v>-137.97431132047018</v>
      </c>
      <c r="M224" s="40">
        <f t="shared" ref="M224:M287" si="28">((D224-G224)*(cubicm/gal)*(day/yr))-J224/1000000</f>
        <v>-148.49288875372528</v>
      </c>
      <c r="N224" s="239">
        <f t="shared" ref="N224:N287" si="29">((E224-H224)*(cubicm/gal)*(day/yr))-K224/1000000</f>
        <v>-162.84455604037873</v>
      </c>
    </row>
    <row r="225" spans="1:25" x14ac:dyDescent="0.2">
      <c r="A225" s="285" t="s">
        <v>457</v>
      </c>
      <c r="B225" s="205">
        <v>15030201</v>
      </c>
      <c r="C225" s="288">
        <v>78.623744665669307</v>
      </c>
      <c r="D225" s="40">
        <v>143.66687180910401</v>
      </c>
      <c r="E225" s="239">
        <v>220.676689784611</v>
      </c>
      <c r="F225" s="288">
        <v>141.1873775137671</v>
      </c>
      <c r="G225" s="40">
        <v>175.60817159572326</v>
      </c>
      <c r="H225" s="239">
        <v>209.65015970352354</v>
      </c>
      <c r="I225" s="288">
        <v>234256.73678805656</v>
      </c>
      <c r="J225" s="40">
        <v>1154893.0353673985</v>
      </c>
      <c r="K225" s="239">
        <v>5512974.9020288968</v>
      </c>
      <c r="L225" s="288">
        <f t="shared" si="27"/>
        <v>-86.676900126532971</v>
      </c>
      <c r="M225" s="40">
        <f t="shared" si="28"/>
        <v>-45.287406784424931</v>
      </c>
      <c r="N225" s="239">
        <f t="shared" si="29"/>
        <v>9.7221123880583278</v>
      </c>
    </row>
    <row r="226" spans="1:25" x14ac:dyDescent="0.2">
      <c r="A226" s="285" t="s">
        <v>457</v>
      </c>
      <c r="B226" s="205">
        <v>18100204</v>
      </c>
      <c r="C226" s="288">
        <v>471.949265496198</v>
      </c>
      <c r="D226" s="40">
        <v>522.976117684315</v>
      </c>
      <c r="E226" s="239">
        <v>606.20482217085305</v>
      </c>
      <c r="F226" s="288">
        <v>738.02341805466187</v>
      </c>
      <c r="G226" s="40">
        <v>1202.5751349721177</v>
      </c>
      <c r="H226" s="239">
        <v>1622.7173118170986</v>
      </c>
      <c r="I226" s="288">
        <v>22199286.375928421</v>
      </c>
      <c r="J226" s="40">
        <v>24275416.981995799</v>
      </c>
      <c r="K226" s="239">
        <v>26300815.250844281</v>
      </c>
      <c r="L226" s="288">
        <f t="shared" si="27"/>
        <v>-389.82744410588958</v>
      </c>
      <c r="M226" s="40">
        <f t="shared" si="28"/>
        <v>-963.26077996538527</v>
      </c>
      <c r="N226" s="239">
        <f t="shared" si="29"/>
        <v>-1430.7912938817349</v>
      </c>
    </row>
    <row r="227" spans="1:25" x14ac:dyDescent="0.2">
      <c r="A227" s="285" t="s">
        <v>457</v>
      </c>
      <c r="B227" s="205">
        <v>16060013</v>
      </c>
      <c r="C227" s="288">
        <v>32.775755306930797</v>
      </c>
      <c r="D227" s="40">
        <v>61.449112074471998</v>
      </c>
      <c r="E227" s="239">
        <v>103.62269565523199</v>
      </c>
      <c r="F227" s="288">
        <v>50.840153478643565</v>
      </c>
      <c r="G227" s="40">
        <v>76.292312655297181</v>
      </c>
      <c r="H227" s="239">
        <v>111.23668132302794</v>
      </c>
      <c r="I227" s="288">
        <v>4923485.5062215896</v>
      </c>
      <c r="J227" s="40">
        <v>5371061.4209230598</v>
      </c>
      <c r="K227" s="239">
        <v>5838965.3933930201</v>
      </c>
      <c r="L227" s="288">
        <f t="shared" si="27"/>
        <v>-29.882623237226994</v>
      </c>
      <c r="M227" s="40">
        <f t="shared" si="28"/>
        <v>-25.879549118336833</v>
      </c>
      <c r="N227" s="239">
        <f t="shared" si="29"/>
        <v>-16.359023419018445</v>
      </c>
    </row>
    <row r="228" spans="1:25" x14ac:dyDescent="0.2">
      <c r="A228" s="285" t="s">
        <v>457</v>
      </c>
      <c r="B228" s="205">
        <v>18090208</v>
      </c>
      <c r="C228" s="288">
        <v>29.690658330082002</v>
      </c>
      <c r="D228" s="40">
        <v>48.827752777009998</v>
      </c>
      <c r="E228" s="239">
        <v>75.697522321484499</v>
      </c>
      <c r="F228" s="288">
        <v>654.06011154132477</v>
      </c>
      <c r="G228" s="40">
        <v>841.71291181846993</v>
      </c>
      <c r="H228" s="239">
        <v>1055.6188230961261</v>
      </c>
      <c r="I228" s="288">
        <v>0</v>
      </c>
      <c r="J228" s="40">
        <v>0</v>
      </c>
      <c r="K228" s="239">
        <v>0</v>
      </c>
      <c r="L228" s="288">
        <f t="shared" si="27"/>
        <v>-862.67602328067926</v>
      </c>
      <c r="M228" s="40">
        <f t="shared" si="28"/>
        <v>-1095.510058030877</v>
      </c>
      <c r="N228" s="239">
        <f t="shared" si="29"/>
        <v>-1353.9333267066311</v>
      </c>
    </row>
    <row r="229" spans="1:25" x14ac:dyDescent="0.2">
      <c r="A229" s="285" t="s">
        <v>457</v>
      </c>
      <c r="B229" s="205">
        <v>16060003</v>
      </c>
      <c r="C229" s="288">
        <v>24.697516366718698</v>
      </c>
      <c r="D229" s="40">
        <v>52.7072393764455</v>
      </c>
      <c r="E229" s="239">
        <v>97.433293963781395</v>
      </c>
      <c r="F229" s="288">
        <v>35.743384328073958</v>
      </c>
      <c r="G229" s="40">
        <v>53.69533472694134</v>
      </c>
      <c r="H229" s="239">
        <v>77.654660001293806</v>
      </c>
      <c r="I229" s="288">
        <v>12602172.90105447</v>
      </c>
      <c r="J229" s="40">
        <v>19226978.004610445</v>
      </c>
      <c r="K229" s="239">
        <v>49036167.912910365</v>
      </c>
      <c r="L229" s="288">
        <f t="shared" si="27"/>
        <v>-27.86397886798007</v>
      </c>
      <c r="M229" s="40">
        <f t="shared" si="28"/>
        <v>-20.592205216165723</v>
      </c>
      <c r="N229" s="239">
        <f t="shared" si="29"/>
        <v>-21.70851245999344</v>
      </c>
    </row>
    <row r="230" spans="1:25" x14ac:dyDescent="0.2">
      <c r="A230" s="285" t="s">
        <v>457</v>
      </c>
      <c r="B230" s="205">
        <v>3050105</v>
      </c>
      <c r="C230" s="288">
        <v>1710.07874121024</v>
      </c>
      <c r="D230" s="40">
        <v>2658.6538329310201</v>
      </c>
      <c r="E230" s="239">
        <v>3709.6942191389498</v>
      </c>
      <c r="F230" s="288">
        <v>90.556280173204158</v>
      </c>
      <c r="G230" s="40">
        <v>98.915310800875844</v>
      </c>
      <c r="H230" s="239">
        <v>108.0156288108093</v>
      </c>
      <c r="I230" s="288">
        <v>5641658.7436765898</v>
      </c>
      <c r="J230" s="40">
        <v>8953939.5431325138</v>
      </c>
      <c r="K230" s="239">
        <v>12991490.357235583</v>
      </c>
      <c r="L230" s="288">
        <f t="shared" si="27"/>
        <v>2232.0129688418283</v>
      </c>
      <c r="M230" s="40">
        <f t="shared" si="28"/>
        <v>3527.774254881343</v>
      </c>
      <c r="N230" s="239">
        <f t="shared" si="29"/>
        <v>4963.3598469145845</v>
      </c>
    </row>
    <row r="231" spans="1:25" x14ac:dyDescent="0.2">
      <c r="A231" s="285" t="s">
        <v>457</v>
      </c>
      <c r="B231" s="205">
        <v>16040201</v>
      </c>
      <c r="C231" s="288">
        <v>157.10878428130701</v>
      </c>
      <c r="D231" s="40">
        <v>369.08031656142902</v>
      </c>
      <c r="E231" s="239">
        <v>698.98741515561096</v>
      </c>
      <c r="F231" s="288">
        <v>334.05678529044087</v>
      </c>
      <c r="G231" s="40">
        <v>427.69491349865683</v>
      </c>
      <c r="H231" s="239">
        <v>551.67014839431738</v>
      </c>
      <c r="I231" s="288">
        <v>30329777.237026993</v>
      </c>
      <c r="J231" s="40">
        <v>34810209.497471385</v>
      </c>
      <c r="K231" s="239">
        <v>39804593.895523153</v>
      </c>
      <c r="L231" s="288">
        <f t="shared" si="27"/>
        <v>-274.8145082771594</v>
      </c>
      <c r="M231" s="40">
        <f t="shared" si="28"/>
        <v>-115.79656642435293</v>
      </c>
      <c r="N231" s="239">
        <f t="shared" si="29"/>
        <v>163.74007536492894</v>
      </c>
    </row>
    <row r="232" spans="1:25" x14ac:dyDescent="0.2">
      <c r="A232" s="285" t="s">
        <v>457</v>
      </c>
      <c r="B232" s="205">
        <v>14030005</v>
      </c>
      <c r="C232" s="288">
        <v>6387.6751127776697</v>
      </c>
      <c r="D232" s="40">
        <v>8354.5457593670399</v>
      </c>
      <c r="E232" s="239">
        <v>10633.9278881052</v>
      </c>
      <c r="F232" s="288">
        <v>26.896207781167877</v>
      </c>
      <c r="G232" s="40">
        <v>37.223501596375975</v>
      </c>
      <c r="H232" s="239">
        <v>49.586083045516951</v>
      </c>
      <c r="I232" s="288">
        <v>253458.36282697099</v>
      </c>
      <c r="J232" s="40">
        <v>277827.54117581103</v>
      </c>
      <c r="K232" s="239">
        <v>301790.97553201899</v>
      </c>
      <c r="L232" s="288">
        <f t="shared" si="27"/>
        <v>8788.2793926725699</v>
      </c>
      <c r="M232" s="40">
        <f t="shared" si="28"/>
        <v>11491.563185459036</v>
      </c>
      <c r="N232" s="239">
        <f t="shared" si="29"/>
        <v>14623.824758570914</v>
      </c>
    </row>
    <row r="233" spans="1:25" x14ac:dyDescent="0.2">
      <c r="A233" s="285" t="s">
        <v>457</v>
      </c>
      <c r="B233" s="205">
        <v>3050102</v>
      </c>
      <c r="C233" s="288">
        <v>435.39878881466302</v>
      </c>
      <c r="D233" s="40">
        <v>693.30621342089205</v>
      </c>
      <c r="E233" s="239">
        <v>941.47168351416599</v>
      </c>
      <c r="F233" s="288">
        <v>19.114696605484344</v>
      </c>
      <c r="G233" s="40">
        <v>23.058692552650733</v>
      </c>
      <c r="H233" s="239">
        <v>28.161527147755841</v>
      </c>
      <c r="I233" s="288">
        <v>700606.32064829394</v>
      </c>
      <c r="J233" s="40">
        <v>767537.19033624697</v>
      </c>
      <c r="K233" s="239">
        <v>833662.78108524997</v>
      </c>
      <c r="L233" s="288">
        <f t="shared" si="27"/>
        <v>574.46895614755499</v>
      </c>
      <c r="M233" s="40">
        <f t="shared" si="28"/>
        <v>925.29709160040636</v>
      </c>
      <c r="N233" s="239">
        <f t="shared" si="29"/>
        <v>1261.0646726736172</v>
      </c>
    </row>
    <row r="234" spans="1:25" x14ac:dyDescent="0.2">
      <c r="A234" s="285" t="s">
        <v>457</v>
      </c>
      <c r="B234" s="205">
        <v>16060010</v>
      </c>
      <c r="C234" s="288">
        <v>38.104006975228501</v>
      </c>
      <c r="D234" s="40">
        <v>56.156431287953303</v>
      </c>
      <c r="E234" s="239">
        <v>83.821126136614595</v>
      </c>
      <c r="F234" s="288">
        <v>42.685242080413389</v>
      </c>
      <c r="G234" s="40">
        <v>56.366031091578137</v>
      </c>
      <c r="H234" s="239">
        <v>73.125688571944181</v>
      </c>
      <c r="I234" s="288">
        <v>3907981.8470785301</v>
      </c>
      <c r="J234" s="40">
        <v>4284302.1047777897</v>
      </c>
      <c r="K234" s="239">
        <v>4647432.1803099699</v>
      </c>
      <c r="L234" s="288">
        <f t="shared" si="27"/>
        <v>-10.237762495264121</v>
      </c>
      <c r="M234" s="40">
        <f t="shared" si="28"/>
        <v>-4.5739010339718904</v>
      </c>
      <c r="N234" s="239">
        <f t="shared" si="29"/>
        <v>10.130192666777159</v>
      </c>
      <c r="P234" s="51"/>
      <c r="S234" s="51"/>
      <c r="V234" s="51"/>
      <c r="Y234" s="51"/>
    </row>
    <row r="235" spans="1:25" ht="16" thickBot="1" x14ac:dyDescent="0.25">
      <c r="A235" s="286" t="s">
        <v>457</v>
      </c>
      <c r="B235" s="206">
        <v>11140205</v>
      </c>
      <c r="C235" s="289">
        <v>326.91601546219903</v>
      </c>
      <c r="D235" s="249">
        <v>537.42603422069101</v>
      </c>
      <c r="E235" s="240">
        <v>761.03744960967595</v>
      </c>
      <c r="F235" s="289">
        <v>9.7037445351911238</v>
      </c>
      <c r="G235" s="249">
        <v>11.886289921495488</v>
      </c>
      <c r="H235" s="240">
        <v>14.595947057560466</v>
      </c>
      <c r="I235" s="289">
        <v>3314052.43424983</v>
      </c>
      <c r="J235" s="249">
        <v>3621992.3970981999</v>
      </c>
      <c r="K235" s="240">
        <v>3935422.7909373799</v>
      </c>
      <c r="L235" s="289">
        <f t="shared" si="27"/>
        <v>434.97039439720038</v>
      </c>
      <c r="M235" s="249">
        <f t="shared" si="28"/>
        <v>722.5034359950339</v>
      </c>
      <c r="N235" s="240">
        <f t="shared" si="29"/>
        <v>1027.404569454729</v>
      </c>
      <c r="P235" s="51"/>
      <c r="S235" s="51"/>
      <c r="V235" s="51"/>
      <c r="Y235" s="51"/>
    </row>
    <row r="236" spans="1:25" x14ac:dyDescent="0.2">
      <c r="A236" s="285" t="s">
        <v>458</v>
      </c>
      <c r="B236" s="205">
        <v>16060011</v>
      </c>
      <c r="C236" s="288" cm="1">
        <f t="array" ref="C236:E248">$H$43:$J$55</f>
        <v>32.998711348749602</v>
      </c>
      <c r="D236" s="40">
        <v>42.108868424759201</v>
      </c>
      <c r="E236" s="239">
        <v>54.602209480501898</v>
      </c>
      <c r="F236" s="288" cm="1">
        <f t="array" ref="F236:H248">E133:G145</f>
        <v>65.503040063510824</v>
      </c>
      <c r="G236" s="40">
        <v>134.61197053408455</v>
      </c>
      <c r="H236" s="239">
        <v>245.96151389532673</v>
      </c>
      <c r="I236" s="288" cm="1">
        <f t="array" ref="I236:K248">$B$203:$D$215</f>
        <v>28572915.147869598</v>
      </c>
      <c r="J236" s="40">
        <v>36784589.510791823</v>
      </c>
      <c r="K236" s="239">
        <v>63986855.731934547</v>
      </c>
      <c r="L236" s="288">
        <f t="shared" si="27"/>
        <v>-73.483352214961656</v>
      </c>
      <c r="M236" s="40">
        <f t="shared" si="28"/>
        <v>-164.59386630736279</v>
      </c>
      <c r="N236" s="239">
        <f t="shared" si="29"/>
        <v>-328.38333269168447</v>
      </c>
    </row>
    <row r="237" spans="1:25" x14ac:dyDescent="0.2">
      <c r="A237" s="285" t="s">
        <v>458</v>
      </c>
      <c r="B237" s="205">
        <v>15030202</v>
      </c>
      <c r="C237" s="288">
        <v>46.684480480128997</v>
      </c>
      <c r="D237" s="40">
        <v>95.981527116893005</v>
      </c>
      <c r="E237" s="239">
        <v>171.28964849193201</v>
      </c>
      <c r="F237" s="288">
        <v>85.640336768650656</v>
      </c>
      <c r="G237" s="40">
        <v>106.91534028228681</v>
      </c>
      <c r="H237" s="239">
        <v>132.03157664968808</v>
      </c>
      <c r="I237" s="288">
        <v>366842.57135850086</v>
      </c>
      <c r="J237" s="40">
        <v>1927238.7365708405</v>
      </c>
      <c r="K237" s="239">
        <v>9736611.9085476827</v>
      </c>
      <c r="L237" s="288">
        <f t="shared" si="27"/>
        <v>-54.191197708581235</v>
      </c>
      <c r="M237" s="40">
        <f t="shared" si="28"/>
        <v>-17.034221328854418</v>
      </c>
      <c r="N237" s="239">
        <f t="shared" si="29"/>
        <v>44.505307077639486</v>
      </c>
    </row>
    <row r="238" spans="1:25" x14ac:dyDescent="0.2">
      <c r="A238" s="285" t="s">
        <v>458</v>
      </c>
      <c r="B238" s="205">
        <v>15030201</v>
      </c>
      <c r="C238" s="288">
        <v>89.317028999606194</v>
      </c>
      <c r="D238" s="40">
        <v>183.68832370398201</v>
      </c>
      <c r="E238" s="239">
        <v>318.45954741530801</v>
      </c>
      <c r="F238" s="288">
        <v>86.206736622968904</v>
      </c>
      <c r="G238" s="40">
        <v>107.25704536577882</v>
      </c>
      <c r="H238" s="239">
        <v>132.15474610879238</v>
      </c>
      <c r="I238" s="288">
        <v>234256.73678805656</v>
      </c>
      <c r="J238" s="40">
        <v>1154893.0353673985</v>
      </c>
      <c r="K238" s="239">
        <v>5512974.9020288968</v>
      </c>
      <c r="L238" s="288">
        <f t="shared" si="27"/>
        <v>4.0631582711333376</v>
      </c>
      <c r="M238" s="40">
        <f t="shared" si="28"/>
        <v>104.44833741087278</v>
      </c>
      <c r="N238" s="239">
        <f t="shared" si="29"/>
        <v>251.8998185691876</v>
      </c>
    </row>
    <row r="239" spans="1:25" x14ac:dyDescent="0.2">
      <c r="A239" s="285" t="s">
        <v>458</v>
      </c>
      <c r="B239" s="205">
        <v>18100204</v>
      </c>
      <c r="C239" s="288">
        <v>460.5173258776</v>
      </c>
      <c r="D239" s="40">
        <v>481.03229957694299</v>
      </c>
      <c r="E239" s="239">
        <v>512.25895502431001</v>
      </c>
      <c r="F239" s="288">
        <v>923.76224519946118</v>
      </c>
      <c r="G239" s="40">
        <v>1591.2322966627169</v>
      </c>
      <c r="H239" s="239">
        <v>2440.661249245798</v>
      </c>
      <c r="I239" s="288">
        <v>22199286.375928421</v>
      </c>
      <c r="J239" s="40">
        <v>24275416.981995799</v>
      </c>
      <c r="K239" s="239">
        <v>26300815.250844281</v>
      </c>
      <c r="L239" s="288">
        <f t="shared" si="27"/>
        <v>-662.25347664771846</v>
      </c>
      <c r="M239" s="40">
        <f t="shared" si="28"/>
        <v>-1558.2116363251034</v>
      </c>
      <c r="N239" s="239">
        <f t="shared" si="29"/>
        <v>-2690.727163958667</v>
      </c>
    </row>
    <row r="240" spans="1:25" x14ac:dyDescent="0.2">
      <c r="A240" s="285" t="s">
        <v>458</v>
      </c>
      <c r="B240" s="205">
        <v>16060013</v>
      </c>
      <c r="C240" s="288">
        <v>26.357642622393499</v>
      </c>
      <c r="D240" s="40">
        <v>45.889282643144803</v>
      </c>
      <c r="E240" s="239">
        <v>75.025682701164698</v>
      </c>
      <c r="F240" s="288">
        <v>63.883203085484702</v>
      </c>
      <c r="G240" s="40">
        <v>134.89496099943662</v>
      </c>
      <c r="H240" s="239">
        <v>244.96241665950555</v>
      </c>
      <c r="I240" s="288">
        <v>4923485.5062215896</v>
      </c>
      <c r="J240" s="40">
        <v>5371061.4209230598</v>
      </c>
      <c r="K240" s="239">
        <v>5838965.3933930201</v>
      </c>
      <c r="L240" s="288">
        <f t="shared" si="27"/>
        <v>-56.771635836416642</v>
      </c>
      <c r="M240" s="40">
        <f t="shared" si="28"/>
        <v>-128.34803324248821</v>
      </c>
      <c r="N240" s="239">
        <f t="shared" si="29"/>
        <v>-240.63639999961322</v>
      </c>
    </row>
    <row r="241" spans="1:14" x14ac:dyDescent="0.2">
      <c r="A241" s="285" t="s">
        <v>458</v>
      </c>
      <c r="B241" s="205">
        <v>18090208</v>
      </c>
      <c r="C241" s="288">
        <v>24.197778722634101</v>
      </c>
      <c r="D241" s="40">
        <v>39.708560339830697</v>
      </c>
      <c r="E241" s="239">
        <v>60.950483399519698</v>
      </c>
      <c r="F241" s="288">
        <v>1043.6201280086434</v>
      </c>
      <c r="G241" s="40">
        <v>1573.7824870311158</v>
      </c>
      <c r="H241" s="239">
        <v>2328.7358124033594</v>
      </c>
      <c r="I241" s="288">
        <v>0</v>
      </c>
      <c r="J241" s="40">
        <v>0</v>
      </c>
      <c r="K241" s="239">
        <v>0</v>
      </c>
      <c r="L241" s="288">
        <f t="shared" si="27"/>
        <v>-1408.5109606218423</v>
      </c>
      <c r="M241" s="40">
        <f t="shared" si="28"/>
        <v>-2119.5924747600766</v>
      </c>
      <c r="N241" s="239">
        <f t="shared" si="29"/>
        <v>-3133.3435984373873</v>
      </c>
    </row>
    <row r="242" spans="1:14" x14ac:dyDescent="0.2">
      <c r="A242" s="285" t="s">
        <v>458</v>
      </c>
      <c r="B242" s="205">
        <v>16060003</v>
      </c>
      <c r="C242" s="288">
        <v>20.291448806081899</v>
      </c>
      <c r="D242" s="40">
        <v>36.009075663192498</v>
      </c>
      <c r="E242" s="239">
        <v>58.3828556066128</v>
      </c>
      <c r="F242" s="288">
        <v>46.397856100088575</v>
      </c>
      <c r="G242" s="40">
        <v>98.353479532444922</v>
      </c>
      <c r="H242" s="239">
        <v>179.81620979388944</v>
      </c>
      <c r="I242" s="288">
        <v>12602172.90105447</v>
      </c>
      <c r="J242" s="40">
        <v>19226978.004610445</v>
      </c>
      <c r="K242" s="239">
        <v>49036167.912910365</v>
      </c>
      <c r="L242" s="288">
        <f t="shared" si="27"/>
        <v>-48.672758210294035</v>
      </c>
      <c r="M242" s="40">
        <f t="shared" si="28"/>
        <v>-105.36671806895161</v>
      </c>
      <c r="N242" s="239">
        <f t="shared" si="29"/>
        <v>-216.81766738430014</v>
      </c>
    </row>
    <row r="243" spans="1:14" x14ac:dyDescent="0.2">
      <c r="A243" s="285" t="s">
        <v>458</v>
      </c>
      <c r="B243" s="205">
        <v>3050105</v>
      </c>
      <c r="C243" s="288">
        <v>1300.8904749672599</v>
      </c>
      <c r="D243" s="40">
        <v>2138.2867045284302</v>
      </c>
      <c r="E243" s="239">
        <v>2930.9534582348601</v>
      </c>
      <c r="F243" s="288">
        <v>86.064989448638698</v>
      </c>
      <c r="G243" s="40">
        <v>93.849609535382342</v>
      </c>
      <c r="H243" s="239">
        <v>101.54579922831434</v>
      </c>
      <c r="I243" s="288">
        <v>5641658.7436765898</v>
      </c>
      <c r="J243" s="40">
        <v>8953939.5431325138</v>
      </c>
      <c r="K243" s="239">
        <v>12991490.357235583</v>
      </c>
      <c r="L243" s="288">
        <f t="shared" si="27"/>
        <v>1672.8530424899768</v>
      </c>
      <c r="M243" s="40">
        <f t="shared" si="28"/>
        <v>2815.794859241229</v>
      </c>
      <c r="N243" s="239">
        <f t="shared" si="29"/>
        <v>3896.3319638218181</v>
      </c>
    </row>
    <row r="244" spans="1:14" x14ac:dyDescent="0.2">
      <c r="A244" s="285" t="s">
        <v>458</v>
      </c>
      <c r="B244" s="205">
        <v>16040201</v>
      </c>
      <c r="C244" s="288">
        <v>78.696230257735806</v>
      </c>
      <c r="D244" s="40">
        <v>158.673784138516</v>
      </c>
      <c r="E244" s="239">
        <v>264.420511283846</v>
      </c>
      <c r="F244" s="288">
        <v>339.1506941327541</v>
      </c>
      <c r="G244" s="40">
        <v>538.7844753144268</v>
      </c>
      <c r="H244" s="239">
        <v>827.74636794752348</v>
      </c>
      <c r="I244" s="288">
        <v>30329777.237026993</v>
      </c>
      <c r="J244" s="40">
        <v>34810209.497471385</v>
      </c>
      <c r="K244" s="239">
        <v>39804593.895523153</v>
      </c>
      <c r="L244" s="288">
        <f t="shared" si="27"/>
        <v>-390.1933483739441</v>
      </c>
      <c r="M244" s="40">
        <f t="shared" si="28"/>
        <v>-559.99986729317811</v>
      </c>
      <c r="N244" s="239">
        <f t="shared" si="29"/>
        <v>-818.13817081602303</v>
      </c>
    </row>
    <row r="245" spans="1:14" x14ac:dyDescent="0.2">
      <c r="A245" s="285" t="s">
        <v>458</v>
      </c>
      <c r="B245" s="205">
        <v>14030005</v>
      </c>
      <c r="C245" s="288">
        <v>4535.7361401768303</v>
      </c>
      <c r="D245" s="40">
        <v>6695.7875702557803</v>
      </c>
      <c r="E245" s="239">
        <v>9377.4347748973196</v>
      </c>
      <c r="F245" s="288">
        <v>11.059566482293567</v>
      </c>
      <c r="G245" s="40">
        <v>16.94425110741507</v>
      </c>
      <c r="H245" s="239">
        <v>25.376013036193942</v>
      </c>
      <c r="I245" s="288">
        <v>253458.36282697099</v>
      </c>
      <c r="J245" s="40">
        <v>277827.54117581103</v>
      </c>
      <c r="K245" s="239">
        <v>301790.97553201899</v>
      </c>
      <c r="L245" s="288">
        <f t="shared" si="27"/>
        <v>6251.3816483044429</v>
      </c>
      <c r="M245" s="40">
        <f t="shared" si="28"/>
        <v>9227.7168558058584</v>
      </c>
      <c r="N245" s="239">
        <f t="shared" si="29"/>
        <v>12921.209376291668</v>
      </c>
    </row>
    <row r="246" spans="1:14" x14ac:dyDescent="0.2">
      <c r="A246" s="285" t="s">
        <v>458</v>
      </c>
      <c r="B246" s="205">
        <v>3050102</v>
      </c>
      <c r="C246" s="288">
        <v>394.03213382838402</v>
      </c>
      <c r="D246" s="40">
        <v>599.98006948698799</v>
      </c>
      <c r="E246" s="239">
        <v>799.86733968471401</v>
      </c>
      <c r="F246" s="288">
        <v>14.155114896128515</v>
      </c>
      <c r="G246" s="40">
        <v>17.100518296442196</v>
      </c>
      <c r="H246" s="239">
        <v>20.087949463464415</v>
      </c>
      <c r="I246" s="288">
        <v>700606.32064829394</v>
      </c>
      <c r="J246" s="40">
        <v>767537.19033624697</v>
      </c>
      <c r="K246" s="239">
        <v>833662.78108524997</v>
      </c>
      <c r="L246" s="288">
        <f t="shared" si="27"/>
        <v>524.16619224344356</v>
      </c>
      <c r="M246" s="40">
        <f t="shared" si="28"/>
        <v>804.58290185903002</v>
      </c>
      <c r="N246" s="239">
        <f t="shared" si="29"/>
        <v>1076.5684745792562</v>
      </c>
    </row>
    <row r="247" spans="1:14" x14ac:dyDescent="0.2">
      <c r="A247" s="285" t="s">
        <v>458</v>
      </c>
      <c r="B247" s="205">
        <v>16060010</v>
      </c>
      <c r="C247" s="288">
        <v>38.650535611260302</v>
      </c>
      <c r="D247" s="40">
        <v>58.562558318909602</v>
      </c>
      <c r="E247" s="239">
        <v>90.540980290783295</v>
      </c>
      <c r="F247" s="288">
        <v>54.658212096265856</v>
      </c>
      <c r="G247" s="40">
        <v>96.603051801308354</v>
      </c>
      <c r="H247" s="239">
        <v>163.69692002003512</v>
      </c>
      <c r="I247" s="288">
        <v>3907981.8470785301</v>
      </c>
      <c r="J247" s="40">
        <v>4284302.1047777897</v>
      </c>
      <c r="K247" s="239">
        <v>4647432.1803099699</v>
      </c>
      <c r="L247" s="288">
        <f t="shared" si="27"/>
        <v>-26.025397458979214</v>
      </c>
      <c r="M247" s="40">
        <f t="shared" si="28"/>
        <v>-56.843922810513227</v>
      </c>
      <c r="N247" s="239">
        <f t="shared" si="29"/>
        <v>-105.72520727069394</v>
      </c>
    </row>
    <row r="248" spans="1:14" ht="16" thickBot="1" x14ac:dyDescent="0.25">
      <c r="A248" s="285" t="s">
        <v>458</v>
      </c>
      <c r="B248" s="205">
        <v>11140205</v>
      </c>
      <c r="C248" s="288">
        <v>328.621784808043</v>
      </c>
      <c r="D248" s="40">
        <v>604.17137217545303</v>
      </c>
      <c r="E248" s="239">
        <v>918.26768741304602</v>
      </c>
      <c r="F248" s="288">
        <v>9.6586700654938014</v>
      </c>
      <c r="G248" s="40">
        <v>12.946384847340294</v>
      </c>
      <c r="H248" s="239">
        <v>17.449606172399747</v>
      </c>
      <c r="I248" s="288">
        <v>3314052.43424983</v>
      </c>
      <c r="J248" s="40">
        <v>3621992.3970981999</v>
      </c>
      <c r="K248" s="239">
        <v>3935422.7909373799</v>
      </c>
      <c r="L248" s="288">
        <f t="shared" si="27"/>
        <v>437.38949253278093</v>
      </c>
      <c r="M248" s="40">
        <f t="shared" si="28"/>
        <v>813.25913192630151</v>
      </c>
      <c r="N248" s="239">
        <f t="shared" si="29"/>
        <v>1240.7029175813802</v>
      </c>
    </row>
    <row r="249" spans="1:14" x14ac:dyDescent="0.2">
      <c r="A249" s="284" t="s">
        <v>459</v>
      </c>
      <c r="B249" s="281">
        <v>16060011</v>
      </c>
      <c r="C249" s="287" cm="1">
        <f t="array" ref="C249:E261">N43:P55</f>
        <v>28.770184539548801</v>
      </c>
      <c r="D249" s="254">
        <v>33.002938567040701</v>
      </c>
      <c r="E249" s="255">
        <v>38.918917857733199</v>
      </c>
      <c r="F249" s="287" cm="1">
        <f t="array" ref="F249:H261">H133:J145</f>
        <v>119.15956897092815</v>
      </c>
      <c r="G249" s="254">
        <v>239.35651858407721</v>
      </c>
      <c r="H249" s="255">
        <v>437.12845708987089</v>
      </c>
      <c r="I249" s="287" cm="1">
        <f t="array" ref="I249:K261">$B$203:$D$215</f>
        <v>28572915.147869598</v>
      </c>
      <c r="J249" s="254">
        <v>36784589.510791823</v>
      </c>
      <c r="K249" s="255">
        <v>63986855.731934547</v>
      </c>
      <c r="L249" s="287">
        <f t="shared" si="27"/>
        <v>-153.46171985636806</v>
      </c>
      <c r="M249" s="254">
        <f t="shared" si="28"/>
        <v>-321.89829083499848</v>
      </c>
      <c r="N249" s="255">
        <f t="shared" si="29"/>
        <v>-614.18324982264141</v>
      </c>
    </row>
    <row r="250" spans="1:14" x14ac:dyDescent="0.2">
      <c r="A250" s="285" t="s">
        <v>459</v>
      </c>
      <c r="B250" s="205">
        <v>15030202</v>
      </c>
      <c r="C250" s="288">
        <v>37.552502248697202</v>
      </c>
      <c r="D250" s="40">
        <v>71.278184945872695</v>
      </c>
      <c r="E250" s="239">
        <v>122.112760568417</v>
      </c>
      <c r="F250" s="288">
        <v>253.33135523246412</v>
      </c>
      <c r="G250" s="40">
        <v>629.98381858062828</v>
      </c>
      <c r="H250" s="239">
        <v>1228.3847990699023</v>
      </c>
      <c r="I250" s="288">
        <v>366842.57135850086</v>
      </c>
      <c r="J250" s="40">
        <v>1927238.7365708405</v>
      </c>
      <c r="K250" s="239">
        <v>9736611.9085476827</v>
      </c>
      <c r="L250" s="288">
        <f t="shared" si="27"/>
        <v>-298.5032133414436</v>
      </c>
      <c r="M250" s="40">
        <f t="shared" si="28"/>
        <v>-773.87716634693743</v>
      </c>
      <c r="N250" s="239">
        <f t="shared" si="29"/>
        <v>-1538.245666816116</v>
      </c>
    </row>
    <row r="251" spans="1:14" x14ac:dyDescent="0.2">
      <c r="A251" s="285" t="s">
        <v>459</v>
      </c>
      <c r="B251" s="205">
        <v>15030201</v>
      </c>
      <c r="C251" s="288">
        <v>68.861006981290501</v>
      </c>
      <c r="D251" s="40">
        <v>135.09644688115799</v>
      </c>
      <c r="E251" s="239">
        <v>229.49322907260799</v>
      </c>
      <c r="F251" s="288">
        <v>257.63125687224397</v>
      </c>
      <c r="G251" s="40">
        <v>628.47174558654979</v>
      </c>
      <c r="H251" s="239">
        <v>1226.020283146559</v>
      </c>
      <c r="I251" s="288">
        <v>234256.73678805656</v>
      </c>
      <c r="J251" s="40">
        <v>1154893.0353673985</v>
      </c>
      <c r="K251" s="239">
        <v>5512974.9020288968</v>
      </c>
      <c r="L251" s="288">
        <f t="shared" si="27"/>
        <v>-261.05350029855089</v>
      </c>
      <c r="M251" s="40">
        <f t="shared" si="28"/>
        <v>-682.83949256699066</v>
      </c>
      <c r="N251" s="239">
        <f t="shared" si="29"/>
        <v>-1382.3900653468606</v>
      </c>
    </row>
    <row r="252" spans="1:14" x14ac:dyDescent="0.2">
      <c r="A252" s="285" t="s">
        <v>459</v>
      </c>
      <c r="B252" s="205">
        <v>18100204</v>
      </c>
      <c r="C252" s="288">
        <v>454.46860472453898</v>
      </c>
      <c r="D252" s="40">
        <v>467.85662715827903</v>
      </c>
      <c r="E252" s="239">
        <v>489.72225481523799</v>
      </c>
      <c r="F252" s="288">
        <v>4190.150794544008</v>
      </c>
      <c r="G252" s="40">
        <v>8912.1667418647576</v>
      </c>
      <c r="H252" s="239">
        <v>15965.208310141445</v>
      </c>
      <c r="I252" s="288">
        <v>22199286.375928421</v>
      </c>
      <c r="J252" s="40">
        <v>24275416.981995799</v>
      </c>
      <c r="K252" s="239">
        <v>26300815.250844281</v>
      </c>
      <c r="L252" s="288">
        <f t="shared" si="27"/>
        <v>-5183.7001240275576</v>
      </c>
      <c r="M252" s="40">
        <f t="shared" si="28"/>
        <v>-11691.572450232547</v>
      </c>
      <c r="N252" s="239">
        <f t="shared" si="29"/>
        <v>-21408.401909212596</v>
      </c>
    </row>
    <row r="253" spans="1:14" x14ac:dyDescent="0.2">
      <c r="A253" s="285" t="s">
        <v>459</v>
      </c>
      <c r="B253" s="205">
        <v>16060013</v>
      </c>
      <c r="C253" s="288">
        <v>19.596040241343299</v>
      </c>
      <c r="D253" s="40">
        <v>31.263048035226401</v>
      </c>
      <c r="E253" s="239">
        <v>48.343083953215597</v>
      </c>
      <c r="F253" s="288">
        <v>117.2451072986984</v>
      </c>
      <c r="G253" s="40">
        <v>242.15054332748278</v>
      </c>
      <c r="H253" s="239">
        <v>435.8223311157434</v>
      </c>
      <c r="I253" s="288">
        <v>4923485.5062215896</v>
      </c>
      <c r="J253" s="40">
        <v>5371061.4209230598</v>
      </c>
      <c r="K253" s="239">
        <v>5838965.3933930201</v>
      </c>
      <c r="L253" s="288">
        <f t="shared" si="27"/>
        <v>-139.84281638131284</v>
      </c>
      <c r="M253" s="40">
        <f t="shared" si="28"/>
        <v>-296.74916274003925</v>
      </c>
      <c r="N253" s="239">
        <f t="shared" si="29"/>
        <v>-541.20957701885914</v>
      </c>
    </row>
    <row r="254" spans="1:14" x14ac:dyDescent="0.2">
      <c r="A254" s="285" t="s">
        <v>459</v>
      </c>
      <c r="B254" s="205">
        <v>18090208</v>
      </c>
      <c r="C254" s="288">
        <v>20.8654267372549</v>
      </c>
      <c r="D254" s="40">
        <v>32.113488574807697</v>
      </c>
      <c r="E254" s="239">
        <v>48.859019422911203</v>
      </c>
      <c r="F254" s="288">
        <v>1912.1053412708352</v>
      </c>
      <c r="G254" s="40">
        <v>3411.2790945159486</v>
      </c>
      <c r="H254" s="239">
        <v>5674.5934093642263</v>
      </c>
      <c r="I254" s="288">
        <v>0</v>
      </c>
      <c r="J254" s="40">
        <v>0</v>
      </c>
      <c r="K254" s="239">
        <v>0</v>
      </c>
      <c r="L254" s="288">
        <f t="shared" si="27"/>
        <v>-2613.0799963840104</v>
      </c>
      <c r="M254" s="40">
        <f t="shared" si="28"/>
        <v>-4668.9105816230194</v>
      </c>
      <c r="N254" s="239">
        <f t="shared" si="29"/>
        <v>-7772.9397980428666</v>
      </c>
    </row>
    <row r="255" spans="1:14" x14ac:dyDescent="0.2">
      <c r="A255" s="285" t="s">
        <v>459</v>
      </c>
      <c r="B255" s="205">
        <v>16060003</v>
      </c>
      <c r="C255" s="288">
        <v>12.3912521215924</v>
      </c>
      <c r="D255" s="40">
        <v>19.221612092207799</v>
      </c>
      <c r="E255" s="239">
        <v>28.900084063604101</v>
      </c>
      <c r="F255" s="288">
        <v>85.946020192908293</v>
      </c>
      <c r="G255" s="40">
        <v>174.78732390408513</v>
      </c>
      <c r="H255" s="239">
        <v>315.26198134481439</v>
      </c>
      <c r="I255" s="288">
        <v>12602172.90105447</v>
      </c>
      <c r="J255" s="40">
        <v>19226978.004610445</v>
      </c>
      <c r="K255" s="239">
        <v>49036167.912910365</v>
      </c>
      <c r="L255" s="288">
        <f t="shared" si="27"/>
        <v>-114.23099937028776</v>
      </c>
      <c r="M255" s="40">
        <f t="shared" si="28"/>
        <v>-234.16832232321809</v>
      </c>
      <c r="N255" s="239">
        <f t="shared" si="29"/>
        <v>-444.69540699820993</v>
      </c>
    </row>
    <row r="256" spans="1:14" x14ac:dyDescent="0.2">
      <c r="A256" s="285" t="s">
        <v>459</v>
      </c>
      <c r="B256" s="205">
        <v>3050105</v>
      </c>
      <c r="C256" s="288">
        <v>1479.6817477664399</v>
      </c>
      <c r="D256" s="40">
        <v>2245.7340877014499</v>
      </c>
      <c r="E256" s="239">
        <v>3336.7556732529702</v>
      </c>
      <c r="F256" s="288">
        <v>92.02030764302053</v>
      </c>
      <c r="G256" s="40">
        <v>99.704359851855415</v>
      </c>
      <c r="H256" s="239">
        <v>107.62984555041514</v>
      </c>
      <c r="I256" s="288">
        <v>5641658.7436765898</v>
      </c>
      <c r="J256" s="40">
        <v>8953939.5431325138</v>
      </c>
      <c r="K256" s="239">
        <v>12991490.357235583</v>
      </c>
      <c r="L256" s="288">
        <f t="shared" si="27"/>
        <v>1911.6562594499551</v>
      </c>
      <c r="M256" s="40">
        <f t="shared" si="28"/>
        <v>2956.1629186594851</v>
      </c>
      <c r="N256" s="239">
        <f t="shared" si="29"/>
        <v>4448.6127943944884</v>
      </c>
    </row>
    <row r="257" spans="1:14" x14ac:dyDescent="0.2">
      <c r="A257" s="285" t="s">
        <v>459</v>
      </c>
      <c r="B257" s="205">
        <v>16040201</v>
      </c>
      <c r="C257" s="288">
        <v>57.4862205205512</v>
      </c>
      <c r="D257" s="40">
        <v>112.816613176739</v>
      </c>
      <c r="E257" s="239">
        <v>173.022073685838</v>
      </c>
      <c r="F257" s="288">
        <v>532.11167448009348</v>
      </c>
      <c r="G257" s="40">
        <v>815.08294293291942</v>
      </c>
      <c r="H257" s="239">
        <v>1226.4518786749313</v>
      </c>
      <c r="I257" s="288">
        <v>30329777.237026993</v>
      </c>
      <c r="J257" s="40">
        <v>34810209.497471385</v>
      </c>
      <c r="K257" s="239">
        <v>39804593.895523153</v>
      </c>
      <c r="L257" s="288">
        <f t="shared" si="27"/>
        <v>-686.10817424818981</v>
      </c>
      <c r="M257" s="40">
        <f t="shared" si="28"/>
        <v>-1005.1144444694057</v>
      </c>
      <c r="N257" s="239">
        <f t="shared" si="29"/>
        <v>-1495.3028254303526</v>
      </c>
    </row>
    <row r="258" spans="1:14" x14ac:dyDescent="0.2">
      <c r="A258" s="285" t="s">
        <v>459</v>
      </c>
      <c r="B258" s="205">
        <v>14030005</v>
      </c>
      <c r="C258" s="288">
        <v>4118.32302521776</v>
      </c>
      <c r="D258" s="40">
        <v>7071.0733888106697</v>
      </c>
      <c r="E258" s="239">
        <v>10552.269040524599</v>
      </c>
      <c r="F258" s="288">
        <v>31.995708123070326</v>
      </c>
      <c r="G258" s="40">
        <v>71.192786486771979</v>
      </c>
      <c r="H258" s="239">
        <v>134.3834355041117</v>
      </c>
      <c r="I258" s="288">
        <v>253458.36282697099</v>
      </c>
      <c r="J258" s="40">
        <v>277827.54117581103</v>
      </c>
      <c r="K258" s="239">
        <v>301790.97553201899</v>
      </c>
      <c r="L258" s="288">
        <f t="shared" si="27"/>
        <v>5645.7251871392009</v>
      </c>
      <c r="M258" s="40">
        <f t="shared" si="28"/>
        <v>9671.2862286351865</v>
      </c>
      <c r="N258" s="239">
        <f t="shared" si="29"/>
        <v>14393.836292668751</v>
      </c>
    </row>
    <row r="259" spans="1:14" x14ac:dyDescent="0.2">
      <c r="A259" s="285" t="s">
        <v>459</v>
      </c>
      <c r="B259" s="205">
        <v>3050102</v>
      </c>
      <c r="C259" s="288">
        <v>417.1742357256</v>
      </c>
      <c r="D259" s="40">
        <v>637.76577230585201</v>
      </c>
      <c r="E259" s="239">
        <v>959.05173379883297</v>
      </c>
      <c r="F259" s="288">
        <v>19.965666491241024</v>
      </c>
      <c r="G259" s="40">
        <v>23.117953524159322</v>
      </c>
      <c r="H259" s="239">
        <v>26.689637094552467</v>
      </c>
      <c r="I259" s="288">
        <v>700606.32064829394</v>
      </c>
      <c r="J259" s="40">
        <v>767537.19033624697</v>
      </c>
      <c r="K259" s="239">
        <v>833662.78108524997</v>
      </c>
      <c r="L259" s="288">
        <f t="shared" si="27"/>
        <v>548.11277197281584</v>
      </c>
      <c r="M259" s="40">
        <f t="shared" si="28"/>
        <v>848.47634124991407</v>
      </c>
      <c r="N259" s="239">
        <f t="shared" si="29"/>
        <v>1287.3882732948894</v>
      </c>
    </row>
    <row r="260" spans="1:14" x14ac:dyDescent="0.2">
      <c r="A260" s="285" t="s">
        <v>459</v>
      </c>
      <c r="B260" s="205">
        <v>16060010</v>
      </c>
      <c r="C260" s="288">
        <v>30.756588289242401</v>
      </c>
      <c r="D260" s="40">
        <v>38.501959455847903</v>
      </c>
      <c r="E260" s="239">
        <v>49.746836952087001</v>
      </c>
      <c r="F260" s="288">
        <v>92.70968122370212</v>
      </c>
      <c r="G260" s="40">
        <v>175.68535931463552</v>
      </c>
      <c r="H260" s="239">
        <v>310.21439567785268</v>
      </c>
      <c r="I260" s="288">
        <v>3907981.8470785301</v>
      </c>
      <c r="J260" s="40">
        <v>4284302.1047777897</v>
      </c>
      <c r="K260" s="239">
        <v>4647432.1803099699</v>
      </c>
      <c r="L260" s="288">
        <f t="shared" si="27"/>
        <v>-89.507057150584558</v>
      </c>
      <c r="M260" s="40">
        <f t="shared" si="28"/>
        <v>-193.82725498569431</v>
      </c>
      <c r="N260" s="239">
        <f t="shared" si="29"/>
        <v>-364.5290961526631</v>
      </c>
    </row>
    <row r="261" spans="1:14" ht="16" thickBot="1" x14ac:dyDescent="0.25">
      <c r="A261" s="286" t="s">
        <v>459</v>
      </c>
      <c r="B261" s="206">
        <v>11140205</v>
      </c>
      <c r="C261" s="289">
        <v>334.034854821431</v>
      </c>
      <c r="D261" s="249">
        <v>606.89862083882497</v>
      </c>
      <c r="E261" s="240">
        <v>1002.5827479654999</v>
      </c>
      <c r="F261" s="289">
        <v>8.7254303841073906</v>
      </c>
      <c r="G261" s="249">
        <v>10.816898754925941</v>
      </c>
      <c r="H261" s="240">
        <v>13.343977610249532</v>
      </c>
      <c r="I261" s="289">
        <v>3314052.43424983</v>
      </c>
      <c r="J261" s="249">
        <v>3621992.3970981999</v>
      </c>
      <c r="K261" s="240">
        <v>3935422.7909373799</v>
      </c>
      <c r="L261" s="289">
        <f t="shared" si="27"/>
        <v>446.15803362946286</v>
      </c>
      <c r="M261" s="249">
        <f t="shared" si="28"/>
        <v>819.96956371264525</v>
      </c>
      <c r="N261" s="240">
        <f t="shared" si="29"/>
        <v>1362.8716240560652</v>
      </c>
    </row>
    <row r="262" spans="1:14" x14ac:dyDescent="0.2">
      <c r="A262" s="284" t="s">
        <v>460</v>
      </c>
      <c r="B262" s="281">
        <v>16060011</v>
      </c>
      <c r="C262" s="287" cm="1">
        <f t="array" ref="C262:E274">T43:V55</f>
        <v>30.569517181778</v>
      </c>
      <c r="D262" s="254">
        <v>37.3935954507023</v>
      </c>
      <c r="E262" s="255">
        <v>47.973777705650498</v>
      </c>
      <c r="F262" s="287" cm="1">
        <f t="array" ref="F262:H274">K133:M145</f>
        <v>41.82174295401299</v>
      </c>
      <c r="G262" s="254">
        <v>65.933325064688418</v>
      </c>
      <c r="H262" s="255">
        <v>100.96542290110459</v>
      </c>
      <c r="I262" s="287" cm="1">
        <f t="array" ref="I262:K274">$B$203:$D$215</f>
        <v>28572915.147869598</v>
      </c>
      <c r="J262" s="254">
        <v>36784589.510791823</v>
      </c>
      <c r="K262" s="255">
        <v>63986855.731934547</v>
      </c>
      <c r="L262" s="287">
        <f t="shared" si="27"/>
        <v>-44.119840661799046</v>
      </c>
      <c r="M262" s="254">
        <f t="shared" si="28"/>
        <v>-76.217236835659463</v>
      </c>
      <c r="N262" s="255">
        <f t="shared" si="29"/>
        <v>-137.20411757778021</v>
      </c>
    </row>
    <row r="263" spans="1:14" x14ac:dyDescent="0.2">
      <c r="A263" s="285" t="s">
        <v>460</v>
      </c>
      <c r="B263" s="205">
        <v>15030202</v>
      </c>
      <c r="C263" s="288">
        <v>34.741721209119603</v>
      </c>
      <c r="D263" s="40">
        <v>64.963436444982605</v>
      </c>
      <c r="E263" s="239">
        <v>104.693206894155</v>
      </c>
      <c r="F263" s="288">
        <v>91.696458102873876</v>
      </c>
      <c r="G263" s="40">
        <v>108.51693471547112</v>
      </c>
      <c r="H263" s="239">
        <v>128.5399320594891</v>
      </c>
      <c r="I263" s="288">
        <v>366842.57135850086</v>
      </c>
      <c r="J263" s="40">
        <v>1927238.7365708405</v>
      </c>
      <c r="K263" s="239">
        <v>9736611.9085476827</v>
      </c>
      <c r="L263" s="288">
        <f t="shared" si="27"/>
        <v>-79.059811418247293</v>
      </c>
      <c r="M263" s="40">
        <f t="shared" si="28"/>
        <v>-62.104043502890917</v>
      </c>
      <c r="N263" s="239">
        <f t="shared" si="29"/>
        <v>-42.685049613326953</v>
      </c>
    </row>
    <row r="264" spans="1:14" x14ac:dyDescent="0.2">
      <c r="A264" s="285" t="s">
        <v>460</v>
      </c>
      <c r="B264" s="205">
        <v>15030201</v>
      </c>
      <c r="C264" s="288">
        <v>65.728555929473401</v>
      </c>
      <c r="D264" s="40">
        <v>126.34708648765501</v>
      </c>
      <c r="E264" s="239">
        <v>207.18587702034901</v>
      </c>
      <c r="F264" s="288">
        <v>91.821827910155363</v>
      </c>
      <c r="G264" s="40">
        <v>108.73041848149737</v>
      </c>
      <c r="H264" s="239">
        <v>128.72181938582966</v>
      </c>
      <c r="I264" s="288">
        <v>234256.73678805656</v>
      </c>
      <c r="J264" s="40">
        <v>1154893.0353673985</v>
      </c>
      <c r="K264" s="239">
        <v>5512974.9020288968</v>
      </c>
      <c r="L264" s="288">
        <f t="shared" si="27"/>
        <v>-36.286693304436838</v>
      </c>
      <c r="M264" s="40">
        <f t="shared" si="28"/>
        <v>23.185626861697916</v>
      </c>
      <c r="N264" s="239">
        <f t="shared" si="29"/>
        <v>102.89889704730548</v>
      </c>
    </row>
    <row r="265" spans="1:14" x14ac:dyDescent="0.2">
      <c r="A265" s="285" t="s">
        <v>460</v>
      </c>
      <c r="B265" s="205">
        <v>18100204</v>
      </c>
      <c r="C265" s="288">
        <v>453.066543518537</v>
      </c>
      <c r="D265" s="40">
        <v>461.67768008469199</v>
      </c>
      <c r="E265" s="239">
        <v>474.91619049420598</v>
      </c>
      <c r="F265" s="288">
        <v>1324.7378307573583</v>
      </c>
      <c r="G265" s="40">
        <v>2044.0830678701845</v>
      </c>
      <c r="H265" s="239">
        <v>2753.2726277358684</v>
      </c>
      <c r="I265" s="288">
        <v>22199286.375928421</v>
      </c>
      <c r="J265" s="40">
        <v>24275416.981995799</v>
      </c>
      <c r="K265" s="239">
        <v>26300815.250844281</v>
      </c>
      <c r="L265" s="288">
        <f t="shared" si="27"/>
        <v>-1226.5662133862468</v>
      </c>
      <c r="M265" s="40">
        <f t="shared" si="28"/>
        <v>-2210.6462910402033</v>
      </c>
      <c r="N265" s="239">
        <f t="shared" si="29"/>
        <v>-3174.2502557411558</v>
      </c>
    </row>
    <row r="266" spans="1:14" x14ac:dyDescent="0.2">
      <c r="A266" s="285" t="s">
        <v>460</v>
      </c>
      <c r="B266" s="205">
        <v>16060013</v>
      </c>
      <c r="C266" s="288">
        <v>21.223992493397699</v>
      </c>
      <c r="D266" s="40">
        <v>33.161504434842897</v>
      </c>
      <c r="E266" s="239">
        <v>50.2680964507284</v>
      </c>
      <c r="F266" s="288">
        <v>42.58893545425444</v>
      </c>
      <c r="G266" s="40">
        <v>65.694893942823839</v>
      </c>
      <c r="H266" s="239">
        <v>101.16034222640683</v>
      </c>
      <c r="I266" s="288">
        <v>4923485.5062215896</v>
      </c>
      <c r="J266" s="40">
        <v>5371061.4209230598</v>
      </c>
      <c r="K266" s="239">
        <v>5838965.3933930201</v>
      </c>
      <c r="L266" s="288">
        <f t="shared" si="27"/>
        <v>-34.442905356594494</v>
      </c>
      <c r="M266" s="40">
        <f t="shared" si="28"/>
        <v>-50.321651076197064</v>
      </c>
      <c r="N266" s="239">
        <f t="shared" si="29"/>
        <v>-76.155538338756742</v>
      </c>
    </row>
    <row r="267" spans="1:14" x14ac:dyDescent="0.2">
      <c r="A267" s="285" t="s">
        <v>460</v>
      </c>
      <c r="B267" s="205">
        <v>18090208</v>
      </c>
      <c r="C267" s="288">
        <v>23.783948737584701</v>
      </c>
      <c r="D267" s="40">
        <v>37.274985685185499</v>
      </c>
      <c r="E267" s="239">
        <v>56.987467189175</v>
      </c>
      <c r="F267" s="288">
        <v>810.29645194965781</v>
      </c>
      <c r="G267" s="40">
        <v>1040.3065885170838</v>
      </c>
      <c r="H267" s="239">
        <v>1356.3390211926428</v>
      </c>
      <c r="I267" s="288">
        <v>0</v>
      </c>
      <c r="J267" s="40">
        <v>0</v>
      </c>
      <c r="K267" s="239">
        <v>0</v>
      </c>
      <c r="L267" s="288">
        <f t="shared" si="27"/>
        <v>-1086.7051151235053</v>
      </c>
      <c r="M267" s="40">
        <f t="shared" si="28"/>
        <v>-1385.8642665901111</v>
      </c>
      <c r="N267" s="239">
        <f t="shared" si="29"/>
        <v>-1795.2823055102951</v>
      </c>
    </row>
    <row r="268" spans="1:14" x14ac:dyDescent="0.2">
      <c r="A268" s="285" t="s">
        <v>460</v>
      </c>
      <c r="B268" s="205">
        <v>16060003</v>
      </c>
      <c r="C268" s="288">
        <v>16.158541292052199</v>
      </c>
      <c r="D268" s="40">
        <v>29.049332855169499</v>
      </c>
      <c r="E268" s="239">
        <v>48.936042917513603</v>
      </c>
      <c r="F268" s="288">
        <v>29.739347010635267</v>
      </c>
      <c r="G268" s="40">
        <v>46.12581420327534</v>
      </c>
      <c r="H268" s="239">
        <v>70.807559490370878</v>
      </c>
      <c r="I268" s="288">
        <v>12602172.90105447</v>
      </c>
      <c r="J268" s="40">
        <v>19226978.004610445</v>
      </c>
      <c r="K268" s="239">
        <v>49036167.912910365</v>
      </c>
      <c r="L268" s="288">
        <f t="shared" si="27"/>
        <v>-31.366440451297567</v>
      </c>
      <c r="M268" s="40">
        <f t="shared" si="28"/>
        <v>-42.821135190302456</v>
      </c>
      <c r="N268" s="239">
        <f t="shared" si="29"/>
        <v>-79.255508149926044</v>
      </c>
    </row>
    <row r="269" spans="1:14" x14ac:dyDescent="0.2">
      <c r="A269" s="285" t="s">
        <v>460</v>
      </c>
      <c r="B269" s="205">
        <v>3050105</v>
      </c>
      <c r="C269" s="288">
        <v>1703.56992648768</v>
      </c>
      <c r="D269" s="40">
        <v>2352.0810963273502</v>
      </c>
      <c r="E269" s="239">
        <v>2940.01020724307</v>
      </c>
      <c r="F269" s="288">
        <v>89.45443848940171</v>
      </c>
      <c r="G269" s="40">
        <v>96.383475611392399</v>
      </c>
      <c r="H269" s="239">
        <v>103.14289462344406</v>
      </c>
      <c r="I269" s="288">
        <v>5641658.7436765898</v>
      </c>
      <c r="J269" s="40">
        <v>8953939.5431325138</v>
      </c>
      <c r="K269" s="239">
        <v>12991490.357235583</v>
      </c>
      <c r="L269" s="288">
        <f t="shared" si="27"/>
        <v>2224.542286259471</v>
      </c>
      <c r="M269" s="40">
        <f t="shared" si="28"/>
        <v>3107.688367595113</v>
      </c>
      <c r="N269" s="239">
        <f t="shared" si="29"/>
        <v>3906.6387850170031</v>
      </c>
    </row>
    <row r="270" spans="1:14" x14ac:dyDescent="0.2">
      <c r="A270" s="285" t="s">
        <v>460</v>
      </c>
      <c r="B270" s="205">
        <v>16040201</v>
      </c>
      <c r="C270" s="288">
        <v>64.805295904488204</v>
      </c>
      <c r="D270" s="40">
        <v>126.04579855636401</v>
      </c>
      <c r="E270" s="239">
        <v>203.75606920588501</v>
      </c>
      <c r="F270" s="288">
        <v>189.61375327927803</v>
      </c>
      <c r="G270" s="40">
        <v>251.05353546703671</v>
      </c>
      <c r="H270" s="239">
        <v>329.0946352329932</v>
      </c>
      <c r="I270" s="288">
        <v>30329777.237026993</v>
      </c>
      <c r="J270" s="40">
        <v>34810209.497471385</v>
      </c>
      <c r="K270" s="239">
        <v>39804593.895523153</v>
      </c>
      <c r="L270" s="288">
        <f t="shared" si="27"/>
        <v>-202.77457434572239</v>
      </c>
      <c r="M270" s="40">
        <f t="shared" si="28"/>
        <v>-207.53034627349433</v>
      </c>
      <c r="N270" s="239">
        <f t="shared" si="29"/>
        <v>-212.98182918122518</v>
      </c>
    </row>
    <row r="271" spans="1:14" x14ac:dyDescent="0.2">
      <c r="A271" s="285" t="s">
        <v>460</v>
      </c>
      <c r="B271" s="205">
        <v>14030005</v>
      </c>
      <c r="C271" s="288">
        <v>5432.2637737181904</v>
      </c>
      <c r="D271" s="40">
        <v>7655.6446771867204</v>
      </c>
      <c r="E271" s="239">
        <v>10563.1381426644</v>
      </c>
      <c r="F271" s="288">
        <v>14.416046345377561</v>
      </c>
      <c r="G271" s="40">
        <v>17.931349514157333</v>
      </c>
      <c r="H271" s="239">
        <v>22.255654224893416</v>
      </c>
      <c r="I271" s="288">
        <v>253458.36282697099</v>
      </c>
      <c r="J271" s="40">
        <v>277827.54117581103</v>
      </c>
      <c r="K271" s="239">
        <v>301790.97553201899</v>
      </c>
      <c r="L271" s="288">
        <f t="shared" si="27"/>
        <v>7485.454415640007</v>
      </c>
      <c r="M271" s="40">
        <f t="shared" si="28"/>
        <v>10552.564126187777</v>
      </c>
      <c r="N271" s="239">
        <f t="shared" si="29"/>
        <v>14563.778082290444</v>
      </c>
    </row>
    <row r="272" spans="1:14" x14ac:dyDescent="0.2">
      <c r="A272" s="285" t="s">
        <v>460</v>
      </c>
      <c r="B272" s="205">
        <v>3050102</v>
      </c>
      <c r="C272" s="288">
        <v>433.40291233343999</v>
      </c>
      <c r="D272" s="40">
        <v>617.13314817097705</v>
      </c>
      <c r="E272" s="239">
        <v>765.09976697614297</v>
      </c>
      <c r="F272" s="288">
        <v>17.222936403282418</v>
      </c>
      <c r="G272" s="40">
        <v>19.632411138837632</v>
      </c>
      <c r="H272" s="239">
        <v>21.975921352385704</v>
      </c>
      <c r="I272" s="288">
        <v>700606.32064829394</v>
      </c>
      <c r="J272" s="40">
        <v>767537.19033624697</v>
      </c>
      <c r="K272" s="239">
        <v>833662.78108524997</v>
      </c>
      <c r="L272" s="288">
        <f t="shared" si="27"/>
        <v>574.3251012278713</v>
      </c>
      <c r="M272" s="40">
        <f t="shared" si="28"/>
        <v>824.78463721395667</v>
      </c>
      <c r="N272" s="239">
        <f t="shared" si="29"/>
        <v>1025.922403920425</v>
      </c>
    </row>
    <row r="273" spans="1:14" x14ac:dyDescent="0.2">
      <c r="A273" s="285" t="s">
        <v>460</v>
      </c>
      <c r="B273" s="205">
        <v>16060010</v>
      </c>
      <c r="C273" s="288">
        <v>36.6312291894209</v>
      </c>
      <c r="D273" s="40">
        <v>58.153992668671599</v>
      </c>
      <c r="E273" s="239">
        <v>93.441260633217098</v>
      </c>
      <c r="F273" s="288">
        <v>39.349818870873555</v>
      </c>
      <c r="G273" s="40">
        <v>51.976833621238356</v>
      </c>
      <c r="H273" s="239">
        <v>69.554839127494773</v>
      </c>
      <c r="I273" s="288">
        <v>3907981.8470785301</v>
      </c>
      <c r="J273" s="40">
        <v>4284302.1047777897</v>
      </c>
      <c r="K273" s="239">
        <v>4647432.1803099699</v>
      </c>
      <c r="L273" s="288">
        <f t="shared" si="27"/>
        <v>-7.664190808400015</v>
      </c>
      <c r="M273" s="40">
        <f t="shared" si="28"/>
        <v>4.2505276739767099</v>
      </c>
      <c r="N273" s="239">
        <f t="shared" si="29"/>
        <v>28.355852988400748</v>
      </c>
    </row>
    <row r="274" spans="1:14" ht="16" thickBot="1" x14ac:dyDescent="0.25">
      <c r="A274" s="286" t="s">
        <v>460</v>
      </c>
      <c r="B274" s="206">
        <v>11140205</v>
      </c>
      <c r="C274" s="289">
        <v>399.36155310276399</v>
      </c>
      <c r="D274" s="249">
        <v>617.000833619069</v>
      </c>
      <c r="E274" s="240">
        <v>818.87352652955894</v>
      </c>
      <c r="F274" s="289">
        <v>8.7751234180824191</v>
      </c>
      <c r="G274" s="249">
        <v>10.410841288526687</v>
      </c>
      <c r="H274" s="240">
        <v>12.348561521390137</v>
      </c>
      <c r="I274" s="289">
        <v>3314052.43424983</v>
      </c>
      <c r="J274" s="249">
        <v>3621992.3970981999</v>
      </c>
      <c r="K274" s="240">
        <v>3935422.7909373799</v>
      </c>
      <c r="L274" s="289">
        <f t="shared" si="27"/>
        <v>536.349677389156</v>
      </c>
      <c r="M274" s="249">
        <f t="shared" si="28"/>
        <v>834.48858404797511</v>
      </c>
      <c r="N274" s="240">
        <f t="shared" si="29"/>
        <v>1110.4204219919375</v>
      </c>
    </row>
    <row r="275" spans="1:14" x14ac:dyDescent="0.2">
      <c r="A275" s="285" t="s">
        <v>461</v>
      </c>
      <c r="B275" s="205">
        <v>16060011</v>
      </c>
      <c r="C275" s="288" cm="1">
        <f t="array" ref="C275:E287">Z43:AB55</f>
        <v>37.2402721528547</v>
      </c>
      <c r="D275" s="40">
        <v>59.198518159782203</v>
      </c>
      <c r="E275" s="239">
        <v>94.6058516564119</v>
      </c>
      <c r="F275" s="288" cm="1">
        <f t="array" ref="F275:H287">N133:P145</f>
        <v>91.602640016591081</v>
      </c>
      <c r="G275" s="40">
        <v>183.55441482981058</v>
      </c>
      <c r="H275" s="239">
        <v>332.53210480514042</v>
      </c>
      <c r="I275" s="288" cm="1">
        <f t="array" ref="I275:K287">$B$203:$D$215</f>
        <v>28572915.147869598</v>
      </c>
      <c r="J275" s="40">
        <v>36784589.510791823</v>
      </c>
      <c r="K275" s="239">
        <v>63986855.731934547</v>
      </c>
      <c r="L275" s="288">
        <f t="shared" si="27"/>
        <v>-103.68407102458544</v>
      </c>
      <c r="M275" s="40">
        <f t="shared" si="28"/>
        <v>-208.60409454751166</v>
      </c>
      <c r="N275" s="239">
        <f t="shared" si="29"/>
        <v>-392.72374835979025</v>
      </c>
    </row>
    <row r="276" spans="1:14" x14ac:dyDescent="0.2">
      <c r="A276" s="285" t="s">
        <v>461</v>
      </c>
      <c r="B276" s="205">
        <v>15030202</v>
      </c>
      <c r="C276" s="288">
        <v>29.341247626164201</v>
      </c>
      <c r="D276" s="40">
        <v>52.653919900052202</v>
      </c>
      <c r="E276" s="239">
        <v>83.403830741998704</v>
      </c>
      <c r="F276" s="288">
        <v>135.65002947657118</v>
      </c>
      <c r="G276" s="40">
        <v>187.67065318505669</v>
      </c>
      <c r="H276" s="239">
        <v>259.40535345743342</v>
      </c>
      <c r="I276" s="288">
        <v>366842.57135850086</v>
      </c>
      <c r="J276" s="40">
        <v>1927238.7365708405</v>
      </c>
      <c r="K276" s="239">
        <v>9736611.9085476827</v>
      </c>
      <c r="L276" s="288">
        <f t="shared" si="27"/>
        <v>-147.25108986251178</v>
      </c>
      <c r="M276" s="40">
        <f t="shared" si="28"/>
        <v>-188.47656133331321</v>
      </c>
      <c r="N276" s="239">
        <f t="shared" si="29"/>
        <v>-252.91361700800434</v>
      </c>
    </row>
    <row r="277" spans="1:14" x14ac:dyDescent="0.2">
      <c r="A277" s="285" t="s">
        <v>461</v>
      </c>
      <c r="B277" s="205">
        <v>15030201</v>
      </c>
      <c r="C277" s="288">
        <v>53.3395260140584</v>
      </c>
      <c r="D277" s="40">
        <v>97.407219336474</v>
      </c>
      <c r="E277" s="239">
        <v>164.267978478408</v>
      </c>
      <c r="F277" s="288">
        <v>136.67383107160705</v>
      </c>
      <c r="G277" s="40">
        <v>188.10309448620018</v>
      </c>
      <c r="H277" s="239">
        <v>260.91279986774572</v>
      </c>
      <c r="I277" s="288">
        <v>234256.73678805656</v>
      </c>
      <c r="J277" s="40">
        <v>1154893.0353673985</v>
      </c>
      <c r="K277" s="239">
        <v>5512974.9020288968</v>
      </c>
      <c r="L277" s="288">
        <f t="shared" si="27"/>
        <v>-115.37523059474897</v>
      </c>
      <c r="M277" s="40">
        <f t="shared" si="28"/>
        <v>-126.46716848337117</v>
      </c>
      <c r="N277" s="239">
        <f t="shared" si="29"/>
        <v>-139.04476406631682</v>
      </c>
    </row>
    <row r="278" spans="1:14" x14ac:dyDescent="0.2">
      <c r="A278" s="285" t="s">
        <v>461</v>
      </c>
      <c r="B278" s="205">
        <v>18100204</v>
      </c>
      <c r="C278" s="288">
        <v>448.42671419529</v>
      </c>
      <c r="D278" s="40">
        <v>449.90910256899298</v>
      </c>
      <c r="E278" s="239">
        <v>451.83562938082599</v>
      </c>
      <c r="F278" s="288">
        <v>938.84495631499215</v>
      </c>
      <c r="G278" s="40">
        <v>1588.5047302632586</v>
      </c>
      <c r="H278" s="239">
        <v>2419.1500037160376</v>
      </c>
      <c r="I278" s="288">
        <v>22199286.375928421</v>
      </c>
      <c r="J278" s="40">
        <v>24275416.981995799</v>
      </c>
      <c r="K278" s="239">
        <v>26300815.250844281</v>
      </c>
      <c r="L278" s="288">
        <f t="shared" si="27"/>
        <v>-699.79819304919909</v>
      </c>
      <c r="M278" s="40">
        <f t="shared" si="28"/>
        <v>-1597.445185573697</v>
      </c>
      <c r="N278" s="239">
        <f t="shared" si="29"/>
        <v>-2744.4910346244042</v>
      </c>
    </row>
    <row r="279" spans="1:14" x14ac:dyDescent="0.2">
      <c r="A279" s="285" t="s">
        <v>461</v>
      </c>
      <c r="B279" s="205">
        <v>16060013</v>
      </c>
      <c r="C279" s="288">
        <v>26.0043395285687</v>
      </c>
      <c r="D279" s="40">
        <v>51.3750854298817</v>
      </c>
      <c r="E279" s="239">
        <v>90.204548371929604</v>
      </c>
      <c r="F279" s="288">
        <v>88.772826064947594</v>
      </c>
      <c r="G279" s="40">
        <v>181.1732355865212</v>
      </c>
      <c r="H279" s="239">
        <v>327.41945366737804</v>
      </c>
      <c r="I279" s="288">
        <v>4923485.5062215896</v>
      </c>
      <c r="J279" s="40">
        <v>5371061.4209230598</v>
      </c>
      <c r="K279" s="239">
        <v>5838965.3933930201</v>
      </c>
      <c r="L279" s="288">
        <f t="shared" si="27"/>
        <v>-91.649170233514013</v>
      </c>
      <c r="M279" s="40">
        <f t="shared" si="28"/>
        <v>-184.70999517307476</v>
      </c>
      <c r="N279" s="239">
        <f t="shared" si="29"/>
        <v>-333.59300606704005</v>
      </c>
    </row>
    <row r="280" spans="1:14" x14ac:dyDescent="0.2">
      <c r="A280" s="285" t="s">
        <v>461</v>
      </c>
      <c r="B280" s="205">
        <v>18090208</v>
      </c>
      <c r="C280" s="288">
        <v>18.5128872881773</v>
      </c>
      <c r="D280" s="40">
        <v>24.910143625670798</v>
      </c>
      <c r="E280" s="239">
        <v>33.3644465627115</v>
      </c>
      <c r="F280" s="288">
        <v>744.75193271957528</v>
      </c>
      <c r="G280" s="40">
        <v>1077.1407506370053</v>
      </c>
      <c r="H280" s="239">
        <v>1583.803987524873</v>
      </c>
      <c r="I280" s="288">
        <v>0</v>
      </c>
      <c r="J280" s="40">
        <v>0</v>
      </c>
      <c r="K280" s="239">
        <v>0</v>
      </c>
      <c r="L280" s="288">
        <f t="shared" si="27"/>
        <v>-1003.4267506869018</v>
      </c>
      <c r="M280" s="40">
        <f t="shared" si="28"/>
        <v>-1453.8413289793662</v>
      </c>
      <c r="N280" s="239">
        <f t="shared" si="29"/>
        <v>-2142.2044442680863</v>
      </c>
    </row>
    <row r="281" spans="1:14" x14ac:dyDescent="0.2">
      <c r="A281" s="285" t="s">
        <v>461</v>
      </c>
      <c r="B281" s="205">
        <v>16060003</v>
      </c>
      <c r="C281" s="288">
        <v>26.3994505915832</v>
      </c>
      <c r="D281" s="40">
        <v>62.263933209201802</v>
      </c>
      <c r="E281" s="239">
        <v>120.247834749397</v>
      </c>
      <c r="F281" s="288">
        <v>63.816720435172854</v>
      </c>
      <c r="G281" s="40">
        <v>133.01669950537297</v>
      </c>
      <c r="H281" s="239">
        <v>238.37474624896046</v>
      </c>
      <c r="I281" s="288">
        <v>12602172.90105447</v>
      </c>
      <c r="J281" s="40">
        <v>19226978.004610445</v>
      </c>
      <c r="K281" s="239">
        <v>49036167.912910365</v>
      </c>
      <c r="L281" s="288">
        <f t="shared" si="27"/>
        <v>-64.300700727282162</v>
      </c>
      <c r="M281" s="40">
        <f t="shared" si="28"/>
        <v>-116.98434706000795</v>
      </c>
      <c r="N281" s="239">
        <f t="shared" si="29"/>
        <v>-212.24923628253569</v>
      </c>
    </row>
    <row r="282" spans="1:14" x14ac:dyDescent="0.2">
      <c r="A282" s="285" t="s">
        <v>461</v>
      </c>
      <c r="B282" s="205">
        <v>3050105</v>
      </c>
      <c r="C282" s="288">
        <v>1918.79417245994</v>
      </c>
      <c r="D282" s="40">
        <v>2537.3879889366199</v>
      </c>
      <c r="E282" s="239">
        <v>3293.9305872363998</v>
      </c>
      <c r="F282" s="288">
        <v>89.931718660587464</v>
      </c>
      <c r="G282" s="40">
        <v>96.759066890998213</v>
      </c>
      <c r="H282" s="239">
        <v>103.6934159860195</v>
      </c>
      <c r="I282" s="288">
        <v>5641658.7436765898</v>
      </c>
      <c r="J282" s="40">
        <v>8953939.5431325138</v>
      </c>
      <c r="K282" s="239">
        <v>12991490.357235583</v>
      </c>
      <c r="L282" s="288">
        <f t="shared" si="27"/>
        <v>2521.2529237130702</v>
      </c>
      <c r="M282" s="40">
        <f t="shared" si="28"/>
        <v>3363.2034296960442</v>
      </c>
      <c r="N282" s="239">
        <f t="shared" si="29"/>
        <v>4394.8812876297907</v>
      </c>
    </row>
    <row r="283" spans="1:14" x14ac:dyDescent="0.2">
      <c r="A283" s="285" t="s">
        <v>461</v>
      </c>
      <c r="B283" s="205">
        <v>16040201</v>
      </c>
      <c r="C283" s="288">
        <v>73.815119428776697</v>
      </c>
      <c r="D283" s="40">
        <v>147.63441071528999</v>
      </c>
      <c r="E283" s="239">
        <v>252.210783566597</v>
      </c>
      <c r="F283" s="288">
        <v>521.46963398288221</v>
      </c>
      <c r="G283" s="40">
        <v>861.37243477326444</v>
      </c>
      <c r="H283" s="239">
        <v>1351.2701812598084</v>
      </c>
      <c r="I283" s="288">
        <v>30329777.237026993</v>
      </c>
      <c r="J283" s="40">
        <v>34810209.497471385</v>
      </c>
      <c r="K283" s="239">
        <v>39804593.895523153</v>
      </c>
      <c r="L283" s="288">
        <f t="shared" si="27"/>
        <v>-648.84308603678051</v>
      </c>
      <c r="M283" s="40">
        <f t="shared" si="28"/>
        <v>-1020.9646042901089</v>
      </c>
      <c r="N283" s="239">
        <f t="shared" si="29"/>
        <v>-1558.348119167021</v>
      </c>
    </row>
    <row r="284" spans="1:14" x14ac:dyDescent="0.2">
      <c r="A284" s="285" t="s">
        <v>461</v>
      </c>
      <c r="B284" s="205">
        <v>14030005</v>
      </c>
      <c r="C284" s="288">
        <v>3883.8983143820601</v>
      </c>
      <c r="D284" s="40">
        <v>6389.2579050514796</v>
      </c>
      <c r="E284" s="239">
        <v>8466.1341766926198</v>
      </c>
      <c r="F284" s="288">
        <v>30.888260568249777</v>
      </c>
      <c r="G284" s="40">
        <v>56.35503943989896</v>
      </c>
      <c r="H284" s="239">
        <v>96.79316991970704</v>
      </c>
      <c r="I284" s="288">
        <v>253458.36282697099</v>
      </c>
      <c r="J284" s="40">
        <v>277827.54117581103</v>
      </c>
      <c r="K284" s="239">
        <v>301790.97553201899</v>
      </c>
      <c r="L284" s="288">
        <f t="shared" si="27"/>
        <v>5323.3564232371937</v>
      </c>
      <c r="M284" s="40">
        <f t="shared" si="28"/>
        <v>8749.7393807482204</v>
      </c>
      <c r="N284" s="239">
        <f t="shared" si="29"/>
        <v>11563.412256963358</v>
      </c>
    </row>
    <row r="285" spans="1:14" x14ac:dyDescent="0.2">
      <c r="A285" s="285" t="s">
        <v>461</v>
      </c>
      <c r="B285" s="205">
        <v>3050102</v>
      </c>
      <c r="C285" s="288">
        <v>534.951406260299</v>
      </c>
      <c r="D285" s="40">
        <v>706.73945166656597</v>
      </c>
      <c r="E285" s="239">
        <v>930.702140200641</v>
      </c>
      <c r="F285" s="288">
        <v>17.947048879422088</v>
      </c>
      <c r="G285" s="40">
        <v>20.210945626468654</v>
      </c>
      <c r="H285" s="239">
        <v>22.887815857841197</v>
      </c>
      <c r="I285" s="288">
        <v>700606.32064829394</v>
      </c>
      <c r="J285" s="40">
        <v>767537.19033624697</v>
      </c>
      <c r="K285" s="239">
        <v>833662.78108524997</v>
      </c>
      <c r="L285" s="288">
        <f t="shared" si="27"/>
        <v>713.63168644323298</v>
      </c>
      <c r="M285" s="40">
        <f t="shared" si="28"/>
        <v>947.79213114936476</v>
      </c>
      <c r="N285" s="239">
        <f t="shared" si="29"/>
        <v>1253.4712158022692</v>
      </c>
    </row>
    <row r="286" spans="1:14" x14ac:dyDescent="0.2">
      <c r="A286" s="285" t="s">
        <v>461</v>
      </c>
      <c r="B286" s="205">
        <v>16060010</v>
      </c>
      <c r="C286" s="288">
        <v>37.695226772100803</v>
      </c>
      <c r="D286" s="40">
        <v>60.842981600191301</v>
      </c>
      <c r="E286" s="239">
        <v>96.4354035533824</v>
      </c>
      <c r="F286" s="288">
        <v>55.690885788584033</v>
      </c>
      <c r="G286" s="40">
        <v>103.91687342427318</v>
      </c>
      <c r="H286" s="239">
        <v>178.53369288722129</v>
      </c>
      <c r="I286" s="288">
        <v>3907981.8470785301</v>
      </c>
      <c r="J286" s="40">
        <v>4284302.1047777897</v>
      </c>
      <c r="K286" s="239">
        <v>4647432.1803099699</v>
      </c>
      <c r="L286" s="288">
        <f t="shared" si="27"/>
        <v>-28.772144366256867</v>
      </c>
      <c r="M286" s="40">
        <f t="shared" si="28"/>
        <v>-63.798446358483261</v>
      </c>
      <c r="N286" s="239">
        <f t="shared" si="29"/>
        <v>-118.08063330250002</v>
      </c>
    </row>
    <row r="287" spans="1:14" ht="16" thickBot="1" x14ac:dyDescent="0.25">
      <c r="A287" s="286" t="s">
        <v>461</v>
      </c>
      <c r="B287" s="206">
        <v>11140205</v>
      </c>
      <c r="C287" s="289">
        <v>330.46013877624</v>
      </c>
      <c r="D287" s="249">
        <v>584.06233564117997</v>
      </c>
      <c r="E287" s="240">
        <v>963.56588940982601</v>
      </c>
      <c r="F287" s="289">
        <v>9.3234261051411025</v>
      </c>
      <c r="G287" s="249">
        <v>11.167185877958246</v>
      </c>
      <c r="H287" s="240">
        <v>13.555048572880308</v>
      </c>
      <c r="I287" s="289">
        <v>3314052.43424983</v>
      </c>
      <c r="J287" s="249">
        <v>3621992.3970981999</v>
      </c>
      <c r="K287" s="240">
        <v>3935422.7909373799</v>
      </c>
      <c r="L287" s="289">
        <f t="shared" si="27"/>
        <v>440.39269970053766</v>
      </c>
      <c r="M287" s="249">
        <f t="shared" si="28"/>
        <v>787.93324306909767</v>
      </c>
      <c r="N287" s="240">
        <f t="shared" si="29"/>
        <v>1308.6713519826387</v>
      </c>
    </row>
    <row r="289" spans="1:42" ht="16" thickBot="1" x14ac:dyDescent="0.25">
      <c r="A289" s="32" t="s">
        <v>487</v>
      </c>
    </row>
    <row r="290" spans="1:42" ht="16" thickBot="1" x14ac:dyDescent="0.25">
      <c r="C290" s="436" t="s">
        <v>463</v>
      </c>
      <c r="D290" s="471"/>
      <c r="E290" s="471"/>
      <c r="F290" s="471"/>
      <c r="G290" s="471"/>
      <c r="H290" s="471"/>
      <c r="I290" s="471"/>
      <c r="J290" s="471"/>
      <c r="K290" s="471"/>
      <c r="L290" s="471"/>
      <c r="M290" s="471"/>
      <c r="N290" s="437"/>
    </row>
    <row r="291" spans="1:42" ht="16" thickBot="1" x14ac:dyDescent="0.25">
      <c r="C291" s="436" t="s">
        <v>477</v>
      </c>
      <c r="D291" s="471"/>
      <c r="E291" s="437"/>
      <c r="F291" s="436" t="s">
        <v>478</v>
      </c>
      <c r="G291" s="471"/>
      <c r="H291" s="437"/>
      <c r="I291" s="436" t="s">
        <v>479</v>
      </c>
      <c r="J291" s="471"/>
      <c r="K291" s="437"/>
      <c r="L291" s="479" t="s">
        <v>480</v>
      </c>
      <c r="M291" s="479"/>
      <c r="N291" s="480"/>
    </row>
    <row r="292" spans="1:42" ht="16" thickBot="1" x14ac:dyDescent="0.25">
      <c r="A292" s="193" t="s">
        <v>407</v>
      </c>
      <c r="B292" s="195" t="s">
        <v>481</v>
      </c>
      <c r="C292" s="194" t="s">
        <v>396</v>
      </c>
      <c r="D292" s="195" t="s">
        <v>397</v>
      </c>
      <c r="E292" s="196" t="s">
        <v>398</v>
      </c>
      <c r="F292" s="194" t="s">
        <v>396</v>
      </c>
      <c r="G292" s="195" t="s">
        <v>397</v>
      </c>
      <c r="H292" s="196" t="s">
        <v>398</v>
      </c>
      <c r="I292" s="194" t="s">
        <v>396</v>
      </c>
      <c r="J292" s="195" t="s">
        <v>397</v>
      </c>
      <c r="K292" s="196" t="s">
        <v>398</v>
      </c>
      <c r="L292" s="195" t="s">
        <v>396</v>
      </c>
      <c r="M292" s="195" t="s">
        <v>397</v>
      </c>
      <c r="N292" s="196" t="s">
        <v>398</v>
      </c>
    </row>
    <row r="293" spans="1:42" x14ac:dyDescent="0.2">
      <c r="A293" s="284" t="s">
        <v>457</v>
      </c>
      <c r="B293" s="281">
        <v>16060011</v>
      </c>
      <c r="C293" s="287" cm="1">
        <f t="array" ref="C293:E305">$E$43:$G$55</f>
        <v>34.422040010501199</v>
      </c>
      <c r="D293" s="254">
        <v>50.109239529647397</v>
      </c>
      <c r="E293" s="255">
        <v>75.165521401394599</v>
      </c>
      <c r="F293" s="287" cm="1">
        <f t="array" ref="F293:H305">$B$151:$D$163</f>
        <v>54.199199167765848</v>
      </c>
      <c r="G293" s="254">
        <v>79.712989093206431</v>
      </c>
      <c r="H293" s="255">
        <v>110.91492248341652</v>
      </c>
      <c r="I293" s="287" cm="1">
        <f t="array" ref="I293:K305">$B$203:$D$215</f>
        <v>28572915.147869598</v>
      </c>
      <c r="J293" s="254">
        <v>36784589.510791823</v>
      </c>
      <c r="K293" s="255">
        <v>63986855.731934547</v>
      </c>
      <c r="L293" s="254">
        <f t="shared" ref="L293" si="30">((C293-F293)*(cubicm/gal)*(day/yr))-I293/1000000</f>
        <v>-55.898532898432094</v>
      </c>
      <c r="M293" s="254">
        <f t="shared" ref="M293" si="31">((D293-G293)*(cubicm/gal)*(day/yr))-J293/1000000</f>
        <v>-77.68736721130152</v>
      </c>
      <c r="N293" s="255">
        <f t="shared" ref="N293" si="32">((E293-H293)*(cubicm/gal)*(day/yr))-K293/1000000</f>
        <v>-113.38093002799167</v>
      </c>
      <c r="R293" s="39"/>
      <c r="U293" s="39"/>
      <c r="X293" s="39"/>
      <c r="AA293" s="39"/>
      <c r="AD293" s="39"/>
      <c r="AG293" s="39"/>
      <c r="AJ293" s="39"/>
      <c r="AM293" s="39"/>
      <c r="AP293" s="39"/>
    </row>
    <row r="294" spans="1:42" x14ac:dyDescent="0.2">
      <c r="A294" s="285" t="s">
        <v>457</v>
      </c>
      <c r="B294" s="205">
        <v>15030202</v>
      </c>
      <c r="C294" s="288">
        <v>42.9927902904316</v>
      </c>
      <c r="D294" s="40">
        <v>82.145038608589005</v>
      </c>
      <c r="E294" s="239">
        <v>130.894567796601</v>
      </c>
      <c r="F294" s="288">
        <v>113.31486883325159</v>
      </c>
      <c r="G294" s="40">
        <v>150.60410322219818</v>
      </c>
      <c r="H294" s="239">
        <v>197.10125971587678</v>
      </c>
      <c r="I294" s="288">
        <v>366842.57135850086</v>
      </c>
      <c r="J294" s="40">
        <v>1927238.7365708405</v>
      </c>
      <c r="K294" s="239">
        <v>9736611.9085476827</v>
      </c>
      <c r="L294" s="40">
        <f t="shared" ref="L294:L357" si="33">((C294-F294)*(cubicm/gal)*(day/yr))-I294/1000000</f>
        <v>-97.529140877497298</v>
      </c>
      <c r="M294" s="40">
        <f t="shared" ref="M294:M357" si="34">((D294-G294)*(cubicm/gal)*(day/yr))-J294/1000000</f>
        <v>-96.515456200826506</v>
      </c>
      <c r="N294" s="239">
        <f t="shared" ref="N294:N357" si="35">((E294-H294)*(cubicm/gal)*(day/yr))-K294/1000000</f>
        <v>-101.21278103523657</v>
      </c>
    </row>
    <row r="295" spans="1:42" x14ac:dyDescent="0.2">
      <c r="A295" s="285" t="s">
        <v>457</v>
      </c>
      <c r="B295" s="205">
        <v>15030201</v>
      </c>
      <c r="C295" s="288">
        <v>81.053242828433397</v>
      </c>
      <c r="D295" s="40">
        <v>158.55406571628001</v>
      </c>
      <c r="E295" s="239">
        <v>258.903270845679</v>
      </c>
      <c r="F295" s="288">
        <v>113.87701798448849</v>
      </c>
      <c r="G295" s="40">
        <v>150.42733764415962</v>
      </c>
      <c r="H295" s="239">
        <v>197.15131156662798</v>
      </c>
      <c r="I295" s="288">
        <v>234256.73678805656</v>
      </c>
      <c r="J295" s="40">
        <v>1154893.0353673985</v>
      </c>
      <c r="K295" s="239">
        <v>5512974.9020288968</v>
      </c>
      <c r="L295" s="40">
        <f t="shared" si="33"/>
        <v>-45.586065149337863</v>
      </c>
      <c r="M295" s="40">
        <f t="shared" si="34"/>
        <v>10.073608646582015</v>
      </c>
      <c r="N295" s="239">
        <f t="shared" si="35"/>
        <v>79.808198942487635</v>
      </c>
    </row>
    <row r="296" spans="1:42" x14ac:dyDescent="0.2">
      <c r="A296" s="285" t="s">
        <v>457</v>
      </c>
      <c r="B296" s="205">
        <v>18100204</v>
      </c>
      <c r="C296" s="288">
        <v>464.97736656574</v>
      </c>
      <c r="D296" s="40">
        <v>504.14992268895497</v>
      </c>
      <c r="E296" s="239">
        <v>568.32019147267704</v>
      </c>
      <c r="F296" s="288">
        <v>1511.9376566395065</v>
      </c>
      <c r="G296" s="40">
        <v>3010.0282610704771</v>
      </c>
      <c r="H296" s="239">
        <v>5088.6402608099643</v>
      </c>
      <c r="I296" s="288">
        <v>22199286.375928421</v>
      </c>
      <c r="J296" s="40">
        <v>24275416.981995799</v>
      </c>
      <c r="K296" s="239">
        <v>26300815.250844281</v>
      </c>
      <c r="L296" s="40">
        <f t="shared" si="33"/>
        <v>-1468.7587471701258</v>
      </c>
      <c r="M296" s="40">
        <f t="shared" si="34"/>
        <v>-3486.5863110557639</v>
      </c>
      <c r="N296" s="239">
        <f t="shared" si="35"/>
        <v>-6271.916646255303</v>
      </c>
    </row>
    <row r="297" spans="1:42" x14ac:dyDescent="0.2">
      <c r="A297" s="285" t="s">
        <v>457</v>
      </c>
      <c r="B297" s="205">
        <v>16060013</v>
      </c>
      <c r="C297" s="288">
        <v>28.906177250431099</v>
      </c>
      <c r="D297" s="40">
        <v>53.309842983249403</v>
      </c>
      <c r="E297" s="239">
        <v>90.411278656745196</v>
      </c>
      <c r="F297" s="288">
        <v>54.295562801797935</v>
      </c>
      <c r="G297" s="40">
        <v>79.358020818142649</v>
      </c>
      <c r="H297" s="239">
        <v>111.26598578667797</v>
      </c>
      <c r="I297" s="288">
        <v>4923485.5062215896</v>
      </c>
      <c r="J297" s="40">
        <v>5371061.4209230598</v>
      </c>
      <c r="K297" s="239">
        <v>5838965.3933930201</v>
      </c>
      <c r="L297" s="40">
        <f t="shared" si="33"/>
        <v>-40.003379386908769</v>
      </c>
      <c r="M297" s="40">
        <f t="shared" si="34"/>
        <v>-41.361192508759899</v>
      </c>
      <c r="N297" s="239">
        <f t="shared" si="35"/>
        <v>-34.653404858686322</v>
      </c>
    </row>
    <row r="298" spans="1:42" x14ac:dyDescent="0.2">
      <c r="A298" s="285" t="s">
        <v>457</v>
      </c>
      <c r="B298" s="205">
        <v>18090208</v>
      </c>
      <c r="C298" s="288">
        <v>25.8469907479946</v>
      </c>
      <c r="D298" s="40">
        <v>41.167932979084398</v>
      </c>
      <c r="E298" s="239">
        <v>64.706628626600605</v>
      </c>
      <c r="F298" s="288">
        <v>856.83939924343281</v>
      </c>
      <c r="G298" s="40">
        <v>1186.0397682117791</v>
      </c>
      <c r="H298" s="239">
        <v>1639.4500850049583</v>
      </c>
      <c r="I298" s="288">
        <v>0</v>
      </c>
      <c r="J298" s="40">
        <v>0</v>
      </c>
      <c r="K298" s="239">
        <v>0</v>
      </c>
      <c r="L298" s="40">
        <f t="shared" si="33"/>
        <v>-1148.1619138320295</v>
      </c>
      <c r="M298" s="40">
        <f t="shared" si="34"/>
        <v>-1581.8414512512059</v>
      </c>
      <c r="N298" s="239">
        <f t="shared" si="35"/>
        <v>-2175.7845705756117</v>
      </c>
    </row>
    <row r="299" spans="1:42" x14ac:dyDescent="0.2">
      <c r="A299" s="285" t="s">
        <v>457</v>
      </c>
      <c r="B299" s="205">
        <v>16060003</v>
      </c>
      <c r="C299" s="288">
        <v>22.243862895821898</v>
      </c>
      <c r="D299" s="40">
        <v>49.364570295641698</v>
      </c>
      <c r="E299" s="239">
        <v>94.498961170963398</v>
      </c>
      <c r="F299" s="288">
        <v>38.828096108154966</v>
      </c>
      <c r="G299" s="40">
        <v>56.533615582032219</v>
      </c>
      <c r="H299" s="239">
        <v>78.936461767317425</v>
      </c>
      <c r="I299" s="288">
        <v>12602172.90105447</v>
      </c>
      <c r="J299" s="40">
        <v>19226978.004610445</v>
      </c>
      <c r="K299" s="239">
        <v>49036167.912910365</v>
      </c>
      <c r="L299" s="40">
        <f t="shared" si="33"/>
        <v>-35.516202860707907</v>
      </c>
      <c r="M299" s="40">
        <f t="shared" si="34"/>
        <v>-29.132272772914959</v>
      </c>
      <c r="N299" s="239">
        <f t="shared" si="35"/>
        <v>-27.533842600875857</v>
      </c>
    </row>
    <row r="300" spans="1:42" x14ac:dyDescent="0.2">
      <c r="A300" s="285" t="s">
        <v>457</v>
      </c>
      <c r="B300" s="205">
        <v>3050105</v>
      </c>
      <c r="C300" s="288">
        <v>1694.94032572622</v>
      </c>
      <c r="D300" s="40">
        <v>2451.58421786595</v>
      </c>
      <c r="E300" s="239">
        <v>3109.0785779262201</v>
      </c>
      <c r="F300" s="288">
        <v>68.606220669907955</v>
      </c>
      <c r="G300" s="40">
        <v>75.137389808901176</v>
      </c>
      <c r="H300" s="239">
        <v>82.384033822845836</v>
      </c>
      <c r="I300" s="288">
        <v>5641658.7436765898</v>
      </c>
      <c r="J300" s="40">
        <v>8953939.5431325138</v>
      </c>
      <c r="K300" s="239">
        <v>12991490.357235583</v>
      </c>
      <c r="L300" s="40">
        <f t="shared" si="33"/>
        <v>2241.4244510088852</v>
      </c>
      <c r="M300" s="40">
        <f t="shared" si="34"/>
        <v>3274.5245980794116</v>
      </c>
      <c r="N300" s="239">
        <f t="shared" si="35"/>
        <v>4168.918434228759</v>
      </c>
    </row>
    <row r="301" spans="1:42" x14ac:dyDescent="0.2">
      <c r="A301" s="285" t="s">
        <v>457</v>
      </c>
      <c r="B301" s="205">
        <v>16040201</v>
      </c>
      <c r="C301" s="288">
        <v>128.359521605937</v>
      </c>
      <c r="D301" s="40">
        <v>244.41991745253</v>
      </c>
      <c r="E301" s="239">
        <v>413.92173249137102</v>
      </c>
      <c r="F301" s="288">
        <v>368.88698157016597</v>
      </c>
      <c r="G301" s="40">
        <v>509.67143483008772</v>
      </c>
      <c r="H301" s="239">
        <v>697.24136537306129</v>
      </c>
      <c r="I301" s="288">
        <v>30329777.237026993</v>
      </c>
      <c r="J301" s="40">
        <v>34810209.497471385</v>
      </c>
      <c r="K301" s="239">
        <v>39804593.895523153</v>
      </c>
      <c r="L301" s="40">
        <f t="shared" si="33"/>
        <v>-362.660693787394</v>
      </c>
      <c r="M301" s="40">
        <f t="shared" si="34"/>
        <v>-401.3017522908354</v>
      </c>
      <c r="N301" s="239">
        <f t="shared" si="35"/>
        <v>-431.26041056730122</v>
      </c>
    </row>
    <row r="302" spans="1:42" x14ac:dyDescent="0.2">
      <c r="A302" s="285" t="s">
        <v>457</v>
      </c>
      <c r="B302" s="205">
        <v>14030005</v>
      </c>
      <c r="C302" s="288">
        <v>6888.16615283385</v>
      </c>
      <c r="D302" s="40">
        <v>9407.6179244510695</v>
      </c>
      <c r="E302" s="239">
        <v>12246.7439263551</v>
      </c>
      <c r="F302" s="288">
        <v>16.292229916059384</v>
      </c>
      <c r="G302" s="40">
        <v>21.296852441000762</v>
      </c>
      <c r="H302" s="239">
        <v>27.220454703205309</v>
      </c>
      <c r="I302" s="288">
        <v>253458.36282697099</v>
      </c>
      <c r="J302" s="40">
        <v>277827.54117581103</v>
      </c>
      <c r="K302" s="239">
        <v>301790.97553201899</v>
      </c>
      <c r="L302" s="40">
        <f t="shared" si="33"/>
        <v>9494.4468954407293</v>
      </c>
      <c r="M302" s="40">
        <f t="shared" si="34"/>
        <v>12968.572736802034</v>
      </c>
      <c r="N302" s="239">
        <f t="shared" si="35"/>
        <v>16883.115327995976</v>
      </c>
    </row>
    <row r="303" spans="1:42" x14ac:dyDescent="0.2">
      <c r="A303" s="285" t="s">
        <v>457</v>
      </c>
      <c r="B303" s="205">
        <v>3050102</v>
      </c>
      <c r="C303" s="288">
        <v>457.27803741401198</v>
      </c>
      <c r="D303" s="40">
        <v>654.89353090684801</v>
      </c>
      <c r="E303" s="239">
        <v>834.12530128820197</v>
      </c>
      <c r="F303" s="288">
        <v>18.396154453389915</v>
      </c>
      <c r="G303" s="40">
        <v>22.172417467107103</v>
      </c>
      <c r="H303" s="239">
        <v>27.120177036320634</v>
      </c>
      <c r="I303" s="288">
        <v>700606.32064829394</v>
      </c>
      <c r="J303" s="40">
        <v>767537.19033624697</v>
      </c>
      <c r="K303" s="239">
        <v>833662.78108524997</v>
      </c>
      <c r="L303" s="40">
        <f t="shared" si="33"/>
        <v>605.69177167787939</v>
      </c>
      <c r="M303" s="40">
        <f t="shared" si="34"/>
        <v>873.44777103879255</v>
      </c>
      <c r="N303" s="239">
        <f t="shared" si="35"/>
        <v>1114.1856063009395</v>
      </c>
    </row>
    <row r="304" spans="1:42" x14ac:dyDescent="0.2">
      <c r="A304" s="285" t="s">
        <v>457</v>
      </c>
      <c r="B304" s="205">
        <v>16060010</v>
      </c>
      <c r="C304" s="288">
        <v>37.080549626624197</v>
      </c>
      <c r="D304" s="40">
        <v>58.059299044011603</v>
      </c>
      <c r="E304" s="239">
        <v>91.813132813702495</v>
      </c>
      <c r="F304" s="288">
        <v>43.015923628230354</v>
      </c>
      <c r="G304" s="40">
        <v>56.575879863333292</v>
      </c>
      <c r="H304" s="239">
        <v>72.954569352154621</v>
      </c>
      <c r="I304" s="288">
        <v>3907981.8470785301</v>
      </c>
      <c r="J304" s="40">
        <v>4284302.1047777897</v>
      </c>
      <c r="K304" s="239">
        <v>4647432.1803099699</v>
      </c>
      <c r="L304" s="40">
        <f t="shared" si="33"/>
        <v>-12.108743133612482</v>
      </c>
      <c r="M304" s="40">
        <f t="shared" si="34"/>
        <v>-2.2346980553418785</v>
      </c>
      <c r="N304" s="239">
        <f t="shared" si="35"/>
        <v>21.408984334176701</v>
      </c>
    </row>
    <row r="305" spans="1:14" ht="16" thickBot="1" x14ac:dyDescent="0.25">
      <c r="A305" s="286" t="s">
        <v>457</v>
      </c>
      <c r="B305" s="206">
        <v>11140205</v>
      </c>
      <c r="C305" s="289">
        <v>410.249778490967</v>
      </c>
      <c r="D305" s="249">
        <v>585.73339259926297</v>
      </c>
      <c r="E305" s="240">
        <v>774.48649417248203</v>
      </c>
      <c r="F305" s="289">
        <v>9.0872045834662334</v>
      </c>
      <c r="G305" s="249">
        <v>11.386312765925164</v>
      </c>
      <c r="H305" s="240">
        <v>14.517401708578744</v>
      </c>
      <c r="I305" s="289">
        <v>3314052.43424983</v>
      </c>
      <c r="J305" s="249">
        <v>3621992.3970981999</v>
      </c>
      <c r="K305" s="240">
        <v>3935422.7909373799</v>
      </c>
      <c r="L305" s="249">
        <f t="shared" si="33"/>
        <v>550.96247753954663</v>
      </c>
      <c r="M305" s="249">
        <f t="shared" si="34"/>
        <v>789.93933938359123</v>
      </c>
      <c r="N305" s="240">
        <f t="shared" si="35"/>
        <v>1046.0953100245188</v>
      </c>
    </row>
    <row r="306" spans="1:14" x14ac:dyDescent="0.2">
      <c r="A306" s="284" t="s">
        <v>458</v>
      </c>
      <c r="B306" s="281">
        <v>16060011</v>
      </c>
      <c r="C306" s="287" cm="1">
        <f t="array" ref="C306:E318">$K$43:$M$55</f>
        <v>30.693319838369298</v>
      </c>
      <c r="D306" s="254">
        <v>38.935073298818899</v>
      </c>
      <c r="E306" s="255">
        <v>51.761638650031003</v>
      </c>
      <c r="F306" s="287" cm="1">
        <f t="array" ref="F306:H318">E151:G163</f>
        <v>57.776293469760546</v>
      </c>
      <c r="G306" s="254">
        <v>82.161387824236996</v>
      </c>
      <c r="H306" s="255">
        <v>113.97234028077152</v>
      </c>
      <c r="I306" s="287" cm="1">
        <f t="array" ref="I306:K318">$B$203:$D$215</f>
        <v>28572915.147869598</v>
      </c>
      <c r="J306" s="254">
        <v>36784589.510791823</v>
      </c>
      <c r="K306" s="255">
        <v>63986855.731934547</v>
      </c>
      <c r="L306" s="254">
        <f t="shared" si="33"/>
        <v>-65.992798312844712</v>
      </c>
      <c r="M306" s="254">
        <f t="shared" si="34"/>
        <v>-96.509332488009719</v>
      </c>
      <c r="N306" s="255">
        <f t="shared" si="35"/>
        <v>-149.94186267900042</v>
      </c>
    </row>
    <row r="307" spans="1:14" x14ac:dyDescent="0.2">
      <c r="A307" s="285" t="s">
        <v>458</v>
      </c>
      <c r="B307" s="205">
        <v>15030202</v>
      </c>
      <c r="C307" s="288">
        <v>34.377711005272602</v>
      </c>
      <c r="D307" s="40">
        <v>64.228705657648504</v>
      </c>
      <c r="E307" s="239">
        <v>105.480832233965</v>
      </c>
      <c r="F307" s="288">
        <v>107.39210802496362</v>
      </c>
      <c r="G307" s="40">
        <v>134.8995008414891</v>
      </c>
      <c r="H307" s="239">
        <v>173.49857298217836</v>
      </c>
      <c r="I307" s="288">
        <v>366842.57135850086</v>
      </c>
      <c r="J307" s="40">
        <v>1927238.7365708405</v>
      </c>
      <c r="K307" s="239">
        <v>9736611.9085476827</v>
      </c>
      <c r="L307" s="40">
        <f t="shared" si="33"/>
        <v>-101.2490515571224</v>
      </c>
      <c r="M307" s="40">
        <f t="shared" si="34"/>
        <v>-99.571350308205282</v>
      </c>
      <c r="N307" s="239">
        <f t="shared" si="35"/>
        <v>-103.71506296731951</v>
      </c>
    </row>
    <row r="308" spans="1:14" x14ac:dyDescent="0.2">
      <c r="A308" s="285" t="s">
        <v>458</v>
      </c>
      <c r="B308" s="205">
        <v>15030201</v>
      </c>
      <c r="C308" s="288">
        <v>67.178411380203698</v>
      </c>
      <c r="D308" s="40">
        <v>137.62461251421701</v>
      </c>
      <c r="E308" s="239">
        <v>244.44994504569999</v>
      </c>
      <c r="F308" s="288">
        <v>107.50570380954778</v>
      </c>
      <c r="G308" s="40">
        <v>134.94088176590412</v>
      </c>
      <c r="H308" s="239">
        <v>173.00175526992444</v>
      </c>
      <c r="I308" s="288">
        <v>234256.73678805656</v>
      </c>
      <c r="J308" s="40">
        <v>1154893.0353673985</v>
      </c>
      <c r="K308" s="239">
        <v>5512974.9020288968</v>
      </c>
      <c r="L308" s="40">
        <f t="shared" si="33"/>
        <v>-55.953491692463103</v>
      </c>
      <c r="M308" s="40">
        <f t="shared" si="34"/>
        <v>2.553152189464158</v>
      </c>
      <c r="N308" s="239">
        <f t="shared" si="35"/>
        <v>93.205243789422383</v>
      </c>
    </row>
    <row r="309" spans="1:14" x14ac:dyDescent="0.2">
      <c r="A309" s="285" t="s">
        <v>458</v>
      </c>
      <c r="B309" s="205">
        <v>18100204</v>
      </c>
      <c r="C309" s="288">
        <v>464.631635132805</v>
      </c>
      <c r="D309" s="40">
        <v>508.81553976808402</v>
      </c>
      <c r="E309" s="239">
        <v>583.94613663488894</v>
      </c>
      <c r="F309" s="288">
        <v>1109.3881607445858</v>
      </c>
      <c r="G309" s="40">
        <v>1870.3096306412278</v>
      </c>
      <c r="H309" s="239">
        <v>2943.7722971242806</v>
      </c>
      <c r="I309" s="288">
        <v>22199286.375928421</v>
      </c>
      <c r="J309" s="40">
        <v>24275416.981995799</v>
      </c>
      <c r="K309" s="239">
        <v>26300815.250844281</v>
      </c>
      <c r="L309" s="40">
        <f t="shared" si="33"/>
        <v>-913.04362963827236</v>
      </c>
      <c r="M309" s="40">
        <f t="shared" si="34"/>
        <v>-1905.418547853918</v>
      </c>
      <c r="N309" s="239">
        <f t="shared" si="35"/>
        <v>-3286.8149824548918</v>
      </c>
    </row>
    <row r="310" spans="1:14" x14ac:dyDescent="0.2">
      <c r="A310" s="285" t="s">
        <v>458</v>
      </c>
      <c r="B310" s="205">
        <v>16060013</v>
      </c>
      <c r="C310" s="288">
        <v>21.580349926163599</v>
      </c>
      <c r="D310" s="40">
        <v>36.440684679599897</v>
      </c>
      <c r="E310" s="239">
        <v>60.182575855760803</v>
      </c>
      <c r="F310" s="288">
        <v>57.398334638864355</v>
      </c>
      <c r="G310" s="40">
        <v>82.331421114035024</v>
      </c>
      <c r="H310" s="239">
        <v>113.71954816401075</v>
      </c>
      <c r="I310" s="288">
        <v>4923485.5062215896</v>
      </c>
      <c r="J310" s="40">
        <v>5371061.4209230598</v>
      </c>
      <c r="K310" s="239">
        <v>5838965.3933930201</v>
      </c>
      <c r="L310" s="40">
        <f t="shared" si="33"/>
        <v>-54.412320129632754</v>
      </c>
      <c r="M310" s="40">
        <f t="shared" si="34"/>
        <v>-68.777171071335744</v>
      </c>
      <c r="N310" s="239">
        <f t="shared" si="35"/>
        <v>-79.809692391376259</v>
      </c>
    </row>
    <row r="311" spans="1:14" x14ac:dyDescent="0.2">
      <c r="A311" s="285" t="s">
        <v>458</v>
      </c>
      <c r="B311" s="205">
        <v>18090208</v>
      </c>
      <c r="C311" s="288">
        <v>25.432896821928601</v>
      </c>
      <c r="D311" s="40">
        <v>46.720462266093598</v>
      </c>
      <c r="E311" s="239">
        <v>81.304751172088402</v>
      </c>
      <c r="F311" s="288">
        <v>1520.9088515372666</v>
      </c>
      <c r="G311" s="40">
        <v>2182.3558931523689</v>
      </c>
      <c r="H311" s="239">
        <v>2943.3414035864866</v>
      </c>
      <c r="I311" s="288">
        <v>0</v>
      </c>
      <c r="J311" s="40">
        <v>0</v>
      </c>
      <c r="K311" s="239">
        <v>0</v>
      </c>
      <c r="L311" s="40">
        <f t="shared" si="33"/>
        <v>-2066.2625996362153</v>
      </c>
      <c r="M311" s="40">
        <f t="shared" si="34"/>
        <v>-2950.7553119690597</v>
      </c>
      <c r="N311" s="239">
        <f t="shared" si="35"/>
        <v>-3954.4061374076559</v>
      </c>
    </row>
    <row r="312" spans="1:14" x14ac:dyDescent="0.2">
      <c r="A312" s="285" t="s">
        <v>458</v>
      </c>
      <c r="B312" s="205">
        <v>16060003</v>
      </c>
      <c r="C312" s="288">
        <v>16.165342975605501</v>
      </c>
      <c r="D312" s="40">
        <v>32.067428358655697</v>
      </c>
      <c r="E312" s="239">
        <v>58.164716653730999</v>
      </c>
      <c r="F312" s="288">
        <v>42.452181797790843</v>
      </c>
      <c r="G312" s="40">
        <v>61.281513568317315</v>
      </c>
      <c r="H312" s="239">
        <v>84.902211581733027</v>
      </c>
      <c r="I312" s="288">
        <v>12602172.90105447</v>
      </c>
      <c r="J312" s="40">
        <v>19226978.004610445</v>
      </c>
      <c r="K312" s="239">
        <v>49036167.912910365</v>
      </c>
      <c r="L312" s="40">
        <f t="shared" si="33"/>
        <v>-48.922056045739183</v>
      </c>
      <c r="M312" s="40">
        <f t="shared" si="34"/>
        <v>-59.591365984890302</v>
      </c>
      <c r="N312" s="239">
        <f t="shared" si="35"/>
        <v>-85.978711591728484</v>
      </c>
    </row>
    <row r="313" spans="1:14" x14ac:dyDescent="0.2">
      <c r="A313" s="285" t="s">
        <v>458</v>
      </c>
      <c r="B313" s="205">
        <v>3050105</v>
      </c>
      <c r="C313" s="288">
        <v>1309.19378059768</v>
      </c>
      <c r="D313" s="40">
        <v>2364.4435156099598</v>
      </c>
      <c r="E313" s="239">
        <v>3658.9705180021901</v>
      </c>
      <c r="F313" s="288">
        <v>73.538602270366425</v>
      </c>
      <c r="G313" s="40">
        <v>83.69952696724458</v>
      </c>
      <c r="H313" s="239">
        <v>96.321586925067123</v>
      </c>
      <c r="I313" s="288">
        <v>5641658.7436765898</v>
      </c>
      <c r="J313" s="40">
        <v>8953939.5431325138</v>
      </c>
      <c r="K313" s="239">
        <v>12991490.357235583</v>
      </c>
      <c r="L313" s="40">
        <f t="shared" si="33"/>
        <v>1701.6329202785871</v>
      </c>
      <c r="M313" s="40">
        <f t="shared" si="34"/>
        <v>3142.294322402081</v>
      </c>
      <c r="N313" s="239">
        <f t="shared" si="35"/>
        <v>4909.4335200267178</v>
      </c>
    </row>
    <row r="314" spans="1:14" x14ac:dyDescent="0.2">
      <c r="A314" s="285" t="s">
        <v>458</v>
      </c>
      <c r="B314" s="205">
        <v>16040201</v>
      </c>
      <c r="C314" s="288">
        <v>85.086833478725396</v>
      </c>
      <c r="D314" s="40">
        <v>154.927154391828</v>
      </c>
      <c r="E314" s="239">
        <v>244.856122694883</v>
      </c>
      <c r="F314" s="288">
        <v>423.4857325797189</v>
      </c>
      <c r="G314" s="40">
        <v>572.15955352514584</v>
      </c>
      <c r="H314" s="239">
        <v>740.33902134060634</v>
      </c>
      <c r="I314" s="288">
        <v>30329777.237026993</v>
      </c>
      <c r="J314" s="40">
        <v>34810209.497471385</v>
      </c>
      <c r="K314" s="239">
        <v>39804593.895523153</v>
      </c>
      <c r="L314" s="40">
        <f t="shared" si="33"/>
        <v>-497.88727073316818</v>
      </c>
      <c r="M314" s="40">
        <f t="shared" si="34"/>
        <v>-611.2900244803651</v>
      </c>
      <c r="N314" s="239">
        <f t="shared" si="35"/>
        <v>-724.40121278658273</v>
      </c>
    </row>
    <row r="315" spans="1:14" x14ac:dyDescent="0.2">
      <c r="A315" s="285" t="s">
        <v>458</v>
      </c>
      <c r="B315" s="205">
        <v>14030005</v>
      </c>
      <c r="C315" s="288">
        <v>4222.2780249276902</v>
      </c>
      <c r="D315" s="40">
        <v>6175.3803921728604</v>
      </c>
      <c r="E315" s="239">
        <v>8543.7939760121099</v>
      </c>
      <c r="F315" s="288">
        <v>19.935840109119408</v>
      </c>
      <c r="G315" s="40">
        <v>27.350274790838224</v>
      </c>
      <c r="H315" s="239">
        <v>37.796475176484499</v>
      </c>
      <c r="I315" s="288">
        <v>253458.36282697099</v>
      </c>
      <c r="J315" s="40">
        <v>277827.54117581103</v>
      </c>
      <c r="K315" s="239">
        <v>301790.97553201899</v>
      </c>
      <c r="L315" s="40">
        <f t="shared" si="33"/>
        <v>5806.0200962106255</v>
      </c>
      <c r="M315" s="40">
        <f t="shared" si="34"/>
        <v>8494.3052200355451</v>
      </c>
      <c r="N315" s="239">
        <f t="shared" si="35"/>
        <v>11752.227196975509</v>
      </c>
    </row>
    <row r="316" spans="1:14" x14ac:dyDescent="0.2">
      <c r="A316" s="285" t="s">
        <v>458</v>
      </c>
      <c r="B316" s="205">
        <v>3050102</v>
      </c>
      <c r="C316" s="288">
        <v>408.67233000536902</v>
      </c>
      <c r="D316" s="40">
        <v>665.88053560813205</v>
      </c>
      <c r="E316" s="239">
        <v>1001.52691953464</v>
      </c>
      <c r="F316" s="288">
        <v>24.129755103999479</v>
      </c>
      <c r="G316" s="40">
        <v>32.256341975846595</v>
      </c>
      <c r="H316" s="239">
        <v>44.109464589434509</v>
      </c>
      <c r="I316" s="288">
        <v>700606.32064829394</v>
      </c>
      <c r="J316" s="40">
        <v>767537.19033624697</v>
      </c>
      <c r="K316" s="239">
        <v>833662.78108524997</v>
      </c>
      <c r="L316" s="40">
        <f t="shared" si="33"/>
        <v>530.6124769697833</v>
      </c>
      <c r="M316" s="40">
        <f t="shared" si="34"/>
        <v>874.69553488310135</v>
      </c>
      <c r="N316" s="239">
        <f t="shared" si="35"/>
        <v>1322.0066497993546</v>
      </c>
    </row>
    <row r="317" spans="1:14" x14ac:dyDescent="0.2">
      <c r="A317" s="285" t="s">
        <v>458</v>
      </c>
      <c r="B317" s="205">
        <v>16060010</v>
      </c>
      <c r="C317" s="288">
        <v>32.796571110216803</v>
      </c>
      <c r="D317" s="40">
        <v>44.927845266071301</v>
      </c>
      <c r="E317" s="239">
        <v>64.317587433534001</v>
      </c>
      <c r="F317" s="288">
        <v>56.138950256559994</v>
      </c>
      <c r="G317" s="40">
        <v>82.294736760565272</v>
      </c>
      <c r="H317" s="239">
        <v>112.91980238459657</v>
      </c>
      <c r="I317" s="288">
        <v>3907981.8470785301</v>
      </c>
      <c r="J317" s="40">
        <v>4284302.1047777897</v>
      </c>
      <c r="K317" s="239">
        <v>4647432.1803099699</v>
      </c>
      <c r="L317" s="40">
        <f t="shared" si="33"/>
        <v>-36.159576976067463</v>
      </c>
      <c r="M317" s="40">
        <f t="shared" si="34"/>
        <v>-55.913223396550947</v>
      </c>
      <c r="N317" s="239">
        <f t="shared" si="35"/>
        <v>-71.799925469295317</v>
      </c>
    </row>
    <row r="318" spans="1:14" ht="16" thickBot="1" x14ac:dyDescent="0.25">
      <c r="A318" s="286" t="s">
        <v>458</v>
      </c>
      <c r="B318" s="206">
        <v>11140205</v>
      </c>
      <c r="C318" s="289">
        <v>318.28054624445201</v>
      </c>
      <c r="D318" s="249">
        <v>495.426424966779</v>
      </c>
      <c r="E318" s="240">
        <v>716.88279158140699</v>
      </c>
      <c r="F318" s="289">
        <v>13.906594747007574</v>
      </c>
      <c r="G318" s="249">
        <v>18.008094130888544</v>
      </c>
      <c r="H318" s="240">
        <v>23.399119745449148</v>
      </c>
      <c r="I318" s="289">
        <v>3314052.43424983</v>
      </c>
      <c r="J318" s="249">
        <v>3621992.3970981999</v>
      </c>
      <c r="K318" s="240">
        <v>3935422.7909373799</v>
      </c>
      <c r="L318" s="249">
        <f t="shared" si="33"/>
        <v>417.2320020172711</v>
      </c>
      <c r="M318" s="249">
        <f t="shared" si="34"/>
        <v>656.01525437810881</v>
      </c>
      <c r="N318" s="240">
        <f t="shared" si="35"/>
        <v>954.23402824900847</v>
      </c>
    </row>
    <row r="319" spans="1:14" x14ac:dyDescent="0.2">
      <c r="A319" s="284" t="s">
        <v>459</v>
      </c>
      <c r="B319" s="281">
        <v>16060011</v>
      </c>
      <c r="C319" s="287" cm="1">
        <f t="array" ref="C319:E331">$Q$43:$S$55</f>
        <v>32.926498278530197</v>
      </c>
      <c r="D319" s="254">
        <v>45.1913812216549</v>
      </c>
      <c r="E319" s="255">
        <v>64.744586253081096</v>
      </c>
      <c r="F319" s="287" cm="1">
        <f t="array" ref="F319:H331">H151:J163</f>
        <v>15.882619482235626</v>
      </c>
      <c r="G319" s="254">
        <v>22.792544828432312</v>
      </c>
      <c r="H319" s="255">
        <v>32.320858145420203</v>
      </c>
      <c r="I319" s="287" cm="1">
        <f t="array" ref="I319:K331">$B$203:$D$215</f>
        <v>28572915.147869598</v>
      </c>
      <c r="J319" s="254">
        <v>36784589.510791823</v>
      </c>
      <c r="K319" s="255">
        <v>63986855.731934547</v>
      </c>
      <c r="L319" s="254">
        <f t="shared" si="33"/>
        <v>-5.0238041116980234</v>
      </c>
      <c r="M319" s="254">
        <f t="shared" si="34"/>
        <v>-5.8366643577618156</v>
      </c>
      <c r="N319" s="255">
        <f t="shared" si="35"/>
        <v>-19.187782555003515</v>
      </c>
    </row>
    <row r="320" spans="1:14" x14ac:dyDescent="0.2">
      <c r="A320" s="285" t="s">
        <v>459</v>
      </c>
      <c r="B320" s="205">
        <v>15030202</v>
      </c>
      <c r="C320" s="288">
        <v>25.850094106025001</v>
      </c>
      <c r="D320" s="40">
        <v>42.621282985938997</v>
      </c>
      <c r="E320" s="239">
        <v>65.203656625296105</v>
      </c>
      <c r="F320" s="288">
        <v>86.503360276340032</v>
      </c>
      <c r="G320" s="40">
        <v>104.71434312517991</v>
      </c>
      <c r="H320" s="239">
        <v>128.04246026836694</v>
      </c>
      <c r="I320" s="288">
        <v>366842.57135850086</v>
      </c>
      <c r="J320" s="40">
        <v>1927238.7365708405</v>
      </c>
      <c r="K320" s="239">
        <v>9736611.9085476827</v>
      </c>
      <c r="L320" s="40">
        <f t="shared" si="33"/>
        <v>-84.169978983109132</v>
      </c>
      <c r="M320" s="40">
        <f t="shared" si="34"/>
        <v>-87.719703308224652</v>
      </c>
      <c r="N320" s="239">
        <f t="shared" si="35"/>
        <v>-96.559452064661315</v>
      </c>
    </row>
    <row r="321" spans="1:14" x14ac:dyDescent="0.2">
      <c r="A321" s="285" t="s">
        <v>459</v>
      </c>
      <c r="B321" s="205">
        <v>15030201</v>
      </c>
      <c r="C321" s="288">
        <v>52.670689893692099</v>
      </c>
      <c r="D321" s="40">
        <v>97.915556137714901</v>
      </c>
      <c r="E321" s="239">
        <v>163.17848472230901</v>
      </c>
      <c r="F321" s="288">
        <v>86.751646909151404</v>
      </c>
      <c r="G321" s="40">
        <v>104.95601014306517</v>
      </c>
      <c r="H321" s="239">
        <v>128.04029183177687</v>
      </c>
      <c r="I321" s="288">
        <v>234256.73678805656</v>
      </c>
      <c r="J321" s="40">
        <v>1154893.0353673985</v>
      </c>
      <c r="K321" s="239">
        <v>5512974.9020288968</v>
      </c>
      <c r="L321" s="40">
        <f t="shared" si="33"/>
        <v>-47.323082617814983</v>
      </c>
      <c r="M321" s="40">
        <f t="shared" si="34"/>
        <v>-10.882516371500101</v>
      </c>
      <c r="N321" s="239">
        <f t="shared" si="35"/>
        <v>43.036607964604315</v>
      </c>
    </row>
    <row r="322" spans="1:14" x14ac:dyDescent="0.2">
      <c r="A322" s="285" t="s">
        <v>459</v>
      </c>
      <c r="B322" s="205">
        <v>18100204</v>
      </c>
      <c r="C322" s="288">
        <v>459.67363687531503</v>
      </c>
      <c r="D322" s="40">
        <v>481.61087679375697</v>
      </c>
      <c r="E322" s="239">
        <v>517.65051036669604</v>
      </c>
      <c r="F322" s="288">
        <v>521.5469122492824</v>
      </c>
      <c r="G322" s="40">
        <v>909.0300472370734</v>
      </c>
      <c r="H322" s="239">
        <v>1407.2384907788251</v>
      </c>
      <c r="I322" s="288">
        <v>22199286.375928421</v>
      </c>
      <c r="J322" s="40">
        <v>24275416.981995799</v>
      </c>
      <c r="K322" s="239">
        <v>26300815.250844281</v>
      </c>
      <c r="L322" s="40">
        <f t="shared" si="33"/>
        <v>-107.68807970564576</v>
      </c>
      <c r="M322" s="40">
        <f t="shared" si="34"/>
        <v>-614.83004507206772</v>
      </c>
      <c r="N322" s="239">
        <f t="shared" si="35"/>
        <v>-1255.4227996035656</v>
      </c>
    </row>
    <row r="323" spans="1:14" x14ac:dyDescent="0.2">
      <c r="A323" s="285" t="s">
        <v>459</v>
      </c>
      <c r="B323" s="205">
        <v>16060013</v>
      </c>
      <c r="C323" s="288">
        <v>25.3247061989637</v>
      </c>
      <c r="D323" s="40">
        <v>45.5101732183359</v>
      </c>
      <c r="E323" s="239">
        <v>76.4308169037499</v>
      </c>
      <c r="F323" s="288">
        <v>16.097445602833094</v>
      </c>
      <c r="G323" s="40">
        <v>22.913009608459777</v>
      </c>
      <c r="H323" s="239">
        <v>32.240553715706092</v>
      </c>
      <c r="I323" s="288">
        <v>4923485.5062215896</v>
      </c>
      <c r="J323" s="40">
        <v>5371061.4209230598</v>
      </c>
      <c r="K323" s="239">
        <v>5838965.3933930201</v>
      </c>
      <c r="L323" s="40">
        <f t="shared" si="33"/>
        <v>7.8255950836504278</v>
      </c>
      <c r="M323" s="40">
        <f t="shared" si="34"/>
        <v>25.8508876032157</v>
      </c>
      <c r="N323" s="239">
        <f t="shared" si="35"/>
        <v>55.217641906532748</v>
      </c>
    </row>
    <row r="324" spans="1:14" x14ac:dyDescent="0.2">
      <c r="A324" s="285" t="s">
        <v>459</v>
      </c>
      <c r="B324" s="205">
        <v>18090208</v>
      </c>
      <c r="C324" s="288">
        <v>24.2377651166371</v>
      </c>
      <c r="D324" s="40">
        <v>41.909738130486701</v>
      </c>
      <c r="E324" s="239">
        <v>68.887210660829993</v>
      </c>
      <c r="F324" s="288">
        <v>507.78860840345158</v>
      </c>
      <c r="G324" s="40">
        <v>632.09380162602167</v>
      </c>
      <c r="H324" s="239">
        <v>779.4183005676465</v>
      </c>
      <c r="I324" s="288">
        <v>0</v>
      </c>
      <c r="J324" s="40">
        <v>0</v>
      </c>
      <c r="K324" s="239">
        <v>0</v>
      </c>
      <c r="L324" s="40">
        <f t="shared" si="33"/>
        <v>-668.11038944205768</v>
      </c>
      <c r="M324" s="40">
        <f t="shared" si="34"/>
        <v>-815.44290528848705</v>
      </c>
      <c r="N324" s="239">
        <f t="shared" si="35"/>
        <v>-981.72345220533589</v>
      </c>
    </row>
    <row r="325" spans="1:14" x14ac:dyDescent="0.2">
      <c r="A325" s="285" t="s">
        <v>459</v>
      </c>
      <c r="B325" s="205">
        <v>16060003</v>
      </c>
      <c r="C325" s="288">
        <v>18.854634640678398</v>
      </c>
      <c r="D325" s="40">
        <v>38.817160026009901</v>
      </c>
      <c r="E325" s="239">
        <v>71.040216339051995</v>
      </c>
      <c r="F325" s="288">
        <v>11.586888086344366</v>
      </c>
      <c r="G325" s="40">
        <v>16.545555070801058</v>
      </c>
      <c r="H325" s="239">
        <v>23.137513237011078</v>
      </c>
      <c r="I325" s="288">
        <v>12602172.90105447</v>
      </c>
      <c r="J325" s="40">
        <v>19226978.004610445</v>
      </c>
      <c r="K325" s="239">
        <v>49036167.912910365</v>
      </c>
      <c r="L325" s="40">
        <f t="shared" si="33"/>
        <v>-2.5605050016104656</v>
      </c>
      <c r="M325" s="40">
        <f t="shared" si="34"/>
        <v>11.545154578143318</v>
      </c>
      <c r="N325" s="239">
        <f t="shared" si="35"/>
        <v>17.149826939855764</v>
      </c>
    </row>
    <row r="326" spans="1:14" x14ac:dyDescent="0.2">
      <c r="A326" s="285" t="s">
        <v>459</v>
      </c>
      <c r="B326" s="205">
        <v>3050105</v>
      </c>
      <c r="C326" s="288">
        <v>1383.9779122003299</v>
      </c>
      <c r="D326" s="40">
        <v>2158.92921583523</v>
      </c>
      <c r="E326" s="239">
        <v>2837.9472738056602</v>
      </c>
      <c r="F326" s="288">
        <v>67.698731692276198</v>
      </c>
      <c r="G326" s="40">
        <v>73.384027678002269</v>
      </c>
      <c r="H326" s="239">
        <v>78.872667865583452</v>
      </c>
      <c r="I326" s="288">
        <v>5641658.7436765898</v>
      </c>
      <c r="J326" s="40">
        <v>8953939.5431325138</v>
      </c>
      <c r="K326" s="239">
        <v>12991490.357235583</v>
      </c>
      <c r="L326" s="40">
        <f t="shared" si="33"/>
        <v>1813.0291348507983</v>
      </c>
      <c r="M326" s="40">
        <f t="shared" si="34"/>
        <v>2872.5929075011718</v>
      </c>
      <c r="N326" s="239">
        <f t="shared" si="35"/>
        <v>3799.1545022844061</v>
      </c>
    </row>
    <row r="327" spans="1:14" x14ac:dyDescent="0.2">
      <c r="A327" s="285" t="s">
        <v>459</v>
      </c>
      <c r="B327" s="205">
        <v>16040201</v>
      </c>
      <c r="C327" s="288">
        <v>76.411819500233193</v>
      </c>
      <c r="D327" s="40">
        <v>149.30091843881101</v>
      </c>
      <c r="E327" s="239">
        <v>232.85391706466399</v>
      </c>
      <c r="F327" s="288">
        <v>172.98937540797129</v>
      </c>
      <c r="G327" s="40">
        <v>243.45559462422523</v>
      </c>
      <c r="H327" s="239">
        <v>326.64124452115379</v>
      </c>
      <c r="I327" s="288">
        <v>30329777.237026993</v>
      </c>
      <c r="J327" s="40">
        <v>34810209.497471385</v>
      </c>
      <c r="K327" s="239">
        <v>39804593.895523153</v>
      </c>
      <c r="L327" s="40">
        <f t="shared" si="33"/>
        <v>-163.76862732834783</v>
      </c>
      <c r="M327" s="40">
        <f t="shared" si="34"/>
        <v>-164.90142585528443</v>
      </c>
      <c r="N327" s="239">
        <f t="shared" si="35"/>
        <v>-169.38825348707252</v>
      </c>
    </row>
    <row r="328" spans="1:14" x14ac:dyDescent="0.2">
      <c r="A328" s="285" t="s">
        <v>459</v>
      </c>
      <c r="B328" s="205">
        <v>14030005</v>
      </c>
      <c r="C328" s="288">
        <v>3001.5369779043899</v>
      </c>
      <c r="D328" s="40">
        <v>4904.1225473735803</v>
      </c>
      <c r="E328" s="239">
        <v>6785.6849397174101</v>
      </c>
      <c r="F328" s="288">
        <v>16.500468682102394</v>
      </c>
      <c r="G328" s="40">
        <v>22.025752744889516</v>
      </c>
      <c r="H328" s="239">
        <v>29.606318746538047</v>
      </c>
      <c r="I328" s="288">
        <v>253458.36282697099</v>
      </c>
      <c r="J328" s="40">
        <v>277827.54117581103</v>
      </c>
      <c r="K328" s="239">
        <v>301790.97553201899</v>
      </c>
      <c r="L328" s="40">
        <f t="shared" si="33"/>
        <v>4124.0985769252993</v>
      </c>
      <c r="M328" s="40">
        <f t="shared" si="34"/>
        <v>6745.1960684034066</v>
      </c>
      <c r="N328" s="239">
        <f t="shared" si="35"/>
        <v>9334.4070224277348</v>
      </c>
    </row>
    <row r="329" spans="1:14" x14ac:dyDescent="0.2">
      <c r="A329" s="285" t="s">
        <v>459</v>
      </c>
      <c r="B329" s="205">
        <v>3050102</v>
      </c>
      <c r="C329" s="288">
        <v>398.23200511401001</v>
      </c>
      <c r="D329" s="40">
        <v>606.96022658261802</v>
      </c>
      <c r="E329" s="239">
        <v>801.95652377365002</v>
      </c>
      <c r="F329" s="288">
        <v>17.951261438474692</v>
      </c>
      <c r="G329" s="40">
        <v>20.753996651503531</v>
      </c>
      <c r="H329" s="239">
        <v>23.747016289315333</v>
      </c>
      <c r="I329" s="288">
        <v>700606.32064829394</v>
      </c>
      <c r="J329" s="40">
        <v>767537.19033624697</v>
      </c>
      <c r="K329" s="239">
        <v>833662.78108524997</v>
      </c>
      <c r="L329" s="40">
        <f t="shared" si="33"/>
        <v>524.72400886025798</v>
      </c>
      <c r="M329" s="40">
        <f t="shared" si="34"/>
        <v>809.1792926207595</v>
      </c>
      <c r="N329" s="239">
        <f t="shared" si="35"/>
        <v>1074.3994059460401</v>
      </c>
    </row>
    <row r="330" spans="1:14" x14ac:dyDescent="0.2">
      <c r="A330" s="285" t="s">
        <v>459</v>
      </c>
      <c r="B330" s="205">
        <v>16060010</v>
      </c>
      <c r="C330" s="288">
        <v>35.461821308895303</v>
      </c>
      <c r="D330" s="40">
        <v>50.579269808178303</v>
      </c>
      <c r="E330" s="239">
        <v>73.112230436768897</v>
      </c>
      <c r="F330" s="288">
        <v>20.700487356446171</v>
      </c>
      <c r="G330" s="40">
        <v>25.65729684293246</v>
      </c>
      <c r="H330" s="239">
        <v>32.004945204695964</v>
      </c>
      <c r="I330" s="288">
        <v>3907981.8470785301</v>
      </c>
      <c r="J330" s="40">
        <v>4284302.1047777897</v>
      </c>
      <c r="K330" s="239">
        <v>4647432.1803099699</v>
      </c>
      <c r="L330" s="40">
        <f t="shared" si="33"/>
        <v>16.487392729500108</v>
      </c>
      <c r="M330" s="40">
        <f t="shared" si="34"/>
        <v>30.149779222216484</v>
      </c>
      <c r="N330" s="239">
        <f t="shared" si="35"/>
        <v>52.149499779574569</v>
      </c>
    </row>
    <row r="331" spans="1:14" ht="16" thickBot="1" x14ac:dyDescent="0.25">
      <c r="A331" s="286" t="s">
        <v>459</v>
      </c>
      <c r="B331" s="206">
        <v>11140205</v>
      </c>
      <c r="C331" s="289">
        <v>292.69075230382299</v>
      </c>
      <c r="D331" s="249">
        <v>538.96323305230499</v>
      </c>
      <c r="E331" s="240">
        <v>899.80116678150102</v>
      </c>
      <c r="F331" s="289">
        <v>10.891878346723345</v>
      </c>
      <c r="G331" s="249">
        <v>14.795801487858075</v>
      </c>
      <c r="H331" s="240">
        <v>18.937018457428408</v>
      </c>
      <c r="I331" s="289">
        <v>3314052.43424983</v>
      </c>
      <c r="J331" s="249">
        <v>3621992.3970981999</v>
      </c>
      <c r="K331" s="240">
        <v>3935422.7909373799</v>
      </c>
      <c r="L331" s="249">
        <f t="shared" si="33"/>
        <v>386.04056877595173</v>
      </c>
      <c r="M331" s="249">
        <f t="shared" si="34"/>
        <v>720.60734500816477</v>
      </c>
      <c r="N331" s="240">
        <f t="shared" si="35"/>
        <v>1213.1330558452787</v>
      </c>
    </row>
    <row r="332" spans="1:14" x14ac:dyDescent="0.2">
      <c r="A332" s="284" t="s">
        <v>460</v>
      </c>
      <c r="B332" s="281">
        <v>16060011</v>
      </c>
      <c r="C332" s="287" cm="1">
        <f t="array" ref="C332:E344">$W$43:$Y$55</f>
        <v>34.292178908256801</v>
      </c>
      <c r="D332" s="254">
        <v>48.777653477418902</v>
      </c>
      <c r="E332" s="255">
        <v>72.614002580784103</v>
      </c>
      <c r="F332" s="287" cm="1">
        <f t="array" ref="F332:H344">K151:M163</f>
        <v>52.461386771795546</v>
      </c>
      <c r="G332" s="254">
        <v>70.644815490876709</v>
      </c>
      <c r="H332" s="255">
        <v>91.157570884941393</v>
      </c>
      <c r="I332" s="287" cm="1">
        <f t="array" ref="I332:K344">$B$203:$D$215</f>
        <v>28572915.147869598</v>
      </c>
      <c r="J332" s="254">
        <v>36784589.510791823</v>
      </c>
      <c r="K332" s="255">
        <v>63986855.731934547</v>
      </c>
      <c r="L332" s="254">
        <f t="shared" si="33"/>
        <v>-53.676865870094673</v>
      </c>
      <c r="M332" s="254">
        <f t="shared" si="34"/>
        <v>-66.997913159445346</v>
      </c>
      <c r="N332" s="255">
        <f t="shared" si="35"/>
        <v>-89.608051131210061</v>
      </c>
    </row>
    <row r="333" spans="1:14" x14ac:dyDescent="0.2">
      <c r="A333" s="285" t="s">
        <v>460</v>
      </c>
      <c r="B333" s="205">
        <v>15030202</v>
      </c>
      <c r="C333" s="288">
        <v>42.725163259414202</v>
      </c>
      <c r="D333" s="40">
        <v>67.688069894413402</v>
      </c>
      <c r="E333" s="239">
        <v>98.437227743597703</v>
      </c>
      <c r="F333" s="288">
        <v>101.88553076421645</v>
      </c>
      <c r="G333" s="40">
        <v>125.24888879846196</v>
      </c>
      <c r="H333" s="239">
        <v>151.07575561703118</v>
      </c>
      <c r="I333" s="288">
        <v>366842.57135850086</v>
      </c>
      <c r="J333" s="40">
        <v>1927238.7365708405</v>
      </c>
      <c r="K333" s="239">
        <v>9736611.9085476827</v>
      </c>
      <c r="L333" s="40">
        <f t="shared" si="33"/>
        <v>-82.107277361013814</v>
      </c>
      <c r="M333" s="40">
        <f t="shared" si="34"/>
        <v>-81.457616293532681</v>
      </c>
      <c r="N333" s="239">
        <f t="shared" si="35"/>
        <v>-82.465980175446589</v>
      </c>
    </row>
    <row r="334" spans="1:14" x14ac:dyDescent="0.2">
      <c r="A334" s="285" t="s">
        <v>460</v>
      </c>
      <c r="B334" s="205">
        <v>15030201</v>
      </c>
      <c r="C334" s="288">
        <v>75.648371966438702</v>
      </c>
      <c r="D334" s="40">
        <v>140.768827928652</v>
      </c>
      <c r="E334" s="239">
        <v>218.153538533823</v>
      </c>
      <c r="F334" s="288">
        <v>101.5346930331022</v>
      </c>
      <c r="G334" s="40">
        <v>125.41405042649991</v>
      </c>
      <c r="H334" s="239">
        <v>151.07068191019565</v>
      </c>
      <c r="I334" s="288">
        <v>234256.73678805656</v>
      </c>
      <c r="J334" s="40">
        <v>1154893.0353673985</v>
      </c>
      <c r="K334" s="239">
        <v>5512974.9020288968</v>
      </c>
      <c r="L334" s="40">
        <f t="shared" si="33"/>
        <v>-36.000754281312744</v>
      </c>
      <c r="M334" s="40">
        <f t="shared" si="34"/>
        <v>20.060427998979588</v>
      </c>
      <c r="N334" s="239">
        <f t="shared" si="35"/>
        <v>87.173769596343291</v>
      </c>
    </row>
    <row r="335" spans="1:14" x14ac:dyDescent="0.2">
      <c r="A335" s="285" t="s">
        <v>460</v>
      </c>
      <c r="B335" s="205">
        <v>18100204</v>
      </c>
      <c r="C335" s="288">
        <v>452.96883820272501</v>
      </c>
      <c r="D335" s="40">
        <v>460.812445862939</v>
      </c>
      <c r="E335" s="239">
        <v>472.42661716664702</v>
      </c>
      <c r="F335" s="288">
        <v>1611.5648961349873</v>
      </c>
      <c r="G335" s="40">
        <v>2467.5075636893503</v>
      </c>
      <c r="H335" s="239">
        <v>3401.3092799646843</v>
      </c>
      <c r="I335" s="288">
        <v>22199286.375928421</v>
      </c>
      <c r="J335" s="40">
        <v>24275416.981995799</v>
      </c>
      <c r="K335" s="239">
        <v>26300815.250844281</v>
      </c>
      <c r="L335" s="40">
        <f t="shared" si="33"/>
        <v>-1623.0031609170444</v>
      </c>
      <c r="M335" s="40">
        <f t="shared" si="34"/>
        <v>-2796.8770477628509</v>
      </c>
      <c r="N335" s="239">
        <f t="shared" si="35"/>
        <v>-4073.0664524920485</v>
      </c>
    </row>
    <row r="336" spans="1:14" x14ac:dyDescent="0.2">
      <c r="A336" s="285" t="s">
        <v>460</v>
      </c>
      <c r="B336" s="205">
        <v>16060013</v>
      </c>
      <c r="C336" s="288">
        <v>26.200462738616299</v>
      </c>
      <c r="D336" s="40">
        <v>47.4214569582198</v>
      </c>
      <c r="E336" s="239">
        <v>78.651213450861206</v>
      </c>
      <c r="F336" s="288">
        <v>52.359116453164411</v>
      </c>
      <c r="G336" s="40">
        <v>70.655137757899723</v>
      </c>
      <c r="H336" s="239">
        <v>91.350895830775542</v>
      </c>
      <c r="I336" s="288">
        <v>4923485.5062215896</v>
      </c>
      <c r="J336" s="40">
        <v>5371061.4209230598</v>
      </c>
      <c r="K336" s="239">
        <v>5838965.3933930201</v>
      </c>
      <c r="L336" s="40">
        <f t="shared" si="33"/>
        <v>-41.066258418604662</v>
      </c>
      <c r="M336" s="40">
        <f t="shared" si="34"/>
        <v>-37.472470699284024</v>
      </c>
      <c r="N336" s="239">
        <f t="shared" si="35"/>
        <v>-23.385806348031409</v>
      </c>
    </row>
    <row r="337" spans="1:14" x14ac:dyDescent="0.2">
      <c r="A337" s="285" t="s">
        <v>460</v>
      </c>
      <c r="B337" s="205">
        <v>18090208</v>
      </c>
      <c r="C337" s="288">
        <v>25.678674683894901</v>
      </c>
      <c r="D337" s="40">
        <v>36.489478692658501</v>
      </c>
      <c r="E337" s="239">
        <v>48.873336291130897</v>
      </c>
      <c r="F337" s="288">
        <v>999.28670981336631</v>
      </c>
      <c r="G337" s="40">
        <v>1434.4536316418055</v>
      </c>
      <c r="H337" s="239">
        <v>2074.7346266124805</v>
      </c>
      <c r="I337" s="288">
        <v>0</v>
      </c>
      <c r="J337" s="40">
        <v>0</v>
      </c>
      <c r="K337" s="239">
        <v>0</v>
      </c>
      <c r="L337" s="40">
        <f t="shared" si="33"/>
        <v>-1345.2104417661867</v>
      </c>
      <c r="M337" s="40">
        <f t="shared" si="34"/>
        <v>-1931.5329248612218</v>
      </c>
      <c r="N337" s="239">
        <f t="shared" si="35"/>
        <v>-2799.0830631834278</v>
      </c>
    </row>
    <row r="338" spans="1:14" x14ac:dyDescent="0.2">
      <c r="A338" s="285" t="s">
        <v>460</v>
      </c>
      <c r="B338" s="205">
        <v>16060003</v>
      </c>
      <c r="C338" s="288">
        <v>22.2096310595144</v>
      </c>
      <c r="D338" s="40">
        <v>45.950180539998797</v>
      </c>
      <c r="E338" s="239">
        <v>84.133777726252902</v>
      </c>
      <c r="F338" s="288">
        <v>38.306363204916202</v>
      </c>
      <c r="G338" s="40">
        <v>51.247550057127775</v>
      </c>
      <c r="H338" s="239">
        <v>65.454606412428532</v>
      </c>
      <c r="I338" s="288">
        <v>12602172.90105447</v>
      </c>
      <c r="J338" s="40">
        <v>19226978.004610445</v>
      </c>
      <c r="K338" s="239">
        <v>49036167.912910365</v>
      </c>
      <c r="L338" s="40">
        <f t="shared" si="33"/>
        <v>-34.842634543740516</v>
      </c>
      <c r="M338" s="40">
        <f t="shared" si="34"/>
        <v>-26.546224078199153</v>
      </c>
      <c r="N338" s="239">
        <f t="shared" si="35"/>
        <v>-23.227613147280795</v>
      </c>
    </row>
    <row r="339" spans="1:14" x14ac:dyDescent="0.2">
      <c r="A339" s="285" t="s">
        <v>460</v>
      </c>
      <c r="B339" s="205">
        <v>3050105</v>
      </c>
      <c r="C339" s="288">
        <v>2001.4934013228001</v>
      </c>
      <c r="D339" s="40">
        <v>2574.8867998783298</v>
      </c>
      <c r="E339" s="239">
        <v>3256.7323646238701</v>
      </c>
      <c r="F339" s="288">
        <v>68.489250176519903</v>
      </c>
      <c r="G339" s="40">
        <v>73.604569098896363</v>
      </c>
      <c r="H339" s="239">
        <v>78.832288270612537</v>
      </c>
      <c r="I339" s="288">
        <v>5641658.7436765898</v>
      </c>
      <c r="J339" s="40">
        <v>8953939.5431325138</v>
      </c>
      <c r="K339" s="239">
        <v>12991490.357235583</v>
      </c>
      <c r="L339" s="40">
        <f t="shared" si="33"/>
        <v>2665.1429632767959</v>
      </c>
      <c r="M339" s="40">
        <f t="shared" si="34"/>
        <v>3447.0066249167389</v>
      </c>
      <c r="N339" s="239">
        <f t="shared" si="35"/>
        <v>4377.835424943928</v>
      </c>
    </row>
    <row r="340" spans="1:14" x14ac:dyDescent="0.2">
      <c r="A340" s="285" t="s">
        <v>460</v>
      </c>
      <c r="B340" s="205">
        <v>16040201</v>
      </c>
      <c r="C340" s="288">
        <v>92.491080287871299</v>
      </c>
      <c r="D340" s="40">
        <v>160.84855202638599</v>
      </c>
      <c r="E340" s="239">
        <v>235.85873276163201</v>
      </c>
      <c r="F340" s="288">
        <v>391.71920552867954</v>
      </c>
      <c r="G340" s="40">
        <v>522.40435585212049</v>
      </c>
      <c r="H340" s="239">
        <v>673.26574155499088</v>
      </c>
      <c r="I340" s="288">
        <v>30329777.237026993</v>
      </c>
      <c r="J340" s="40">
        <v>34810209.497471385</v>
      </c>
      <c r="K340" s="239">
        <v>39804593.895523153</v>
      </c>
      <c r="L340" s="40">
        <f t="shared" si="33"/>
        <v>-443.76596923653864</v>
      </c>
      <c r="M340" s="40">
        <f t="shared" si="34"/>
        <v>-534.36303264448577</v>
      </c>
      <c r="N340" s="239">
        <f t="shared" si="35"/>
        <v>-644.15917428093849</v>
      </c>
    </row>
    <row r="341" spans="1:14" x14ac:dyDescent="0.2">
      <c r="A341" s="285" t="s">
        <v>460</v>
      </c>
      <c r="B341" s="205">
        <v>14030005</v>
      </c>
      <c r="C341" s="288">
        <v>6978.3817289241997</v>
      </c>
      <c r="D341" s="40">
        <v>10205.0403817693</v>
      </c>
      <c r="E341" s="239">
        <v>14032.3727904728</v>
      </c>
      <c r="F341" s="288">
        <v>22.221981048222677</v>
      </c>
      <c r="G341" s="40">
        <v>27.429405605016544</v>
      </c>
      <c r="H341" s="239">
        <v>33.565817133274237</v>
      </c>
      <c r="I341" s="288">
        <v>253458.36282697099</v>
      </c>
      <c r="J341" s="40">
        <v>277827.54117581103</v>
      </c>
      <c r="K341" s="239">
        <v>301790.97553201899</v>
      </c>
      <c r="L341" s="40">
        <f t="shared" si="33"/>
        <v>9610.9025611045327</v>
      </c>
      <c r="M341" s="40">
        <f t="shared" si="34"/>
        <v>14061.878670119298</v>
      </c>
      <c r="N341" s="239">
        <f t="shared" si="35"/>
        <v>19341.507883285656</v>
      </c>
    </row>
    <row r="342" spans="1:14" x14ac:dyDescent="0.2">
      <c r="A342" s="285" t="s">
        <v>460</v>
      </c>
      <c r="B342" s="205">
        <v>3050102</v>
      </c>
      <c r="C342" s="288">
        <v>527.68230095035801</v>
      </c>
      <c r="D342" s="40">
        <v>702.59074967037998</v>
      </c>
      <c r="E342" s="239">
        <v>910.03330977642497</v>
      </c>
      <c r="F342" s="288">
        <v>18.282573233429218</v>
      </c>
      <c r="G342" s="40">
        <v>20.544269139380795</v>
      </c>
      <c r="H342" s="239">
        <v>23.067035680070163</v>
      </c>
      <c r="I342" s="288">
        <v>700606.32064829394</v>
      </c>
      <c r="J342" s="40">
        <v>767537.19033624697</v>
      </c>
      <c r="K342" s="239">
        <v>833662.78108524997</v>
      </c>
      <c r="L342" s="40">
        <f t="shared" si="33"/>
        <v>703.12455537960375</v>
      </c>
      <c r="M342" s="40">
        <f t="shared" si="34"/>
        <v>941.59942597689815</v>
      </c>
      <c r="N342" s="239">
        <f t="shared" si="35"/>
        <v>1224.6659739902966</v>
      </c>
    </row>
    <row r="343" spans="1:14" x14ac:dyDescent="0.2">
      <c r="A343" s="285" t="s">
        <v>460</v>
      </c>
      <c r="B343" s="205">
        <v>16060010</v>
      </c>
      <c r="C343" s="288">
        <v>38.201812534020902</v>
      </c>
      <c r="D343" s="40">
        <v>57.399868949638602</v>
      </c>
      <c r="E343" s="239">
        <v>86.368223839144306</v>
      </c>
      <c r="F343" s="288">
        <v>42.275013028258073</v>
      </c>
      <c r="G343" s="40">
        <v>53.511246960167647</v>
      </c>
      <c r="H343" s="239">
        <v>65.433033180361107</v>
      </c>
      <c r="I343" s="288">
        <v>3907981.8470785301</v>
      </c>
      <c r="J343" s="40">
        <v>4284302.1047777897</v>
      </c>
      <c r="K343" s="239">
        <v>4647432.1803099699</v>
      </c>
      <c r="L343" s="40">
        <f t="shared" si="33"/>
        <v>-9.5358234820609162</v>
      </c>
      <c r="M343" s="40">
        <f t="shared" si="34"/>
        <v>1.0885119184983285</v>
      </c>
      <c r="N343" s="239">
        <f t="shared" si="35"/>
        <v>24.278209410986104</v>
      </c>
    </row>
    <row r="344" spans="1:14" ht="16" thickBot="1" x14ac:dyDescent="0.25">
      <c r="A344" s="286" t="s">
        <v>460</v>
      </c>
      <c r="B344" s="206">
        <v>11140205</v>
      </c>
      <c r="C344" s="289">
        <v>537.23069856021698</v>
      </c>
      <c r="D344" s="249">
        <v>748.14577591861701</v>
      </c>
      <c r="E344" s="240">
        <v>1004.72716360987</v>
      </c>
      <c r="F344" s="289">
        <v>8.7623534724048646</v>
      </c>
      <c r="G344" s="249">
        <v>10.535728664747044</v>
      </c>
      <c r="H344" s="240">
        <v>12.899923128271551</v>
      </c>
      <c r="I344" s="289">
        <v>3314052.43424983</v>
      </c>
      <c r="J344" s="249">
        <v>3621992.3970981999</v>
      </c>
      <c r="K344" s="240">
        <v>3935422.7909373799</v>
      </c>
      <c r="L344" s="249">
        <f t="shared" si="33"/>
        <v>726.85775213645184</v>
      </c>
      <c r="M344" s="249">
        <f t="shared" si="34"/>
        <v>1015.515793771241</v>
      </c>
      <c r="N344" s="240">
        <f t="shared" si="35"/>
        <v>1366.4480500062684</v>
      </c>
    </row>
    <row r="345" spans="1:14" x14ac:dyDescent="0.2">
      <c r="A345" s="252" t="s">
        <v>461</v>
      </c>
      <c r="B345" s="205">
        <v>16060011</v>
      </c>
      <c r="C345" s="288" cm="1">
        <f t="array" ref="C345:E357">$AC$43:$AE$55</f>
        <v>43.782501794978998</v>
      </c>
      <c r="D345" s="40">
        <v>84.642612800855304</v>
      </c>
      <c r="E345" s="239">
        <v>150.74858329788199</v>
      </c>
      <c r="F345" s="288" cm="1">
        <f t="array" ref="F345:H357">N151:P163</f>
        <v>18.638209184799138</v>
      </c>
      <c r="G345" s="40">
        <v>31.948610899585141</v>
      </c>
      <c r="H345" s="239">
        <v>51.596556128650789</v>
      </c>
      <c r="I345" s="288" cm="1">
        <f t="array" ref="I345:K357">$B$203:$D$215</f>
        <v>28572915.147869598</v>
      </c>
      <c r="J345" s="40">
        <v>36784589.510791823</v>
      </c>
      <c r="K345" s="239">
        <v>63986855.731934547</v>
      </c>
      <c r="L345" s="40">
        <f t="shared" si="33"/>
        <v>6.1683398023736125</v>
      </c>
      <c r="M345" s="40">
        <f t="shared" si="34"/>
        <v>36.021425865416127</v>
      </c>
      <c r="N345" s="239">
        <f t="shared" si="35"/>
        <v>73.009078419941432</v>
      </c>
    </row>
    <row r="346" spans="1:14" x14ac:dyDescent="0.2">
      <c r="A346" s="256" t="s">
        <v>461</v>
      </c>
      <c r="B346" s="205">
        <v>15030202</v>
      </c>
      <c r="C346" s="288">
        <v>41.321261015985897</v>
      </c>
      <c r="D346" s="40">
        <v>83.147186782589401</v>
      </c>
      <c r="E346" s="239">
        <v>145.80377498727501</v>
      </c>
      <c r="F346" s="288">
        <v>76.950558317520148</v>
      </c>
      <c r="G346" s="40">
        <v>95.353354815486568</v>
      </c>
      <c r="H346" s="239">
        <v>117.27231202570985</v>
      </c>
      <c r="I346" s="288">
        <v>366842.57135850086</v>
      </c>
      <c r="J346" s="40">
        <v>1927238.7365708405</v>
      </c>
      <c r="K346" s="239">
        <v>9736611.9085476827</v>
      </c>
      <c r="L346" s="40">
        <f t="shared" si="33"/>
        <v>-49.594972407450143</v>
      </c>
      <c r="M346" s="40">
        <f t="shared" si="34"/>
        <v>-18.792202972021478</v>
      </c>
      <c r="N346" s="239">
        <f t="shared" si="35"/>
        <v>29.684613584582852</v>
      </c>
    </row>
    <row r="347" spans="1:14" x14ac:dyDescent="0.2">
      <c r="A347" s="256" t="s">
        <v>461</v>
      </c>
      <c r="B347" s="205">
        <v>15030201</v>
      </c>
      <c r="C347" s="288">
        <v>78.715689669594596</v>
      </c>
      <c r="D347" s="40">
        <v>178.39934308884801</v>
      </c>
      <c r="E347" s="239">
        <v>334.77129497235097</v>
      </c>
      <c r="F347" s="288">
        <v>76.746890257448101</v>
      </c>
      <c r="G347" s="40">
        <v>94.814505991052016</v>
      </c>
      <c r="H347" s="239">
        <v>116.99504600043707</v>
      </c>
      <c r="I347" s="288">
        <v>234256.73678805656</v>
      </c>
      <c r="J347" s="40">
        <v>1154893.0353673985</v>
      </c>
      <c r="K347" s="239">
        <v>5512974.9020288968</v>
      </c>
      <c r="L347" s="40">
        <f t="shared" si="33"/>
        <v>2.4859853230573123</v>
      </c>
      <c r="M347" s="40">
        <f t="shared" si="34"/>
        <v>114.33223482335926</v>
      </c>
      <c r="N347" s="239">
        <f t="shared" si="35"/>
        <v>295.38314911849022</v>
      </c>
    </row>
    <row r="348" spans="1:14" x14ac:dyDescent="0.2">
      <c r="A348" s="256" t="s">
        <v>461</v>
      </c>
      <c r="B348" s="205">
        <v>18100204</v>
      </c>
      <c r="C348" s="288">
        <v>447.98603382843498</v>
      </c>
      <c r="D348" s="40">
        <v>449.02413280989299</v>
      </c>
      <c r="E348" s="239">
        <v>450.559366817951</v>
      </c>
      <c r="F348" s="288">
        <v>735.67617219190902</v>
      </c>
      <c r="G348" s="40">
        <v>1565.3517603888718</v>
      </c>
      <c r="H348" s="239">
        <v>2707.3989911420208</v>
      </c>
      <c r="I348" s="288">
        <v>22199286.375928421</v>
      </c>
      <c r="J348" s="40">
        <v>24275416.981995799</v>
      </c>
      <c r="K348" s="239">
        <v>26300815.250844281</v>
      </c>
      <c r="L348" s="40">
        <f t="shared" si="33"/>
        <v>-419.69372372230879</v>
      </c>
      <c r="M348" s="40">
        <f t="shared" si="34"/>
        <v>-1566.6780337102152</v>
      </c>
      <c r="N348" s="239">
        <f t="shared" si="35"/>
        <v>-3144.5210008809845</v>
      </c>
    </row>
    <row r="349" spans="1:14" x14ac:dyDescent="0.2">
      <c r="A349" s="256" t="s">
        <v>461</v>
      </c>
      <c r="B349" s="205">
        <v>16060013</v>
      </c>
      <c r="C349" s="288">
        <v>32.695664113878003</v>
      </c>
      <c r="D349" s="40">
        <v>77.061769772062206</v>
      </c>
      <c r="E349" s="239">
        <v>147.51134257099599</v>
      </c>
      <c r="F349" s="288">
        <v>18.43987963302807</v>
      </c>
      <c r="G349" s="40">
        <v>32.027522113098293</v>
      </c>
      <c r="H349" s="239">
        <v>51.264778244238954</v>
      </c>
      <c r="I349" s="288">
        <v>4923485.5062215896</v>
      </c>
      <c r="J349" s="40">
        <v>5371061.4209230598</v>
      </c>
      <c r="K349" s="239">
        <v>5838965.3933930201</v>
      </c>
      <c r="L349" s="40">
        <f t="shared" si="33"/>
        <v>14.773383713492176</v>
      </c>
      <c r="M349" s="40">
        <f t="shared" si="34"/>
        <v>56.851658608155823</v>
      </c>
      <c r="N349" s="239">
        <f t="shared" si="35"/>
        <v>127.14256171495425</v>
      </c>
    </row>
    <row r="350" spans="1:14" x14ac:dyDescent="0.2">
      <c r="A350" s="256" t="s">
        <v>461</v>
      </c>
      <c r="B350" s="205">
        <v>18090208</v>
      </c>
      <c r="C350" s="288">
        <v>16.467427421284999</v>
      </c>
      <c r="D350" s="40">
        <v>22.299267642821899</v>
      </c>
      <c r="E350" s="239">
        <v>29.838941972324001</v>
      </c>
      <c r="F350" s="288">
        <v>572.52033288746009</v>
      </c>
      <c r="G350" s="40">
        <v>749.02209822233829</v>
      </c>
      <c r="H350" s="239">
        <v>973.34329188783261</v>
      </c>
      <c r="I350" s="288">
        <v>0</v>
      </c>
      <c r="J350" s="40">
        <v>0</v>
      </c>
      <c r="K350" s="239">
        <v>0</v>
      </c>
      <c r="L350" s="40">
        <f t="shared" si="33"/>
        <v>-768.28471789271339</v>
      </c>
      <c r="M350" s="40">
        <f t="shared" si="34"/>
        <v>-1004.095184809607</v>
      </c>
      <c r="N350" s="239">
        <f t="shared" si="35"/>
        <v>-1303.6169151884401</v>
      </c>
    </row>
    <row r="351" spans="1:14" x14ac:dyDescent="0.2">
      <c r="A351" s="256" t="s">
        <v>461</v>
      </c>
      <c r="B351" s="205">
        <v>16060003</v>
      </c>
      <c r="C351" s="288">
        <v>35.124945282848799</v>
      </c>
      <c r="D351" s="40">
        <v>95.999086090166102</v>
      </c>
      <c r="E351" s="239">
        <v>195.16026273795899</v>
      </c>
      <c r="F351" s="288">
        <v>13.269724704313804</v>
      </c>
      <c r="G351" s="40">
        <v>23.20148467413798</v>
      </c>
      <c r="H351" s="239">
        <v>37.083400413211329</v>
      </c>
      <c r="I351" s="288">
        <v>12602172.90105447</v>
      </c>
      <c r="J351" s="40">
        <v>19226978.004610445</v>
      </c>
      <c r="K351" s="239">
        <v>49036167.912910365</v>
      </c>
      <c r="L351" s="40">
        <f t="shared" si="33"/>
        <v>17.594651558635704</v>
      </c>
      <c r="M351" s="40">
        <f t="shared" si="34"/>
        <v>81.355689790804149</v>
      </c>
      <c r="N351" s="239">
        <f t="shared" si="35"/>
        <v>169.37477173448937</v>
      </c>
    </row>
    <row r="352" spans="1:14" x14ac:dyDescent="0.2">
      <c r="A352" s="256" t="s">
        <v>461</v>
      </c>
      <c r="B352" s="205">
        <v>3050105</v>
      </c>
      <c r="C352" s="288">
        <v>1992.0175945380499</v>
      </c>
      <c r="D352" s="40">
        <v>2679.1378096358999</v>
      </c>
      <c r="E352" s="239">
        <v>3377.2442024768602</v>
      </c>
      <c r="F352" s="288">
        <v>70.921807369208608</v>
      </c>
      <c r="G352" s="40">
        <v>76.413608581439817</v>
      </c>
      <c r="H352" s="239">
        <v>82.178379832120157</v>
      </c>
      <c r="I352" s="288">
        <v>5641658.7436765898</v>
      </c>
      <c r="J352" s="40">
        <v>8953939.5431325138</v>
      </c>
      <c r="K352" s="239">
        <v>12991490.357235583</v>
      </c>
      <c r="L352" s="40">
        <f t="shared" si="33"/>
        <v>2648.6894676309089</v>
      </c>
      <c r="M352" s="40">
        <f t="shared" si="34"/>
        <v>3587.1665175260418</v>
      </c>
      <c r="N352" s="239">
        <f t="shared" si="35"/>
        <v>4539.7204748220038</v>
      </c>
    </row>
    <row r="353" spans="1:14" x14ac:dyDescent="0.2">
      <c r="A353" s="256" t="s">
        <v>461</v>
      </c>
      <c r="B353" s="205">
        <v>16040201</v>
      </c>
      <c r="C353" s="288">
        <v>75.787922598335498</v>
      </c>
      <c r="D353" s="40">
        <v>165.97185102847601</v>
      </c>
      <c r="E353" s="239">
        <v>298.29679195447301</v>
      </c>
      <c r="F353" s="288">
        <v>274.04366653098867</v>
      </c>
      <c r="G353" s="40">
        <v>370.82030476642109</v>
      </c>
      <c r="H353" s="239">
        <v>483.3338729565528</v>
      </c>
      <c r="I353" s="288">
        <v>30329777.237026993</v>
      </c>
      <c r="J353" s="40">
        <v>34810209.497471385</v>
      </c>
      <c r="K353" s="239">
        <v>39804593.895523153</v>
      </c>
      <c r="L353" s="40">
        <f t="shared" si="33"/>
        <v>-304.25489623305378</v>
      </c>
      <c r="M353" s="40">
        <f t="shared" si="34"/>
        <v>-317.84431460456051</v>
      </c>
      <c r="N353" s="239">
        <f t="shared" si="35"/>
        <v>-295.46580918616377</v>
      </c>
    </row>
    <row r="354" spans="1:14" x14ac:dyDescent="0.2">
      <c r="A354" s="256" t="s">
        <v>461</v>
      </c>
      <c r="B354" s="205">
        <v>14030005</v>
      </c>
      <c r="C354" s="288">
        <v>4232.9401856161603</v>
      </c>
      <c r="D354" s="40">
        <v>6874.6503169996404</v>
      </c>
      <c r="E354" s="239">
        <v>9662.7300893207594</v>
      </c>
      <c r="F354" s="288">
        <v>15.577860324144824</v>
      </c>
      <c r="G354" s="40">
        <v>23.780510342839708</v>
      </c>
      <c r="H354" s="239">
        <v>34.545441584540917</v>
      </c>
      <c r="I354" s="288">
        <v>253458.36282697099</v>
      </c>
      <c r="J354" s="40">
        <v>277827.54117581103</v>
      </c>
      <c r="K354" s="239">
        <v>301790.97553201899</v>
      </c>
      <c r="L354" s="40">
        <f t="shared" si="33"/>
        <v>5826.7730574359157</v>
      </c>
      <c r="M354" s="40">
        <f t="shared" si="34"/>
        <v>9465.401651850023</v>
      </c>
      <c r="N354" s="239">
        <f t="shared" si="35"/>
        <v>13302.725768431668</v>
      </c>
    </row>
    <row r="355" spans="1:14" x14ac:dyDescent="0.2">
      <c r="A355" s="256" t="s">
        <v>461</v>
      </c>
      <c r="B355" s="205">
        <v>3050102</v>
      </c>
      <c r="C355" s="288">
        <v>546.29472317794102</v>
      </c>
      <c r="D355" s="40">
        <v>724.06380094471001</v>
      </c>
      <c r="E355" s="239">
        <v>900.77018810118898</v>
      </c>
      <c r="F355" s="288">
        <v>21.037220625416282</v>
      </c>
      <c r="G355" s="40">
        <v>23.789560527223461</v>
      </c>
      <c r="H355" s="239">
        <v>27.125691739444498</v>
      </c>
      <c r="I355" s="288">
        <v>700606.32064829394</v>
      </c>
      <c r="J355" s="40">
        <v>767537.19033624697</v>
      </c>
      <c r="K355" s="239">
        <v>833662.78108524997</v>
      </c>
      <c r="L355" s="40">
        <f t="shared" si="33"/>
        <v>725.03485554386248</v>
      </c>
      <c r="M355" s="40">
        <f t="shared" si="34"/>
        <v>966.78427659909858</v>
      </c>
      <c r="N355" s="239">
        <f t="shared" si="35"/>
        <v>1206.2595990787513</v>
      </c>
    </row>
    <row r="356" spans="1:14" x14ac:dyDescent="0.2">
      <c r="A356" s="256" t="s">
        <v>461</v>
      </c>
      <c r="B356" s="205">
        <v>16060010</v>
      </c>
      <c r="C356" s="288">
        <v>39.467313374893003</v>
      </c>
      <c r="D356" s="40">
        <v>66.417243470531005</v>
      </c>
      <c r="E356" s="239">
        <v>109.519462920127</v>
      </c>
      <c r="F356" s="288">
        <v>22.503692711692487</v>
      </c>
      <c r="G356" s="40">
        <v>31.516359688090574</v>
      </c>
      <c r="H356" s="239">
        <v>44.85410622143354</v>
      </c>
      <c r="I356" s="288">
        <v>3907981.8470785301</v>
      </c>
      <c r="J356" s="40">
        <v>4284302.1047777897</v>
      </c>
      <c r="K356" s="239">
        <v>4647432.1803099699</v>
      </c>
      <c r="L356" s="40">
        <f t="shared" si="33"/>
        <v>19.530238486901556</v>
      </c>
      <c r="M356" s="40">
        <f t="shared" si="34"/>
        <v>43.937396563479098</v>
      </c>
      <c r="N356" s="239">
        <f t="shared" si="35"/>
        <v>84.699111719206655</v>
      </c>
    </row>
    <row r="357" spans="1:14" ht="16" thickBot="1" x14ac:dyDescent="0.25">
      <c r="A357" s="257" t="s">
        <v>461</v>
      </c>
      <c r="B357" s="206">
        <v>11140205</v>
      </c>
      <c r="C357" s="289">
        <v>369.09988286088497</v>
      </c>
      <c r="D357" s="249">
        <v>603.24510087413796</v>
      </c>
      <c r="E357" s="240">
        <v>897.52573862153099</v>
      </c>
      <c r="F357" s="289">
        <v>11.121180163910761</v>
      </c>
      <c r="G357" s="249">
        <v>14.915664228418109</v>
      </c>
      <c r="H357" s="240">
        <v>19.638442916850128</v>
      </c>
      <c r="I357" s="289">
        <v>3314052.43424983</v>
      </c>
      <c r="J357" s="249">
        <v>3621992.3970981999</v>
      </c>
      <c r="K357" s="240">
        <v>3935422.7909373799</v>
      </c>
      <c r="L357" s="249">
        <f t="shared" si="33"/>
        <v>491.29637745383661</v>
      </c>
      <c r="M357" s="249">
        <f t="shared" si="34"/>
        <v>809.25842027225258</v>
      </c>
      <c r="N357" s="240">
        <f t="shared" si="35"/>
        <v>1209.020011290678</v>
      </c>
    </row>
    <row r="360" spans="1:14" ht="16" thickBot="1" x14ac:dyDescent="0.25">
      <c r="A360" s="37" t="s">
        <v>488</v>
      </c>
    </row>
    <row r="361" spans="1:14" ht="16" thickBot="1" x14ac:dyDescent="0.25">
      <c r="C361" s="436" t="s">
        <v>464</v>
      </c>
      <c r="D361" s="471"/>
      <c r="E361" s="471"/>
      <c r="F361" s="471"/>
      <c r="G361" s="471"/>
      <c r="H361" s="471"/>
      <c r="I361" s="471"/>
      <c r="J361" s="471"/>
      <c r="K361" s="471"/>
      <c r="L361" s="471"/>
      <c r="M361" s="471"/>
      <c r="N361" s="437"/>
    </row>
    <row r="362" spans="1:14" ht="16" thickBot="1" x14ac:dyDescent="0.25">
      <c r="C362" s="436" t="s">
        <v>477</v>
      </c>
      <c r="D362" s="471"/>
      <c r="E362" s="437"/>
      <c r="F362" s="436" t="s">
        <v>478</v>
      </c>
      <c r="G362" s="471"/>
      <c r="H362" s="437"/>
      <c r="I362" s="436" t="s">
        <v>479</v>
      </c>
      <c r="J362" s="471"/>
      <c r="K362" s="437"/>
      <c r="L362" s="479" t="s">
        <v>480</v>
      </c>
      <c r="M362" s="479"/>
      <c r="N362" s="480"/>
    </row>
    <row r="363" spans="1:14" ht="16" thickBot="1" x14ac:dyDescent="0.25">
      <c r="A363" s="283" t="s">
        <v>407</v>
      </c>
      <c r="B363" s="234" t="s">
        <v>481</v>
      </c>
      <c r="C363" s="233" t="s">
        <v>396</v>
      </c>
      <c r="D363" s="234" t="s">
        <v>397</v>
      </c>
      <c r="E363" s="235" t="s">
        <v>398</v>
      </c>
      <c r="F363" s="233" t="s">
        <v>396</v>
      </c>
      <c r="G363" s="234" t="s">
        <v>397</v>
      </c>
      <c r="H363" s="235" t="s">
        <v>398</v>
      </c>
      <c r="I363" s="233" t="s">
        <v>396</v>
      </c>
      <c r="J363" s="234" t="s">
        <v>397</v>
      </c>
      <c r="K363" s="235" t="s">
        <v>398</v>
      </c>
      <c r="L363" s="234" t="s">
        <v>396</v>
      </c>
      <c r="M363" s="234" t="s">
        <v>397</v>
      </c>
      <c r="N363" s="235" t="s">
        <v>398</v>
      </c>
    </row>
    <row r="364" spans="1:14" x14ac:dyDescent="0.2">
      <c r="A364" s="252" t="s">
        <v>457</v>
      </c>
      <c r="B364" s="253">
        <v>16060011</v>
      </c>
      <c r="C364" s="287" cm="1">
        <f t="array" ref="C364:E376">$E$43:$G$55</f>
        <v>34.422040010501199</v>
      </c>
      <c r="D364" s="254">
        <v>50.109239529647397</v>
      </c>
      <c r="E364" s="255">
        <v>75.165521401394599</v>
      </c>
      <c r="F364" s="287" cm="1">
        <f t="array" ref="F364:H376">$B$169:$D$181</f>
        <v>52.99433730483716</v>
      </c>
      <c r="G364" s="254">
        <v>78.004044172758739</v>
      </c>
      <c r="H364" s="255">
        <v>109.73919924503026</v>
      </c>
      <c r="I364" s="287" cm="1">
        <f t="array" ref="I364:K376">$B$203:$D$215</f>
        <v>28572915.147869598</v>
      </c>
      <c r="J364" s="254">
        <v>36784589.510791823</v>
      </c>
      <c r="K364" s="255">
        <v>63986855.731934547</v>
      </c>
      <c r="L364" s="255">
        <f t="shared" ref="L364" si="36">((C364-F364)*(cubicm/gal)*(day/yr))-I364/1000000</f>
        <v>-54.23380469116951</v>
      </c>
      <c r="M364" s="254">
        <f t="shared" ref="M364" si="37">((D364-G364)*(cubicm/gal)*(day/yr))-J364/1000000</f>
        <v>-75.326159755691506</v>
      </c>
      <c r="N364" s="255">
        <f t="shared" ref="N364" si="38">((E364-H364)*(cubicm/gal)*(day/yr))-K364/1000000</f>
        <v>-111.75646194654857</v>
      </c>
    </row>
    <row r="365" spans="1:14" x14ac:dyDescent="0.2">
      <c r="A365" s="256" t="s">
        <v>457</v>
      </c>
      <c r="B365">
        <v>15030202</v>
      </c>
      <c r="C365" s="288">
        <v>42.9927902904316</v>
      </c>
      <c r="D365" s="40">
        <v>82.145038608589005</v>
      </c>
      <c r="E365" s="239">
        <v>130.894567796601</v>
      </c>
      <c r="F365" s="288">
        <v>103.25524423031756</v>
      </c>
      <c r="G365" s="40">
        <v>138.24186937335904</v>
      </c>
      <c r="H365" s="239">
        <v>182.62467536359313</v>
      </c>
      <c r="I365" s="288">
        <v>366842.57135850086</v>
      </c>
      <c r="J365" s="40">
        <v>1927238.7365708405</v>
      </c>
      <c r="K365" s="239">
        <v>9736611.9085476827</v>
      </c>
      <c r="L365" s="239">
        <f t="shared" ref="L365:L428" si="39">((C365-F365)*(cubicm/gal)*(day/yr))-I365/1000000</f>
        <v>-83.630003269912379</v>
      </c>
      <c r="M365" s="40">
        <f t="shared" ref="M365:M428" si="40">((D365-G365)*(cubicm/gal)*(day/yr))-J365/1000000</f>
        <v>-79.434859639395739</v>
      </c>
      <c r="N365" s="239">
        <f t="shared" ref="N365:N428" si="41">((E365-H365)*(cubicm/gal)*(day/yr))-K365/1000000</f>
        <v>-81.210838026198786</v>
      </c>
    </row>
    <row r="366" spans="1:14" x14ac:dyDescent="0.2">
      <c r="A366" s="256" t="s">
        <v>457</v>
      </c>
      <c r="B366">
        <v>15030201</v>
      </c>
      <c r="C366" s="288">
        <v>81.053242828433397</v>
      </c>
      <c r="D366" s="40">
        <v>158.55406571628001</v>
      </c>
      <c r="E366" s="239">
        <v>258.903270845679</v>
      </c>
      <c r="F366" s="288">
        <v>102.51209852851237</v>
      </c>
      <c r="G366" s="40">
        <v>137.1778967041254</v>
      </c>
      <c r="H366" s="239">
        <v>182.08539042610306</v>
      </c>
      <c r="I366" s="288">
        <v>234256.73678805656</v>
      </c>
      <c r="J366" s="40">
        <v>1154893.0353673985</v>
      </c>
      <c r="K366" s="239">
        <v>5512974.9020288968</v>
      </c>
      <c r="L366" s="239">
        <f t="shared" si="39"/>
        <v>-29.883433525126044</v>
      </c>
      <c r="M366" s="40">
        <f t="shared" si="40"/>
        <v>28.380037575887503</v>
      </c>
      <c r="N366" s="239">
        <f t="shared" si="41"/>
        <v>100.62441419728979</v>
      </c>
    </row>
    <row r="367" spans="1:14" x14ac:dyDescent="0.2">
      <c r="A367" s="256" t="s">
        <v>457</v>
      </c>
      <c r="B367">
        <v>18100204</v>
      </c>
      <c r="C367" s="288">
        <v>464.97736656574</v>
      </c>
      <c r="D367" s="40">
        <v>504.14992268895497</v>
      </c>
      <c r="E367" s="239">
        <v>568.32019147267704</v>
      </c>
      <c r="F367" s="288">
        <v>1508.7024738835312</v>
      </c>
      <c r="G367" s="40">
        <v>2961.6431689825072</v>
      </c>
      <c r="H367" s="239">
        <v>5025.6618092180561</v>
      </c>
      <c r="I367" s="288">
        <v>22199286.375928421</v>
      </c>
      <c r="J367" s="40">
        <v>24275416.981995799</v>
      </c>
      <c r="K367" s="239">
        <v>26300815.250844281</v>
      </c>
      <c r="L367" s="239">
        <f t="shared" si="39"/>
        <v>-1464.2887741755203</v>
      </c>
      <c r="M367" s="40">
        <f t="shared" si="40"/>
        <v>-3419.733811123489</v>
      </c>
      <c r="N367" s="239">
        <f t="shared" si="41"/>
        <v>-6184.9008579391812</v>
      </c>
    </row>
    <row r="368" spans="1:14" x14ac:dyDescent="0.2">
      <c r="A368" s="256" t="s">
        <v>457</v>
      </c>
      <c r="B368">
        <v>16060013</v>
      </c>
      <c r="C368" s="288">
        <v>28.906177250431099</v>
      </c>
      <c r="D368" s="40">
        <v>53.309842983249403</v>
      </c>
      <c r="E368" s="239">
        <v>90.411278656745196</v>
      </c>
      <c r="F368" s="288">
        <v>53.492361227518863</v>
      </c>
      <c r="G368" s="40">
        <v>78.186790657696633</v>
      </c>
      <c r="H368" s="239">
        <v>108.92097827811739</v>
      </c>
      <c r="I368" s="288">
        <v>4923485.5062215896</v>
      </c>
      <c r="J368" s="40">
        <v>5371061.4209230598</v>
      </c>
      <c r="K368" s="239">
        <v>5838965.3933930201</v>
      </c>
      <c r="L368" s="239">
        <f t="shared" si="39"/>
        <v>-38.893615389922488</v>
      </c>
      <c r="M368" s="40">
        <f t="shared" si="40"/>
        <v>-39.74293240336344</v>
      </c>
      <c r="N368" s="239">
        <f t="shared" si="41"/>
        <v>-31.413365260906801</v>
      </c>
    </row>
    <row r="369" spans="1:14" x14ac:dyDescent="0.2">
      <c r="A369" s="256" t="s">
        <v>457</v>
      </c>
      <c r="B369">
        <v>18090208</v>
      </c>
      <c r="C369" s="288">
        <v>25.8469907479946</v>
      </c>
      <c r="D369" s="40">
        <v>41.167932979084398</v>
      </c>
      <c r="E369" s="239">
        <v>64.706628626600605</v>
      </c>
      <c r="F369" s="288">
        <v>794.78805012284363</v>
      </c>
      <c r="G369" s="40">
        <v>1114.275936736871</v>
      </c>
      <c r="H369" s="239">
        <v>1569.9160526283642</v>
      </c>
      <c r="I369" s="288">
        <v>0</v>
      </c>
      <c r="J369" s="40">
        <v>0</v>
      </c>
      <c r="K369" s="239">
        <v>0</v>
      </c>
      <c r="L369" s="239">
        <f t="shared" si="39"/>
        <v>-1062.4270803560555</v>
      </c>
      <c r="M369" s="40">
        <f t="shared" si="40"/>
        <v>-1482.6871181336103</v>
      </c>
      <c r="N369" s="239">
        <f t="shared" si="41"/>
        <v>-2079.7110964093231</v>
      </c>
    </row>
    <row r="370" spans="1:14" x14ac:dyDescent="0.2">
      <c r="A370" s="256" t="s">
        <v>457</v>
      </c>
      <c r="B370">
        <v>16060003</v>
      </c>
      <c r="C370" s="288">
        <v>22.243862895821898</v>
      </c>
      <c r="D370" s="40">
        <v>49.364570295641698</v>
      </c>
      <c r="E370" s="239">
        <v>94.498961170963398</v>
      </c>
      <c r="F370" s="288">
        <v>38.029396628136922</v>
      </c>
      <c r="G370" s="40">
        <v>56.039974093927292</v>
      </c>
      <c r="H370" s="239">
        <v>77.229716909241972</v>
      </c>
      <c r="I370" s="288">
        <v>12602172.90105447</v>
      </c>
      <c r="J370" s="40">
        <v>19226978.004610445</v>
      </c>
      <c r="K370" s="239">
        <v>49036167.912910365</v>
      </c>
      <c r="L370" s="239">
        <f t="shared" si="39"/>
        <v>-34.412659297398456</v>
      </c>
      <c r="M370" s="40">
        <f t="shared" si="40"/>
        <v>-28.45022038599167</v>
      </c>
      <c r="N370" s="239">
        <f t="shared" si="41"/>
        <v>-25.17567491770906</v>
      </c>
    </row>
    <row r="371" spans="1:14" x14ac:dyDescent="0.2">
      <c r="A371" s="256" t="s">
        <v>457</v>
      </c>
      <c r="B371">
        <v>3050105</v>
      </c>
      <c r="C371" s="288">
        <v>1694.94032572622</v>
      </c>
      <c r="D371" s="40">
        <v>2451.58421786595</v>
      </c>
      <c r="E371" s="239">
        <v>3109.0785779262201</v>
      </c>
      <c r="F371" s="288">
        <v>59.365265512688133</v>
      </c>
      <c r="G371" s="40">
        <v>63.204226090389668</v>
      </c>
      <c r="H371" s="239">
        <v>67.652875114849323</v>
      </c>
      <c r="I371" s="288">
        <v>5641658.7436765898</v>
      </c>
      <c r="J371" s="40">
        <v>8953939.5431325138</v>
      </c>
      <c r="K371" s="239">
        <v>12991490.357235583</v>
      </c>
      <c r="L371" s="239">
        <f t="shared" si="39"/>
        <v>2254.1924530393248</v>
      </c>
      <c r="M371" s="40">
        <f t="shared" si="40"/>
        <v>3291.0123589218047</v>
      </c>
      <c r="N371" s="239">
        <f t="shared" si="41"/>
        <v>4189.2721164071081</v>
      </c>
    </row>
    <row r="372" spans="1:14" x14ac:dyDescent="0.2">
      <c r="A372" s="256" t="s">
        <v>457</v>
      </c>
      <c r="B372">
        <v>16040201</v>
      </c>
      <c r="C372" s="288">
        <v>128.359521605937</v>
      </c>
      <c r="D372" s="40">
        <v>244.41991745253</v>
      </c>
      <c r="E372" s="239">
        <v>413.92173249137102</v>
      </c>
      <c r="F372" s="288">
        <v>371.76404316741525</v>
      </c>
      <c r="G372" s="40">
        <v>508.93506893672804</v>
      </c>
      <c r="H372" s="239">
        <v>697.4935210289467</v>
      </c>
      <c r="I372" s="288">
        <v>30329777.237026993</v>
      </c>
      <c r="J372" s="40">
        <v>34810209.497471385</v>
      </c>
      <c r="K372" s="239">
        <v>39804593.895523153</v>
      </c>
      <c r="L372" s="239">
        <f t="shared" si="39"/>
        <v>-366.63585952409579</v>
      </c>
      <c r="M372" s="40">
        <f t="shared" si="40"/>
        <v>-400.28433352171419</v>
      </c>
      <c r="N372" s="239">
        <f t="shared" si="41"/>
        <v>-431.60880787813716</v>
      </c>
    </row>
    <row r="373" spans="1:14" x14ac:dyDescent="0.2">
      <c r="A373" s="256" t="s">
        <v>457</v>
      </c>
      <c r="B373">
        <v>14030005</v>
      </c>
      <c r="C373" s="288">
        <v>6888.16615283385</v>
      </c>
      <c r="D373" s="40">
        <v>9407.6179244510695</v>
      </c>
      <c r="E373" s="239">
        <v>12246.7439263551</v>
      </c>
      <c r="F373" s="288">
        <v>15.90418323271895</v>
      </c>
      <c r="G373" s="40">
        <v>20.859535277119022</v>
      </c>
      <c r="H373" s="239">
        <v>26.795832911440588</v>
      </c>
      <c r="I373" s="288">
        <v>253458.36282697099</v>
      </c>
      <c r="J373" s="40">
        <v>277827.54117581103</v>
      </c>
      <c r="K373" s="239">
        <v>301790.97553201899</v>
      </c>
      <c r="L373" s="239">
        <f t="shared" si="39"/>
        <v>9494.9830500650623</v>
      </c>
      <c r="M373" s="40">
        <f t="shared" si="40"/>
        <v>12969.176967245901</v>
      </c>
      <c r="N373" s="239">
        <f t="shared" si="41"/>
        <v>16883.702017554271</v>
      </c>
    </row>
    <row r="374" spans="1:14" x14ac:dyDescent="0.2">
      <c r="A374" s="256" t="s">
        <v>457</v>
      </c>
      <c r="B374">
        <v>3050102</v>
      </c>
      <c r="C374" s="288">
        <v>457.27803741401198</v>
      </c>
      <c r="D374" s="40">
        <v>654.89353090684801</v>
      </c>
      <c r="E374" s="239">
        <v>834.12530128820197</v>
      </c>
      <c r="F374" s="288">
        <v>15.859008548378712</v>
      </c>
      <c r="G374" s="40">
        <v>19.030402159567991</v>
      </c>
      <c r="H374" s="239">
        <v>23.181184510233585</v>
      </c>
      <c r="I374" s="288">
        <v>700606.32064829394</v>
      </c>
      <c r="J374" s="40">
        <v>767537.19033624697</v>
      </c>
      <c r="K374" s="239">
        <v>833662.78108524997</v>
      </c>
      <c r="L374" s="239">
        <f t="shared" si="39"/>
        <v>609.1972842050551</v>
      </c>
      <c r="M374" s="40">
        <f t="shared" si="40"/>
        <v>877.78901684550851</v>
      </c>
      <c r="N374" s="239">
        <f t="shared" si="41"/>
        <v>1119.628016064358</v>
      </c>
    </row>
    <row r="375" spans="1:14" x14ac:dyDescent="0.2">
      <c r="A375" s="256" t="s">
        <v>457</v>
      </c>
      <c r="B375">
        <v>16060010</v>
      </c>
      <c r="C375" s="288">
        <v>37.080549626624197</v>
      </c>
      <c r="D375" s="40">
        <v>58.059299044011603</v>
      </c>
      <c r="E375" s="239">
        <v>91.813132813702495</v>
      </c>
      <c r="F375" s="288">
        <v>41.046266755278452</v>
      </c>
      <c r="G375" s="40">
        <v>54.40139789398421</v>
      </c>
      <c r="H375" s="239">
        <v>70.064146026706396</v>
      </c>
      <c r="I375" s="288">
        <v>3907981.8470785301</v>
      </c>
      <c r="J375" s="40">
        <v>4284302.1047777897</v>
      </c>
      <c r="K375" s="239">
        <v>4647432.1803099699</v>
      </c>
      <c r="L375" s="239">
        <f t="shared" si="39"/>
        <v>-9.3873163411157599</v>
      </c>
      <c r="M375" s="40">
        <f t="shared" si="40"/>
        <v>0.76973056999469947</v>
      </c>
      <c r="N375" s="239">
        <f t="shared" si="41"/>
        <v>25.402611644370829</v>
      </c>
    </row>
    <row r="376" spans="1:14" ht="16" thickBot="1" x14ac:dyDescent="0.25">
      <c r="A376" s="257" t="s">
        <v>457</v>
      </c>
      <c r="B376" s="210">
        <v>11140205</v>
      </c>
      <c r="C376" s="289">
        <v>410.249778490967</v>
      </c>
      <c r="D376" s="249">
        <v>585.73339259926297</v>
      </c>
      <c r="E376" s="240">
        <v>774.48649417248203</v>
      </c>
      <c r="F376" s="289">
        <v>8.1982799993307101</v>
      </c>
      <c r="G376" s="249">
        <v>10.23369862851955</v>
      </c>
      <c r="H376" s="240">
        <v>13.020787033296308</v>
      </c>
      <c r="I376" s="289">
        <v>3314052.43424983</v>
      </c>
      <c r="J376" s="249">
        <v>3621992.3970981999</v>
      </c>
      <c r="K376" s="240">
        <v>3935422.7909373799</v>
      </c>
      <c r="L376" s="240">
        <f t="shared" si="39"/>
        <v>552.19068292546751</v>
      </c>
      <c r="M376" s="249">
        <f t="shared" si="40"/>
        <v>791.53187818464903</v>
      </c>
      <c r="N376" s="240">
        <f t="shared" si="41"/>
        <v>1048.1631459665493</v>
      </c>
    </row>
    <row r="377" spans="1:14" x14ac:dyDescent="0.2">
      <c r="A377" s="252" t="s">
        <v>458</v>
      </c>
      <c r="B377" s="253">
        <v>16060011</v>
      </c>
      <c r="C377" s="287" cm="1">
        <f t="array" ref="C377:E389">$K$43:$M$55</f>
        <v>30.693319838369298</v>
      </c>
      <c r="D377" s="254">
        <v>38.935073298818899</v>
      </c>
      <c r="E377" s="255">
        <v>51.761638650031003</v>
      </c>
      <c r="F377" s="287" cm="1">
        <f t="array" ref="F377:H389">E169:G181</f>
        <v>56.906085029732473</v>
      </c>
      <c r="G377" s="254">
        <v>81.257535358102558</v>
      </c>
      <c r="H377" s="255">
        <v>112.72529243664846</v>
      </c>
      <c r="I377" s="287" cm="1">
        <f t="array" ref="I377:K389">$B$203:$D$215</f>
        <v>28572915.147869598</v>
      </c>
      <c r="J377" s="254">
        <v>36784589.510791823</v>
      </c>
      <c r="K377" s="255">
        <v>63986855.731934547</v>
      </c>
      <c r="L377" s="255">
        <f t="shared" si="39"/>
        <v>-64.790452566095439</v>
      </c>
      <c r="M377" s="254">
        <f t="shared" si="40"/>
        <v>-95.260501612144481</v>
      </c>
      <c r="N377" s="255">
        <f t="shared" si="41"/>
        <v>-148.218847131914</v>
      </c>
    </row>
    <row r="378" spans="1:14" x14ac:dyDescent="0.2">
      <c r="A378" s="256" t="s">
        <v>458</v>
      </c>
      <c r="B378">
        <v>15030202</v>
      </c>
      <c r="C378" s="288">
        <v>34.377711005272602</v>
      </c>
      <c r="D378" s="40">
        <v>64.228705657648504</v>
      </c>
      <c r="E378" s="239">
        <v>105.480832233965</v>
      </c>
      <c r="F378" s="288">
        <v>97.616147407882508</v>
      </c>
      <c r="G378" s="40">
        <v>122.89708609084651</v>
      </c>
      <c r="H378" s="239">
        <v>158.80024304685568</v>
      </c>
      <c r="I378" s="288">
        <v>366842.57135850086</v>
      </c>
      <c r="J378" s="40">
        <v>1927238.7365708405</v>
      </c>
      <c r="K378" s="239">
        <v>9736611.9085476827</v>
      </c>
      <c r="L378" s="239">
        <f t="shared" si="39"/>
        <v>-87.741845550298791</v>
      </c>
      <c r="M378" s="40">
        <f t="shared" si="40"/>
        <v>-82.987907006172748</v>
      </c>
      <c r="N378" s="239">
        <f t="shared" si="41"/>
        <v>-83.406739502331646</v>
      </c>
    </row>
    <row r="379" spans="1:14" x14ac:dyDescent="0.2">
      <c r="A379" s="256" t="s">
        <v>458</v>
      </c>
      <c r="B379">
        <v>15030201</v>
      </c>
      <c r="C379" s="288">
        <v>67.178411380203698</v>
      </c>
      <c r="D379" s="40">
        <v>137.62461251421701</v>
      </c>
      <c r="E379" s="239">
        <v>244.44994504569999</v>
      </c>
      <c r="F379" s="288">
        <v>97.333762953873162</v>
      </c>
      <c r="G379" s="40">
        <v>122.41883245469847</v>
      </c>
      <c r="H379" s="239">
        <v>158.87634822080716</v>
      </c>
      <c r="I379" s="288">
        <v>234256.73678805656</v>
      </c>
      <c r="J379" s="40">
        <v>1154893.0353673985</v>
      </c>
      <c r="K379" s="239">
        <v>5512974.9020288968</v>
      </c>
      <c r="L379" s="239">
        <f t="shared" si="39"/>
        <v>-41.899169461790528</v>
      </c>
      <c r="M379" s="40">
        <f t="shared" si="40"/>
        <v>19.854561871754715</v>
      </c>
      <c r="N379" s="239">
        <f t="shared" si="41"/>
        <v>112.72197369617939</v>
      </c>
    </row>
    <row r="380" spans="1:14" x14ac:dyDescent="0.2">
      <c r="A380" s="256" t="s">
        <v>458</v>
      </c>
      <c r="B380">
        <v>18100204</v>
      </c>
      <c r="C380" s="288">
        <v>464.631635132805</v>
      </c>
      <c r="D380" s="40">
        <v>508.81553976808402</v>
      </c>
      <c r="E380" s="239">
        <v>583.94613663488894</v>
      </c>
      <c r="F380" s="288">
        <v>1110.2141206012802</v>
      </c>
      <c r="G380" s="40">
        <v>1870.3899333657403</v>
      </c>
      <c r="H380" s="239">
        <v>2937.8258336677195</v>
      </c>
      <c r="I380" s="288">
        <v>22199286.375928421</v>
      </c>
      <c r="J380" s="40">
        <v>24275416.981995799</v>
      </c>
      <c r="K380" s="239">
        <v>26300815.250844281</v>
      </c>
      <c r="L380" s="239">
        <f t="shared" si="39"/>
        <v>-914.18483819820108</v>
      </c>
      <c r="M380" s="40">
        <f t="shared" si="40"/>
        <v>-1905.5295001669829</v>
      </c>
      <c r="N380" s="239">
        <f t="shared" si="41"/>
        <v>-3278.5988991393069</v>
      </c>
    </row>
    <row r="381" spans="1:14" x14ac:dyDescent="0.2">
      <c r="A381" s="256" t="s">
        <v>458</v>
      </c>
      <c r="B381">
        <v>16060013</v>
      </c>
      <c r="C381" s="288">
        <v>21.580349926163599</v>
      </c>
      <c r="D381" s="40">
        <v>36.440684679599897</v>
      </c>
      <c r="E381" s="239">
        <v>60.182575855760803</v>
      </c>
      <c r="F381" s="288">
        <v>57.138767112398526</v>
      </c>
      <c r="G381" s="40">
        <v>81.282533654408383</v>
      </c>
      <c r="H381" s="239">
        <v>111.54808047893601</v>
      </c>
      <c r="I381" s="288">
        <v>4923485.5062215896</v>
      </c>
      <c r="J381" s="40">
        <v>5371061.4209230598</v>
      </c>
      <c r="K381" s="239">
        <v>5838965.3933930201</v>
      </c>
      <c r="L381" s="239">
        <f t="shared" si="39"/>
        <v>-54.053682018250669</v>
      </c>
      <c r="M381" s="40">
        <f t="shared" si="40"/>
        <v>-67.327948887441437</v>
      </c>
      <c r="N381" s="239">
        <f t="shared" si="41"/>
        <v>-76.809428528997671</v>
      </c>
    </row>
    <row r="382" spans="1:14" x14ac:dyDescent="0.2">
      <c r="A382" s="256" t="s">
        <v>458</v>
      </c>
      <c r="B382">
        <v>18090208</v>
      </c>
      <c r="C382" s="288">
        <v>25.432896821928601</v>
      </c>
      <c r="D382" s="40">
        <v>46.720462266093598</v>
      </c>
      <c r="E382" s="239">
        <v>81.304751172088402</v>
      </c>
      <c r="F382" s="288">
        <v>1434.572706007127</v>
      </c>
      <c r="G382" s="40">
        <v>2100.095167203759</v>
      </c>
      <c r="H382" s="239">
        <v>2863.5199166502871</v>
      </c>
      <c r="I382" s="288">
        <v>0</v>
      </c>
      <c r="J382" s="40">
        <v>0</v>
      </c>
      <c r="K382" s="239">
        <v>0</v>
      </c>
      <c r="L382" s="239">
        <f t="shared" si="39"/>
        <v>-1946.9740561172168</v>
      </c>
      <c r="M382" s="40">
        <f t="shared" si="40"/>
        <v>-2837.0976761437537</v>
      </c>
      <c r="N382" s="239">
        <f t="shared" si="41"/>
        <v>-3844.118738547395</v>
      </c>
    </row>
    <row r="383" spans="1:14" x14ac:dyDescent="0.2">
      <c r="A383" s="256" t="s">
        <v>458</v>
      </c>
      <c r="B383">
        <v>16060003</v>
      </c>
      <c r="C383" s="288">
        <v>16.165342975605501</v>
      </c>
      <c r="D383" s="40">
        <v>32.067428358655697</v>
      </c>
      <c r="E383" s="239">
        <v>58.164716653730999</v>
      </c>
      <c r="F383" s="288">
        <v>41.941115158864022</v>
      </c>
      <c r="G383" s="40">
        <v>60.18013754181419</v>
      </c>
      <c r="H383" s="239">
        <v>83.458280753167529</v>
      </c>
      <c r="I383" s="288">
        <v>12602172.90105447</v>
      </c>
      <c r="J383" s="40">
        <v>19226978.004610445</v>
      </c>
      <c r="K383" s="239">
        <v>49036167.912910365</v>
      </c>
      <c r="L383" s="239">
        <f t="shared" si="39"/>
        <v>-48.215927753534515</v>
      </c>
      <c r="M383" s="40">
        <f t="shared" si="40"/>
        <v>-58.069621630175796</v>
      </c>
      <c r="N383" s="239">
        <f t="shared" si="41"/>
        <v>-83.983667633904005</v>
      </c>
    </row>
    <row r="384" spans="1:14" x14ac:dyDescent="0.2">
      <c r="A384" s="256" t="s">
        <v>458</v>
      </c>
      <c r="B384">
        <v>3050105</v>
      </c>
      <c r="C384" s="288">
        <v>1309.19378059768</v>
      </c>
      <c r="D384" s="40">
        <v>2364.4435156099598</v>
      </c>
      <c r="E384" s="239">
        <v>3658.9705180021901</v>
      </c>
      <c r="F384" s="288">
        <v>64.083196903151915</v>
      </c>
      <c r="G384" s="40">
        <v>71.538815165274542</v>
      </c>
      <c r="H384" s="239">
        <v>82.004594990514121</v>
      </c>
      <c r="I384" s="288">
        <v>5641658.7436765898</v>
      </c>
      <c r="J384" s="40">
        <v>8953939.5431325138</v>
      </c>
      <c r="K384" s="239">
        <v>12991490.357235583</v>
      </c>
      <c r="L384" s="239">
        <f t="shared" si="39"/>
        <v>1714.6972229262303</v>
      </c>
      <c r="M384" s="40">
        <f t="shared" si="40"/>
        <v>3159.0964808735275</v>
      </c>
      <c r="N384" s="239">
        <f t="shared" si="41"/>
        <v>4929.2149580902214</v>
      </c>
    </row>
    <row r="385" spans="1:14" x14ac:dyDescent="0.2">
      <c r="A385" s="256" t="s">
        <v>458</v>
      </c>
      <c r="B385">
        <v>16040201</v>
      </c>
      <c r="C385" s="288">
        <v>85.086833478725396</v>
      </c>
      <c r="D385" s="40">
        <v>154.927154391828</v>
      </c>
      <c r="E385" s="239">
        <v>244.856122694883</v>
      </c>
      <c r="F385" s="288">
        <v>420.79047596139191</v>
      </c>
      <c r="G385" s="40">
        <v>569.35097271063228</v>
      </c>
      <c r="H385" s="239">
        <v>737.32925841403096</v>
      </c>
      <c r="I385" s="288">
        <v>30329777.237026993</v>
      </c>
      <c r="J385" s="40">
        <v>34810209.497471385</v>
      </c>
      <c r="K385" s="239">
        <v>39804593.895523153</v>
      </c>
      <c r="L385" s="239">
        <f t="shared" si="39"/>
        <v>-494.16330049525743</v>
      </c>
      <c r="M385" s="40">
        <f t="shared" si="40"/>
        <v>-607.40947696852641</v>
      </c>
      <c r="N385" s="239">
        <f t="shared" si="41"/>
        <v>-720.24269686438049</v>
      </c>
    </row>
    <row r="386" spans="1:14" x14ac:dyDescent="0.2">
      <c r="A386" s="256" t="s">
        <v>458</v>
      </c>
      <c r="B386">
        <v>14030005</v>
      </c>
      <c r="C386" s="288">
        <v>4222.2780249276902</v>
      </c>
      <c r="D386" s="40">
        <v>6175.3803921728604</v>
      </c>
      <c r="E386" s="239">
        <v>8543.7939760121099</v>
      </c>
      <c r="F386" s="288">
        <v>19.400250077033139</v>
      </c>
      <c r="G386" s="40">
        <v>26.987835015405317</v>
      </c>
      <c r="H386" s="239">
        <v>37.399501762676373</v>
      </c>
      <c r="I386" s="288">
        <v>253458.36282697099</v>
      </c>
      <c r="J386" s="40">
        <v>277827.54117581103</v>
      </c>
      <c r="K386" s="239">
        <v>301790.97553201899</v>
      </c>
      <c r="L386" s="239">
        <f t="shared" si="39"/>
        <v>5806.7601078761754</v>
      </c>
      <c r="M386" s="40">
        <f t="shared" si="40"/>
        <v>8494.8059942206728</v>
      </c>
      <c r="N386" s="239">
        <f t="shared" si="41"/>
        <v>11752.775685445295</v>
      </c>
    </row>
    <row r="387" spans="1:14" x14ac:dyDescent="0.2">
      <c r="A387" s="256" t="s">
        <v>458</v>
      </c>
      <c r="B387">
        <v>3050102</v>
      </c>
      <c r="C387" s="288">
        <v>408.67233000536902</v>
      </c>
      <c r="D387" s="40">
        <v>665.88053560813205</v>
      </c>
      <c r="E387" s="239">
        <v>1001.52691953464</v>
      </c>
      <c r="F387" s="288">
        <v>21.330628040890346</v>
      </c>
      <c r="G387" s="40">
        <v>29.117495786740069</v>
      </c>
      <c r="H387" s="239">
        <v>40.64033965893919</v>
      </c>
      <c r="I387" s="288">
        <v>700606.32064829394</v>
      </c>
      <c r="J387" s="40">
        <v>767537.19033624697</v>
      </c>
      <c r="K387" s="239">
        <v>833662.78108524997</v>
      </c>
      <c r="L387" s="239">
        <f t="shared" si="39"/>
        <v>534.47996246421428</v>
      </c>
      <c r="M387" s="40">
        <f t="shared" si="40"/>
        <v>879.03240199628476</v>
      </c>
      <c r="N387" s="239">
        <f t="shared" si="41"/>
        <v>1326.7998549824581</v>
      </c>
    </row>
    <row r="388" spans="1:14" x14ac:dyDescent="0.2">
      <c r="A388" s="256" t="s">
        <v>458</v>
      </c>
      <c r="B388">
        <v>16060010</v>
      </c>
      <c r="C388" s="288">
        <v>32.796571110216803</v>
      </c>
      <c r="D388" s="40">
        <v>44.927845266071301</v>
      </c>
      <c r="E388" s="239">
        <v>64.317587433534001</v>
      </c>
      <c r="F388" s="288">
        <v>53.888528747742882</v>
      </c>
      <c r="G388" s="40">
        <v>80.02985413144161</v>
      </c>
      <c r="H388" s="239">
        <v>110.51065070348702</v>
      </c>
      <c r="I388" s="288">
        <v>3907981.8470785301</v>
      </c>
      <c r="J388" s="40">
        <v>4284302.1047777897</v>
      </c>
      <c r="K388" s="239">
        <v>4647432.1803099699</v>
      </c>
      <c r="L388" s="239">
        <f t="shared" si="39"/>
        <v>-33.05022454387084</v>
      </c>
      <c r="M388" s="40">
        <f t="shared" si="40"/>
        <v>-52.783890387639559</v>
      </c>
      <c r="N388" s="239">
        <f t="shared" si="41"/>
        <v>-68.471259435026013</v>
      </c>
    </row>
    <row r="389" spans="1:14" ht="16" thickBot="1" x14ac:dyDescent="0.25">
      <c r="A389" s="257" t="s">
        <v>458</v>
      </c>
      <c r="B389" s="210">
        <v>11140205</v>
      </c>
      <c r="C389" s="289">
        <v>318.28054624445201</v>
      </c>
      <c r="D389" s="249">
        <v>495.426424966779</v>
      </c>
      <c r="E389" s="240">
        <v>716.88279158140699</v>
      </c>
      <c r="F389" s="289">
        <v>12.76619421939936</v>
      </c>
      <c r="G389" s="249">
        <v>16.765125384667002</v>
      </c>
      <c r="H389" s="240">
        <v>22.026579558881863</v>
      </c>
      <c r="I389" s="289">
        <v>3314052.43424983</v>
      </c>
      <c r="J389" s="249">
        <v>3621992.3970981999</v>
      </c>
      <c r="K389" s="240">
        <v>3935422.7909373799</v>
      </c>
      <c r="L389" s="240">
        <f t="shared" si="39"/>
        <v>418.80766557198928</v>
      </c>
      <c r="M389" s="249">
        <f t="shared" si="40"/>
        <v>657.73263393525667</v>
      </c>
      <c r="N389" s="240">
        <f t="shared" si="41"/>
        <v>956.1304335005002</v>
      </c>
    </row>
    <row r="390" spans="1:14" x14ac:dyDescent="0.2">
      <c r="A390" s="252" t="s">
        <v>459</v>
      </c>
      <c r="B390" s="253">
        <v>16060011</v>
      </c>
      <c r="C390" s="287" cm="1">
        <f t="array" ref="C390:E402">$Q$43:$S$55</f>
        <v>32.926498278530197</v>
      </c>
      <c r="D390" s="254">
        <v>45.1913812216549</v>
      </c>
      <c r="E390" s="255">
        <v>64.744586253081096</v>
      </c>
      <c r="F390" s="287" cm="1">
        <f t="array" ref="F390:H402">H169:J181</f>
        <v>14.996876428930682</v>
      </c>
      <c r="G390" s="254">
        <v>21.729740224230909</v>
      </c>
      <c r="H390" s="255">
        <v>30.866822924821559</v>
      </c>
      <c r="I390" s="287" cm="1">
        <f t="array" ref="I390:K402">$B$203:$D$215</f>
        <v>28572915.147869598</v>
      </c>
      <c r="J390" s="254">
        <v>36784589.510791823</v>
      </c>
      <c r="K390" s="255">
        <v>63986855.731934547</v>
      </c>
      <c r="L390" s="255">
        <f t="shared" si="39"/>
        <v>-3.7999945692169703</v>
      </c>
      <c r="M390" s="254">
        <f t="shared" si="40"/>
        <v>-4.3682131951347714</v>
      </c>
      <c r="N390" s="255">
        <f t="shared" si="41"/>
        <v>-17.178777605506582</v>
      </c>
    </row>
    <row r="391" spans="1:14" x14ac:dyDescent="0.2">
      <c r="A391" s="256" t="s">
        <v>459</v>
      </c>
      <c r="B391">
        <v>15030202</v>
      </c>
      <c r="C391" s="288">
        <v>25.850094106025001</v>
      </c>
      <c r="D391" s="40">
        <v>42.621282985938997</v>
      </c>
      <c r="E391" s="239">
        <v>65.203656625296105</v>
      </c>
      <c r="F391" s="288">
        <v>77.788262218657977</v>
      </c>
      <c r="G391" s="40">
        <v>93.875716425730346</v>
      </c>
      <c r="H391" s="239">
        <v>114.783932981288</v>
      </c>
      <c r="I391" s="288">
        <v>366842.57135850086</v>
      </c>
      <c r="J391" s="40">
        <v>1927238.7365708405</v>
      </c>
      <c r="K391" s="239">
        <v>9736611.9085476827</v>
      </c>
      <c r="L391" s="239">
        <f t="shared" si="39"/>
        <v>-72.128540863043611</v>
      </c>
      <c r="M391" s="40">
        <f t="shared" si="40"/>
        <v>-72.744237531007201</v>
      </c>
      <c r="N391" s="239">
        <f t="shared" si="41"/>
        <v>-78.240468751578149</v>
      </c>
    </row>
    <row r="392" spans="1:14" x14ac:dyDescent="0.2">
      <c r="A392" s="256" t="s">
        <v>459</v>
      </c>
      <c r="B392">
        <v>15030201</v>
      </c>
      <c r="C392" s="288">
        <v>52.670689893692099</v>
      </c>
      <c r="D392" s="40">
        <v>97.915556137714901</v>
      </c>
      <c r="E392" s="239">
        <v>163.17848472230901</v>
      </c>
      <c r="F392" s="288">
        <v>77.730833929020918</v>
      </c>
      <c r="G392" s="40">
        <v>93.645908694303088</v>
      </c>
      <c r="H392" s="239">
        <v>114.79765762412033</v>
      </c>
      <c r="I392" s="288">
        <v>234256.73678805656</v>
      </c>
      <c r="J392" s="40">
        <v>1154893.0353673985</v>
      </c>
      <c r="K392" s="239">
        <v>5512974.9020288968</v>
      </c>
      <c r="L392" s="239">
        <f t="shared" si="39"/>
        <v>-34.859245656488163</v>
      </c>
      <c r="M392" s="40">
        <f t="shared" si="40"/>
        <v>4.744374551073677</v>
      </c>
      <c r="N392" s="239">
        <f t="shared" si="41"/>
        <v>61.333632198037982</v>
      </c>
    </row>
    <row r="393" spans="1:14" x14ac:dyDescent="0.2">
      <c r="A393" s="256" t="s">
        <v>459</v>
      </c>
      <c r="B393">
        <v>18100204</v>
      </c>
      <c r="C393" s="288">
        <v>459.67363687531503</v>
      </c>
      <c r="D393" s="40">
        <v>481.61087679375697</v>
      </c>
      <c r="E393" s="239">
        <v>517.65051036669604</v>
      </c>
      <c r="F393" s="288">
        <v>503.24387084085606</v>
      </c>
      <c r="G393" s="40">
        <v>896.74347503566025</v>
      </c>
      <c r="H393" s="239">
        <v>1410.6121615549976</v>
      </c>
      <c r="I393" s="288">
        <v>22199286.375928421</v>
      </c>
      <c r="J393" s="40">
        <v>24275416.981995799</v>
      </c>
      <c r="K393" s="239">
        <v>26300815.250844281</v>
      </c>
      <c r="L393" s="239">
        <f t="shared" si="39"/>
        <v>-82.399214443333278</v>
      </c>
      <c r="M393" s="40">
        <f t="shared" si="40"/>
        <v>-597.85398836085005</v>
      </c>
      <c r="N393" s="239">
        <f t="shared" si="41"/>
        <v>-1260.0841181131084</v>
      </c>
    </row>
    <row r="394" spans="1:14" x14ac:dyDescent="0.2">
      <c r="A394" s="256" t="s">
        <v>459</v>
      </c>
      <c r="B394">
        <v>16060013</v>
      </c>
      <c r="C394" s="288">
        <v>25.3247061989637</v>
      </c>
      <c r="D394" s="40">
        <v>45.5101732183359</v>
      </c>
      <c r="E394" s="239">
        <v>76.4308169037499</v>
      </c>
      <c r="F394" s="288">
        <v>14.97752763987622</v>
      </c>
      <c r="G394" s="40">
        <v>21.733525124593275</v>
      </c>
      <c r="H394" s="239">
        <v>30.936458425602702</v>
      </c>
      <c r="I394" s="288">
        <v>4923485.5062215896</v>
      </c>
      <c r="J394" s="40">
        <v>5371061.4209230598</v>
      </c>
      <c r="K394" s="239">
        <v>5838965.3933930201</v>
      </c>
      <c r="L394" s="239">
        <f t="shared" si="39"/>
        <v>9.3729583790763584</v>
      </c>
      <c r="M394" s="40">
        <f t="shared" si="40"/>
        <v>27.480552505670435</v>
      </c>
      <c r="N394" s="239">
        <f t="shared" si="41"/>
        <v>57.019478516346574</v>
      </c>
    </row>
    <row r="395" spans="1:14" x14ac:dyDescent="0.2">
      <c r="A395" s="256" t="s">
        <v>459</v>
      </c>
      <c r="B395">
        <v>18090208</v>
      </c>
      <c r="C395" s="288">
        <v>24.2377651166371</v>
      </c>
      <c r="D395" s="40">
        <v>41.909738130486701</v>
      </c>
      <c r="E395" s="239">
        <v>68.887210660829993</v>
      </c>
      <c r="F395" s="288">
        <v>446.44004728997942</v>
      </c>
      <c r="G395" s="40">
        <v>564.10930081410891</v>
      </c>
      <c r="H395" s="239">
        <v>707.04459770771189</v>
      </c>
      <c r="I395" s="288">
        <v>0</v>
      </c>
      <c r="J395" s="40">
        <v>0</v>
      </c>
      <c r="K395" s="239">
        <v>0</v>
      </c>
      <c r="L395" s="239">
        <f t="shared" si="39"/>
        <v>-583.34658098992304</v>
      </c>
      <c r="M395" s="40">
        <f t="shared" si="40"/>
        <v>-721.5103810378165</v>
      </c>
      <c r="N395" s="239">
        <f t="shared" si="41"/>
        <v>-881.7264746911552</v>
      </c>
    </row>
    <row r="396" spans="1:14" x14ac:dyDescent="0.2">
      <c r="A396" s="256" t="s">
        <v>459</v>
      </c>
      <c r="B396">
        <v>16060003</v>
      </c>
      <c r="C396" s="288">
        <v>18.854634640678398</v>
      </c>
      <c r="D396" s="40">
        <v>38.817160026009901</v>
      </c>
      <c r="E396" s="239">
        <v>71.040216339051995</v>
      </c>
      <c r="F396" s="288">
        <v>10.954488847920082</v>
      </c>
      <c r="G396" s="40">
        <v>15.835204748132826</v>
      </c>
      <c r="H396" s="239">
        <v>22.173978071415508</v>
      </c>
      <c r="I396" s="288">
        <v>12602172.90105447</v>
      </c>
      <c r="J396" s="40">
        <v>19226978.004610445</v>
      </c>
      <c r="K396" s="239">
        <v>49036167.912910365</v>
      </c>
      <c r="L396" s="239">
        <f t="shared" si="39"/>
        <v>-1.6867344202283974</v>
      </c>
      <c r="M396" s="40">
        <f t="shared" si="40"/>
        <v>12.526628268670343</v>
      </c>
      <c r="N396" s="239">
        <f t="shared" si="41"/>
        <v>18.481119943816758</v>
      </c>
    </row>
    <row r="397" spans="1:14" x14ac:dyDescent="0.2">
      <c r="A397" s="256" t="s">
        <v>459</v>
      </c>
      <c r="B397">
        <v>3050105</v>
      </c>
      <c r="C397" s="288">
        <v>1383.9779122003299</v>
      </c>
      <c r="D397" s="40">
        <v>2158.92921583523</v>
      </c>
      <c r="E397" s="239">
        <v>2837.9472738056602</v>
      </c>
      <c r="F397" s="288">
        <v>58.531468115121456</v>
      </c>
      <c r="G397" s="40">
        <v>61.800327808039512</v>
      </c>
      <c r="H397" s="239">
        <v>64.844308562345262</v>
      </c>
      <c r="I397" s="288">
        <v>5641658.7436765898</v>
      </c>
      <c r="J397" s="40">
        <v>8953939.5431325138</v>
      </c>
      <c r="K397" s="239">
        <v>12991490.357235583</v>
      </c>
      <c r="L397" s="239">
        <f t="shared" si="39"/>
        <v>1825.6953190249781</v>
      </c>
      <c r="M397" s="40">
        <f t="shared" si="40"/>
        <v>2888.5978226796783</v>
      </c>
      <c r="N397" s="239">
        <f t="shared" si="41"/>
        <v>3818.5371436910727</v>
      </c>
    </row>
    <row r="398" spans="1:14" x14ac:dyDescent="0.2">
      <c r="A398" s="256" t="s">
        <v>459</v>
      </c>
      <c r="B398">
        <v>16040201</v>
      </c>
      <c r="C398" s="288">
        <v>76.411819500233193</v>
      </c>
      <c r="D398" s="40">
        <v>149.30091843881101</v>
      </c>
      <c r="E398" s="239">
        <v>232.85391706466399</v>
      </c>
      <c r="F398" s="288">
        <v>170.91054383029214</v>
      </c>
      <c r="G398" s="40">
        <v>242.05742339987904</v>
      </c>
      <c r="H398" s="239">
        <v>326.79857580375329</v>
      </c>
      <c r="I398" s="288">
        <v>30329777.237026993</v>
      </c>
      <c r="J398" s="40">
        <v>34810209.497471385</v>
      </c>
      <c r="K398" s="239">
        <v>39804593.895523153</v>
      </c>
      <c r="L398" s="239">
        <f t="shared" si="39"/>
        <v>-160.89635651292116</v>
      </c>
      <c r="M398" s="40">
        <f t="shared" si="40"/>
        <v>-162.96960682493165</v>
      </c>
      <c r="N398" s="239">
        <f t="shared" si="41"/>
        <v>-169.60563427742431</v>
      </c>
    </row>
    <row r="399" spans="1:14" x14ac:dyDescent="0.2">
      <c r="A399" s="256" t="s">
        <v>459</v>
      </c>
      <c r="B399">
        <v>14030005</v>
      </c>
      <c r="C399" s="288">
        <v>3001.5369779043899</v>
      </c>
      <c r="D399" s="40">
        <v>4904.1225473735803</v>
      </c>
      <c r="E399" s="239">
        <v>6785.6849397174101</v>
      </c>
      <c r="F399" s="288">
        <v>15.985469089146431</v>
      </c>
      <c r="G399" s="40">
        <v>21.476877681869269</v>
      </c>
      <c r="H399" s="239">
        <v>29.069760474353551</v>
      </c>
      <c r="I399" s="288">
        <v>253458.36282697099</v>
      </c>
      <c r="J399" s="40">
        <v>277827.54117581103</v>
      </c>
      <c r="K399" s="239">
        <v>301790.97553201899</v>
      </c>
      <c r="L399" s="239">
        <f t="shared" si="39"/>
        <v>4124.8101392840235</v>
      </c>
      <c r="M399" s="40">
        <f t="shared" si="40"/>
        <v>6745.9544356717097</v>
      </c>
      <c r="N399" s="239">
        <f t="shared" si="41"/>
        <v>9335.1483718869786</v>
      </c>
    </row>
    <row r="400" spans="1:14" x14ac:dyDescent="0.2">
      <c r="A400" s="256" t="s">
        <v>459</v>
      </c>
      <c r="B400">
        <v>3050102</v>
      </c>
      <c r="C400" s="288">
        <v>398.23200511401001</v>
      </c>
      <c r="D400" s="40">
        <v>606.96022658261802</v>
      </c>
      <c r="E400" s="239">
        <v>801.95652377365002</v>
      </c>
      <c r="F400" s="288">
        <v>15.470661658546947</v>
      </c>
      <c r="G400" s="40">
        <v>17.788654327620574</v>
      </c>
      <c r="H400" s="239">
        <v>20.202455104925662</v>
      </c>
      <c r="I400" s="288">
        <v>700606.32064829394</v>
      </c>
      <c r="J400" s="40">
        <v>767537.19033624697</v>
      </c>
      <c r="K400" s="239">
        <v>833662.78108524997</v>
      </c>
      <c r="L400" s="239">
        <f t="shared" si="39"/>
        <v>528.15139298754491</v>
      </c>
      <c r="M400" s="40">
        <f t="shared" si="40"/>
        <v>813.2764336811947</v>
      </c>
      <c r="N400" s="239">
        <f t="shared" si="41"/>
        <v>1079.2968395586192</v>
      </c>
    </row>
    <row r="401" spans="1:14" x14ac:dyDescent="0.2">
      <c r="A401" s="256" t="s">
        <v>459</v>
      </c>
      <c r="B401">
        <v>16060010</v>
      </c>
      <c r="C401" s="288">
        <v>35.461821308895303</v>
      </c>
      <c r="D401" s="40">
        <v>50.579269808178303</v>
      </c>
      <c r="E401" s="239">
        <v>73.112230436768897</v>
      </c>
      <c r="F401" s="288">
        <v>19.038992448253023</v>
      </c>
      <c r="G401" s="40">
        <v>23.621536543144305</v>
      </c>
      <c r="H401" s="239">
        <v>29.521855179638397</v>
      </c>
      <c r="I401" s="288">
        <v>3907981.8470785301</v>
      </c>
      <c r="J401" s="40">
        <v>4284302.1047777897</v>
      </c>
      <c r="K401" s="239">
        <v>4647432.1803099699</v>
      </c>
      <c r="L401" s="239">
        <f t="shared" si="39"/>
        <v>18.783039662144368</v>
      </c>
      <c r="M401" s="40">
        <f t="shared" si="40"/>
        <v>32.962539504996933</v>
      </c>
      <c r="N401" s="239">
        <f t="shared" si="41"/>
        <v>55.580324617733091</v>
      </c>
    </row>
    <row r="402" spans="1:14" ht="16" thickBot="1" x14ac:dyDescent="0.25">
      <c r="A402" s="257" t="s">
        <v>459</v>
      </c>
      <c r="B402" s="210">
        <v>11140205</v>
      </c>
      <c r="C402" s="289">
        <v>292.69075230382299</v>
      </c>
      <c r="D402" s="249">
        <v>538.96323305230499</v>
      </c>
      <c r="E402" s="240">
        <v>899.80116678150102</v>
      </c>
      <c r="F402" s="289">
        <v>9.8669451128629131</v>
      </c>
      <c r="G402" s="249">
        <v>13.47776866926815</v>
      </c>
      <c r="H402" s="240">
        <v>17.405623569452217</v>
      </c>
      <c r="I402" s="289">
        <v>3314052.43424983</v>
      </c>
      <c r="J402" s="249">
        <v>3621992.3970981999</v>
      </c>
      <c r="K402" s="240">
        <v>3935422.7909373799</v>
      </c>
      <c r="L402" s="240">
        <f t="shared" si="39"/>
        <v>387.45669399118668</v>
      </c>
      <c r="M402" s="249">
        <f t="shared" si="40"/>
        <v>722.42843876066433</v>
      </c>
      <c r="N402" s="240">
        <f t="shared" si="41"/>
        <v>1215.2489467576818</v>
      </c>
    </row>
    <row r="403" spans="1:14" x14ac:dyDescent="0.2">
      <c r="A403" s="252" t="s">
        <v>460</v>
      </c>
      <c r="B403" s="253">
        <v>16060011</v>
      </c>
      <c r="C403" s="287" cm="1">
        <f t="array" ref="C403:E415">$W$43:$Y$55</f>
        <v>34.292178908256801</v>
      </c>
      <c r="D403" s="254">
        <v>48.777653477418902</v>
      </c>
      <c r="E403" s="255">
        <v>72.614002580784103</v>
      </c>
      <c r="F403" s="287" cm="1">
        <f t="array" ref="F403:H415">K169:M181</f>
        <v>51.64595508773963</v>
      </c>
      <c r="G403" s="254">
        <v>69.723187601115171</v>
      </c>
      <c r="H403" s="255">
        <v>90.435766200318824</v>
      </c>
      <c r="I403" s="287" cm="1">
        <f t="array" ref="I403:K415">$B$203:$D$215</f>
        <v>28572915.147869598</v>
      </c>
      <c r="J403" s="254">
        <v>36784589.510791823</v>
      </c>
      <c r="K403" s="255">
        <v>63986855.731934547</v>
      </c>
      <c r="L403" s="255">
        <f t="shared" si="39"/>
        <v>-52.550203829150092</v>
      </c>
      <c r="M403" s="254">
        <f t="shared" si="40"/>
        <v>-65.724522414919207</v>
      </c>
      <c r="N403" s="255">
        <f t="shared" si="41"/>
        <v>-88.610751228543478</v>
      </c>
    </row>
    <row r="404" spans="1:14" x14ac:dyDescent="0.2">
      <c r="A404" s="256" t="s">
        <v>460</v>
      </c>
      <c r="B404">
        <v>15030202</v>
      </c>
      <c r="C404" s="288">
        <v>42.725163259414202</v>
      </c>
      <c r="D404" s="40">
        <v>67.688069894413402</v>
      </c>
      <c r="E404" s="239">
        <v>98.437227743597703</v>
      </c>
      <c r="F404" s="288">
        <v>92.580192316922705</v>
      </c>
      <c r="G404" s="40">
        <v>114.24726546643203</v>
      </c>
      <c r="H404" s="239">
        <v>138.21928452500197</v>
      </c>
      <c r="I404" s="288">
        <v>366842.57135850086</v>
      </c>
      <c r="J404" s="40">
        <v>1927238.7365708405</v>
      </c>
      <c r="K404" s="239">
        <v>9736611.9085476827</v>
      </c>
      <c r="L404" s="239">
        <f t="shared" si="39"/>
        <v>-69.250318511240863</v>
      </c>
      <c r="M404" s="40">
        <f t="shared" si="40"/>
        <v>-66.256942050270993</v>
      </c>
      <c r="N404" s="239">
        <f t="shared" si="41"/>
        <v>-64.702508086842712</v>
      </c>
    </row>
    <row r="405" spans="1:14" x14ac:dyDescent="0.2">
      <c r="A405" s="256" t="s">
        <v>460</v>
      </c>
      <c r="B405">
        <v>15030201</v>
      </c>
      <c r="C405" s="288">
        <v>75.648371966438702</v>
      </c>
      <c r="D405" s="40">
        <v>140.768827928652</v>
      </c>
      <c r="E405" s="239">
        <v>218.153538533823</v>
      </c>
      <c r="F405" s="288">
        <v>92.694847075894756</v>
      </c>
      <c r="G405" s="40">
        <v>114.03017853685866</v>
      </c>
      <c r="H405" s="239">
        <v>137.45505378165888</v>
      </c>
      <c r="I405" s="288">
        <v>234256.73678805656</v>
      </c>
      <c r="J405" s="40">
        <v>1154893.0353673985</v>
      </c>
      <c r="K405" s="239">
        <v>5512974.9020288968</v>
      </c>
      <c r="L405" s="239">
        <f t="shared" si="39"/>
        <v>-23.786955035439917</v>
      </c>
      <c r="M405" s="40">
        <f t="shared" si="40"/>
        <v>35.789245737873408</v>
      </c>
      <c r="N405" s="239">
        <f t="shared" si="41"/>
        <v>105.98615041988219</v>
      </c>
    </row>
    <row r="406" spans="1:14" x14ac:dyDescent="0.2">
      <c r="A406" s="256" t="s">
        <v>460</v>
      </c>
      <c r="B406">
        <v>18100204</v>
      </c>
      <c r="C406" s="288">
        <v>452.96883820272501</v>
      </c>
      <c r="D406" s="40">
        <v>460.812445862939</v>
      </c>
      <c r="E406" s="239">
        <v>472.42661716664702</v>
      </c>
      <c r="F406" s="288">
        <v>1598.8611079723869</v>
      </c>
      <c r="G406" s="40">
        <v>2450.1776809907565</v>
      </c>
      <c r="H406" s="239">
        <v>3402.141775676118</v>
      </c>
      <c r="I406" s="288">
        <v>22199286.375928421</v>
      </c>
      <c r="J406" s="40">
        <v>24275416.981995799</v>
      </c>
      <c r="K406" s="239">
        <v>26300815.250844281</v>
      </c>
      <c r="L406" s="239">
        <f t="shared" si="39"/>
        <v>-1605.4506471027526</v>
      </c>
      <c r="M406" s="40">
        <f t="shared" si="40"/>
        <v>-2772.9327721205168</v>
      </c>
      <c r="N406" s="239">
        <f t="shared" si="41"/>
        <v>-4074.2166914828322</v>
      </c>
    </row>
    <row r="407" spans="1:14" x14ac:dyDescent="0.2">
      <c r="A407" s="256" t="s">
        <v>460</v>
      </c>
      <c r="B407">
        <v>16060013</v>
      </c>
      <c r="C407" s="288">
        <v>26.200462738616299</v>
      </c>
      <c r="D407" s="40">
        <v>47.4214569582198</v>
      </c>
      <c r="E407" s="239">
        <v>78.651213450861206</v>
      </c>
      <c r="F407" s="288">
        <v>51.940163151187477</v>
      </c>
      <c r="G407" s="40">
        <v>69.578746192933664</v>
      </c>
      <c r="H407" s="239">
        <v>90.235824414617625</v>
      </c>
      <c r="I407" s="288">
        <v>4923485.5062215896</v>
      </c>
      <c r="J407" s="40">
        <v>5371061.4209230598</v>
      </c>
      <c r="K407" s="239">
        <v>5838965.3933930201</v>
      </c>
      <c r="L407" s="239">
        <f t="shared" si="39"/>
        <v>-40.487400874195785</v>
      </c>
      <c r="M407" s="40">
        <f t="shared" si="40"/>
        <v>-35.98524676482991</v>
      </c>
      <c r="N407" s="239">
        <f t="shared" si="41"/>
        <v>-21.84513940794071</v>
      </c>
    </row>
    <row r="408" spans="1:14" x14ac:dyDescent="0.2">
      <c r="A408" s="256" t="s">
        <v>460</v>
      </c>
      <c r="B408">
        <v>18090208</v>
      </c>
      <c r="C408" s="288">
        <v>25.678674683894901</v>
      </c>
      <c r="D408" s="40">
        <v>36.489478692658501</v>
      </c>
      <c r="E408" s="239">
        <v>48.873336291130897</v>
      </c>
      <c r="F408" s="288">
        <v>933.48515140385962</v>
      </c>
      <c r="G408" s="40">
        <v>1359.9352124109175</v>
      </c>
      <c r="H408" s="239">
        <v>1982.1871302076383</v>
      </c>
      <c r="I408" s="288">
        <v>0</v>
      </c>
      <c r="J408" s="40">
        <v>0</v>
      </c>
      <c r="K408" s="239">
        <v>0</v>
      </c>
      <c r="L408" s="239">
        <f t="shared" si="39"/>
        <v>-1254.2940357145615</v>
      </c>
      <c r="M408" s="40">
        <f t="shared" si="40"/>
        <v>-1828.5726451219832</v>
      </c>
      <c r="N408" s="239">
        <f t="shared" si="41"/>
        <v>-2671.2124478730716</v>
      </c>
    </row>
    <row r="409" spans="1:14" x14ac:dyDescent="0.2">
      <c r="A409" s="256" t="s">
        <v>460</v>
      </c>
      <c r="B409">
        <v>16060003</v>
      </c>
      <c r="C409" s="288">
        <v>22.2096310595144</v>
      </c>
      <c r="D409" s="40">
        <v>45.950180539998797</v>
      </c>
      <c r="E409" s="239">
        <v>84.133777726252902</v>
      </c>
      <c r="F409" s="288">
        <v>37.581304911520689</v>
      </c>
      <c r="G409" s="40">
        <v>50.271446499219032</v>
      </c>
      <c r="H409" s="239">
        <v>64.348873775629997</v>
      </c>
      <c r="I409" s="288">
        <v>12602172.90105447</v>
      </c>
      <c r="J409" s="40">
        <v>19226978.004610445</v>
      </c>
      <c r="K409" s="239">
        <v>49036167.912910365</v>
      </c>
      <c r="L409" s="239">
        <f t="shared" si="39"/>
        <v>-33.840839209301734</v>
      </c>
      <c r="M409" s="40">
        <f t="shared" si="40"/>
        <v>-25.197565633561982</v>
      </c>
      <c r="N409" s="239">
        <f t="shared" si="41"/>
        <v>-21.699849370531307</v>
      </c>
    </row>
    <row r="410" spans="1:14" x14ac:dyDescent="0.2">
      <c r="A410" s="256" t="s">
        <v>460</v>
      </c>
      <c r="B410">
        <v>3050105</v>
      </c>
      <c r="C410" s="288">
        <v>2001.4934013228001</v>
      </c>
      <c r="D410" s="40">
        <v>2574.8867998783298</v>
      </c>
      <c r="E410" s="239">
        <v>3256.7323646238701</v>
      </c>
      <c r="F410" s="288">
        <v>59.035128977418665</v>
      </c>
      <c r="G410" s="40">
        <v>61.940230372336394</v>
      </c>
      <c r="H410" s="239">
        <v>64.806830045049566</v>
      </c>
      <c r="I410" s="288">
        <v>5641658.7436765898</v>
      </c>
      <c r="J410" s="40">
        <v>8953939.5431325138</v>
      </c>
      <c r="K410" s="239">
        <v>12991490.357235583</v>
      </c>
      <c r="L410" s="239">
        <f t="shared" si="39"/>
        <v>2678.205491620723</v>
      </c>
      <c r="M410" s="40">
        <f t="shared" si="40"/>
        <v>3463.1229568338022</v>
      </c>
      <c r="N410" s="239">
        <f t="shared" si="41"/>
        <v>4397.2140580024297</v>
      </c>
    </row>
    <row r="411" spans="1:14" x14ac:dyDescent="0.2">
      <c r="A411" s="256" t="s">
        <v>460</v>
      </c>
      <c r="B411">
        <v>16040201</v>
      </c>
      <c r="C411" s="288">
        <v>92.491080287871299</v>
      </c>
      <c r="D411" s="40">
        <v>160.84855202638599</v>
      </c>
      <c r="E411" s="239">
        <v>235.85873276163201</v>
      </c>
      <c r="F411" s="288">
        <v>393.83018428393331</v>
      </c>
      <c r="G411" s="40">
        <v>522.81010116258494</v>
      </c>
      <c r="H411" s="239">
        <v>675.63159320436694</v>
      </c>
      <c r="I411" s="288">
        <v>30329777.237026993</v>
      </c>
      <c r="J411" s="40">
        <v>34810209.497471385</v>
      </c>
      <c r="K411" s="239">
        <v>39804593.895523153</v>
      </c>
      <c r="L411" s="239">
        <f t="shared" si="39"/>
        <v>-446.68265702202547</v>
      </c>
      <c r="M411" s="40">
        <f t="shared" si="40"/>
        <v>-534.92364102962699</v>
      </c>
      <c r="N411" s="239">
        <f t="shared" si="41"/>
        <v>-647.42801371896473</v>
      </c>
    </row>
    <row r="412" spans="1:14" x14ac:dyDescent="0.2">
      <c r="A412" s="256" t="s">
        <v>460</v>
      </c>
      <c r="B412">
        <v>14030005</v>
      </c>
      <c r="C412" s="288">
        <v>6978.3817289241997</v>
      </c>
      <c r="D412" s="40">
        <v>10205.0403817693</v>
      </c>
      <c r="E412" s="239">
        <v>14032.3727904728</v>
      </c>
      <c r="F412" s="288">
        <v>21.875081080458742</v>
      </c>
      <c r="G412" s="40">
        <v>26.991414033405647</v>
      </c>
      <c r="H412" s="239">
        <v>33.065793470583351</v>
      </c>
      <c r="I412" s="288">
        <v>253458.36282697099</v>
      </c>
      <c r="J412" s="40">
        <v>277827.54117581103</v>
      </c>
      <c r="K412" s="239">
        <v>301790.97553201899</v>
      </c>
      <c r="L412" s="239">
        <f t="shared" si="39"/>
        <v>9611.3818643169616</v>
      </c>
      <c r="M412" s="40">
        <f t="shared" si="40"/>
        <v>14062.48383237585</v>
      </c>
      <c r="N412" s="239">
        <f t="shared" si="41"/>
        <v>19342.198753767319</v>
      </c>
    </row>
    <row r="413" spans="1:14" x14ac:dyDescent="0.2">
      <c r="A413" s="256" t="s">
        <v>460</v>
      </c>
      <c r="B413">
        <v>3050102</v>
      </c>
      <c r="C413" s="288">
        <v>527.68230095035801</v>
      </c>
      <c r="D413" s="40">
        <v>702.59074967037998</v>
      </c>
      <c r="E413" s="239">
        <v>910.03330977642497</v>
      </c>
      <c r="F413" s="288">
        <v>15.625704267344593</v>
      </c>
      <c r="G413" s="40">
        <v>17.624407550964303</v>
      </c>
      <c r="H413" s="239">
        <v>19.758177953745165</v>
      </c>
      <c r="I413" s="288">
        <v>700606.32064829394</v>
      </c>
      <c r="J413" s="40">
        <v>767537.19033624697</v>
      </c>
      <c r="K413" s="239">
        <v>833662.78108524997</v>
      </c>
      <c r="L413" s="239">
        <f t="shared" si="39"/>
        <v>706.7954863360294</v>
      </c>
      <c r="M413" s="40">
        <f t="shared" si="40"/>
        <v>945.6337274160062</v>
      </c>
      <c r="N413" s="239">
        <f t="shared" si="41"/>
        <v>1229.2377418919236</v>
      </c>
    </row>
    <row r="414" spans="1:14" x14ac:dyDescent="0.2">
      <c r="A414" s="256" t="s">
        <v>460</v>
      </c>
      <c r="B414">
        <v>16060010</v>
      </c>
      <c r="C414" s="288">
        <v>38.201812534020902</v>
      </c>
      <c r="D414" s="40">
        <v>57.399868949638602</v>
      </c>
      <c r="E414" s="239">
        <v>86.368223839144306</v>
      </c>
      <c r="F414" s="288">
        <v>40.723557427628457</v>
      </c>
      <c r="G414" s="40">
        <v>51.585989806762612</v>
      </c>
      <c r="H414" s="239">
        <v>63.01052138308232</v>
      </c>
      <c r="I414" s="288">
        <v>3907981.8470785301</v>
      </c>
      <c r="J414" s="40">
        <v>4284302.1047777897</v>
      </c>
      <c r="K414" s="239">
        <v>4647432.1803099699</v>
      </c>
      <c r="L414" s="239">
        <f t="shared" si="39"/>
        <v>-7.3922151729675614</v>
      </c>
      <c r="M414" s="40">
        <f t="shared" si="40"/>
        <v>3.7485927029601092</v>
      </c>
      <c r="N414" s="239">
        <f t="shared" si="41"/>
        <v>27.625334791445646</v>
      </c>
    </row>
    <row r="415" spans="1:14" ht="16" thickBot="1" x14ac:dyDescent="0.25">
      <c r="A415" s="257" t="s">
        <v>460</v>
      </c>
      <c r="B415" s="210">
        <v>11140205</v>
      </c>
      <c r="C415" s="289">
        <v>537.23069856021698</v>
      </c>
      <c r="D415" s="249">
        <v>748.14577591861701</v>
      </c>
      <c r="E415" s="240">
        <v>1004.72716360987</v>
      </c>
      <c r="F415" s="289">
        <v>7.7810898703602049</v>
      </c>
      <c r="G415" s="249">
        <v>9.4494966123267155</v>
      </c>
      <c r="H415" s="240">
        <v>11.67544714946732</v>
      </c>
      <c r="I415" s="289">
        <v>3314052.43424983</v>
      </c>
      <c r="J415" s="249">
        <v>3621992.3970981999</v>
      </c>
      <c r="K415" s="240">
        <v>3935422.7909373799</v>
      </c>
      <c r="L415" s="240">
        <f t="shared" si="39"/>
        <v>728.21354008803758</v>
      </c>
      <c r="M415" s="249">
        <f t="shared" si="40"/>
        <v>1017.0166140668567</v>
      </c>
      <c r="N415" s="240">
        <f t="shared" si="41"/>
        <v>1368.1398785583613</v>
      </c>
    </row>
    <row r="416" spans="1:14" x14ac:dyDescent="0.2">
      <c r="A416" s="256" t="s">
        <v>461</v>
      </c>
      <c r="B416">
        <v>16060011</v>
      </c>
      <c r="C416" s="288" cm="1">
        <f t="array" ref="C416:E428">$AC$43:$AE$55</f>
        <v>43.782501794978998</v>
      </c>
      <c r="D416" s="40">
        <v>84.642612800855304</v>
      </c>
      <c r="E416" s="239">
        <v>150.74858329788199</v>
      </c>
      <c r="F416" s="288" cm="1">
        <f t="array" ref="F416:H428">N169:P181</f>
        <v>17.423216632057301</v>
      </c>
      <c r="G416" s="40">
        <v>30.832919688982809</v>
      </c>
      <c r="H416" s="239">
        <v>49.513045856411793</v>
      </c>
      <c r="I416" s="288" cm="1">
        <f t="array" ref="I416:K428">$B$203:$D$215</f>
        <v>28572915.147869598</v>
      </c>
      <c r="J416" s="40">
        <v>36784589.510791823</v>
      </c>
      <c r="K416" s="239">
        <v>63986855.731934547</v>
      </c>
      <c r="L416" s="239">
        <f t="shared" si="39"/>
        <v>7.8470653363089617</v>
      </c>
      <c r="M416" s="40">
        <f t="shared" si="40"/>
        <v>37.562949160352183</v>
      </c>
      <c r="N416" s="239">
        <f t="shared" si="41"/>
        <v>75.887813673364349</v>
      </c>
    </row>
    <row r="417" spans="1:14" x14ac:dyDescent="0.2">
      <c r="A417" s="256" t="s">
        <v>461</v>
      </c>
      <c r="B417">
        <v>15030202</v>
      </c>
      <c r="C417" s="288">
        <v>41.321261015985897</v>
      </c>
      <c r="D417" s="40">
        <v>83.147186782589401</v>
      </c>
      <c r="E417" s="239">
        <v>145.80377498727501</v>
      </c>
      <c r="F417" s="288">
        <v>67.538396410035503</v>
      </c>
      <c r="G417" s="40">
        <v>83.434039546926272</v>
      </c>
      <c r="H417" s="239">
        <v>103.56377629415934</v>
      </c>
      <c r="I417" s="288">
        <v>366842.57135850086</v>
      </c>
      <c r="J417" s="40">
        <v>1927238.7365708405</v>
      </c>
      <c r="K417" s="239">
        <v>9736611.9085476827</v>
      </c>
      <c r="L417" s="239">
        <f t="shared" si="39"/>
        <v>-36.59041819189401</v>
      </c>
      <c r="M417" s="40">
        <f t="shared" si="40"/>
        <v>-2.3235761946775204</v>
      </c>
      <c r="N417" s="239">
        <f t="shared" si="41"/>
        <v>48.625362573938034</v>
      </c>
    </row>
    <row r="418" spans="1:14" x14ac:dyDescent="0.2">
      <c r="A418" s="256" t="s">
        <v>461</v>
      </c>
      <c r="B418">
        <v>15030201</v>
      </c>
      <c r="C418" s="288">
        <v>78.715689669594596</v>
      </c>
      <c r="D418" s="40">
        <v>178.39934308884801</v>
      </c>
      <c r="E418" s="239">
        <v>334.77129497235097</v>
      </c>
      <c r="F418" s="288">
        <v>67.853279759003769</v>
      </c>
      <c r="G418" s="40">
        <v>83.843164025623182</v>
      </c>
      <c r="H418" s="239">
        <v>103.79027458240414</v>
      </c>
      <c r="I418" s="288">
        <v>234256.73678805656</v>
      </c>
      <c r="J418" s="40">
        <v>1154893.0353673985</v>
      </c>
      <c r="K418" s="239">
        <v>5512974.9020288968</v>
      </c>
      <c r="L418" s="239">
        <f t="shared" si="39"/>
        <v>14.774069722358451</v>
      </c>
      <c r="M418" s="40">
        <f t="shared" si="40"/>
        <v>129.49107004201045</v>
      </c>
      <c r="N418" s="239">
        <f t="shared" si="41"/>
        <v>313.62785926029937</v>
      </c>
    </row>
    <row r="419" spans="1:14" x14ac:dyDescent="0.2">
      <c r="A419" s="256" t="s">
        <v>461</v>
      </c>
      <c r="B419">
        <v>18100204</v>
      </c>
      <c r="C419" s="288">
        <v>447.98603382843498</v>
      </c>
      <c r="D419" s="40">
        <v>449.02413280989299</v>
      </c>
      <c r="E419" s="239">
        <v>450.559366817951</v>
      </c>
      <c r="F419" s="288">
        <v>722.21587959573549</v>
      </c>
      <c r="G419" s="40">
        <v>1528.6665890387899</v>
      </c>
      <c r="H419" s="239">
        <v>2672.4790006022595</v>
      </c>
      <c r="I419" s="288">
        <v>22199286.375928421</v>
      </c>
      <c r="J419" s="40">
        <v>24275416.981995799</v>
      </c>
      <c r="K419" s="239">
        <v>26300815.250844281</v>
      </c>
      <c r="L419" s="239">
        <f t="shared" si="39"/>
        <v>-401.09596620976652</v>
      </c>
      <c r="M419" s="40">
        <f t="shared" si="40"/>
        <v>-1515.9910284909645</v>
      </c>
      <c r="N419" s="239">
        <f t="shared" si="41"/>
        <v>-3096.2729028728199</v>
      </c>
    </row>
    <row r="420" spans="1:14" x14ac:dyDescent="0.2">
      <c r="A420" s="256" t="s">
        <v>461</v>
      </c>
      <c r="B420">
        <v>16060013</v>
      </c>
      <c r="C420" s="288">
        <v>32.695664113878003</v>
      </c>
      <c r="D420" s="40">
        <v>77.061769772062206</v>
      </c>
      <c r="E420" s="239">
        <v>147.51134257099599</v>
      </c>
      <c r="F420" s="288">
        <v>17.416313297375215</v>
      </c>
      <c r="G420" s="40">
        <v>30.651831001431884</v>
      </c>
      <c r="H420" s="239">
        <v>49.634206681286273</v>
      </c>
      <c r="I420" s="288">
        <v>4923485.5062215896</v>
      </c>
      <c r="J420" s="40">
        <v>5371061.4209230598</v>
      </c>
      <c r="K420" s="239">
        <v>5838965.3933930201</v>
      </c>
      <c r="L420" s="239">
        <f t="shared" si="39"/>
        <v>16.18762031886024</v>
      </c>
      <c r="M420" s="40">
        <f t="shared" si="40"/>
        <v>58.752417415895614</v>
      </c>
      <c r="N420" s="239">
        <f t="shared" si="41"/>
        <v>129.39548261678235</v>
      </c>
    </row>
    <row r="421" spans="1:14" x14ac:dyDescent="0.2">
      <c r="A421" s="256" t="s">
        <v>461</v>
      </c>
      <c r="B421">
        <v>18090208</v>
      </c>
      <c r="C421" s="288">
        <v>16.467427421284999</v>
      </c>
      <c r="D421" s="40">
        <v>22.299267642821899</v>
      </c>
      <c r="E421" s="239">
        <v>29.838941972324001</v>
      </c>
      <c r="F421" s="288">
        <v>511.23807374785127</v>
      </c>
      <c r="G421" s="40">
        <v>687.2349776121705</v>
      </c>
      <c r="H421" s="239">
        <v>900.52003647342076</v>
      </c>
      <c r="I421" s="288">
        <v>0</v>
      </c>
      <c r="J421" s="40">
        <v>0</v>
      </c>
      <c r="K421" s="239">
        <v>0</v>
      </c>
      <c r="L421" s="239">
        <f t="shared" si="39"/>
        <v>-683.61251725844022</v>
      </c>
      <c r="M421" s="40">
        <f t="shared" si="40"/>
        <v>-918.72542941270171</v>
      </c>
      <c r="N421" s="239">
        <f t="shared" si="41"/>
        <v>-1202.9988018900574</v>
      </c>
    </row>
    <row r="422" spans="1:14" x14ac:dyDescent="0.2">
      <c r="A422" s="256" t="s">
        <v>461</v>
      </c>
      <c r="B422">
        <v>16060003</v>
      </c>
      <c r="C422" s="288">
        <v>35.124945282848799</v>
      </c>
      <c r="D422" s="40">
        <v>95.999086090166102</v>
      </c>
      <c r="E422" s="239">
        <v>195.16026273795899</v>
      </c>
      <c r="F422" s="288">
        <v>12.659288787617283</v>
      </c>
      <c r="G422" s="40">
        <v>22.659246443240431</v>
      </c>
      <c r="H422" s="239">
        <v>36.608723173654177</v>
      </c>
      <c r="I422" s="288">
        <v>12602172.90105447</v>
      </c>
      <c r="J422" s="40">
        <v>19226978.004610445</v>
      </c>
      <c r="K422" s="239">
        <v>49036167.912910365</v>
      </c>
      <c r="L422" s="239">
        <f t="shared" si="39"/>
        <v>18.438075954840556</v>
      </c>
      <c r="M422" s="40">
        <f t="shared" si="40"/>
        <v>82.104887110268749</v>
      </c>
      <c r="N422" s="239">
        <f t="shared" si="41"/>
        <v>170.03062168239589</v>
      </c>
    </row>
    <row r="423" spans="1:14" x14ac:dyDescent="0.2">
      <c r="A423" s="256" t="s">
        <v>461</v>
      </c>
      <c r="B423">
        <v>3050105</v>
      </c>
      <c r="C423" s="288">
        <v>1992.0175945380499</v>
      </c>
      <c r="D423" s="40">
        <v>2679.1378096358999</v>
      </c>
      <c r="E423" s="239">
        <v>3377.2442024768602</v>
      </c>
      <c r="F423" s="288">
        <v>61.399120178765138</v>
      </c>
      <c r="G423" s="40">
        <v>64.49466735853818</v>
      </c>
      <c r="H423" s="239">
        <v>67.75759934347839</v>
      </c>
      <c r="I423" s="288">
        <v>5641658.7436765898</v>
      </c>
      <c r="J423" s="40">
        <v>8953939.5431325138</v>
      </c>
      <c r="K423" s="239">
        <v>12991490.357235583</v>
      </c>
      <c r="L423" s="239">
        <f t="shared" si="39"/>
        <v>2661.84673193035</v>
      </c>
      <c r="M423" s="40">
        <f t="shared" si="40"/>
        <v>3603.6346274936345</v>
      </c>
      <c r="N423" s="239">
        <f t="shared" si="41"/>
        <v>4559.6453149956569</v>
      </c>
    </row>
    <row r="424" spans="1:14" x14ac:dyDescent="0.2">
      <c r="A424" s="256" t="s">
        <v>461</v>
      </c>
      <c r="B424">
        <v>16040201</v>
      </c>
      <c r="C424" s="288">
        <v>75.787922598335498</v>
      </c>
      <c r="D424" s="40">
        <v>165.97185102847601</v>
      </c>
      <c r="E424" s="239">
        <v>298.29679195447301</v>
      </c>
      <c r="F424" s="288">
        <v>270.94652838946217</v>
      </c>
      <c r="G424" s="40">
        <v>370.30260568558055</v>
      </c>
      <c r="H424" s="239">
        <v>484.42249915657351</v>
      </c>
      <c r="I424" s="288">
        <v>30329777.237026993</v>
      </c>
      <c r="J424" s="40">
        <v>34810209.497471385</v>
      </c>
      <c r="K424" s="239">
        <v>39804593.895523153</v>
      </c>
      <c r="L424" s="239">
        <f t="shared" si="39"/>
        <v>-299.97565611049288</v>
      </c>
      <c r="M424" s="40">
        <f t="shared" si="40"/>
        <v>-317.12902242936099</v>
      </c>
      <c r="N424" s="239">
        <f t="shared" si="41"/>
        <v>-296.96993741704199</v>
      </c>
    </row>
    <row r="425" spans="1:14" x14ac:dyDescent="0.2">
      <c r="A425" s="256" t="s">
        <v>461</v>
      </c>
      <c r="B425">
        <v>14030005</v>
      </c>
      <c r="C425" s="288">
        <v>4232.9401856161603</v>
      </c>
      <c r="D425" s="40">
        <v>6874.6503169996404</v>
      </c>
      <c r="E425" s="239">
        <v>9662.7300893207594</v>
      </c>
      <c r="F425" s="288">
        <v>15.40541762957006</v>
      </c>
      <c r="G425" s="40">
        <v>23.365160452137911</v>
      </c>
      <c r="H425" s="239">
        <v>34.183577572757081</v>
      </c>
      <c r="I425" s="288">
        <v>253458.36282697099</v>
      </c>
      <c r="J425" s="40">
        <v>277827.54117581103</v>
      </c>
      <c r="K425" s="239">
        <v>301790.97553201899</v>
      </c>
      <c r="L425" s="239">
        <f t="shared" si="39"/>
        <v>5827.0113172950978</v>
      </c>
      <c r="M425" s="40">
        <f t="shared" si="40"/>
        <v>9465.9755306490861</v>
      </c>
      <c r="N425" s="239">
        <f t="shared" si="41"/>
        <v>13303.225747098222</v>
      </c>
    </row>
    <row r="426" spans="1:14" x14ac:dyDescent="0.2">
      <c r="A426" s="256" t="s">
        <v>461</v>
      </c>
      <c r="B426">
        <v>3050102</v>
      </c>
      <c r="C426" s="288">
        <v>546.29472317794102</v>
      </c>
      <c r="D426" s="40">
        <v>724.06380094471001</v>
      </c>
      <c r="E426" s="239">
        <v>900.77018810118898</v>
      </c>
      <c r="F426" s="288">
        <v>18.206144264839075</v>
      </c>
      <c r="G426" s="40">
        <v>20.561979344695079</v>
      </c>
      <c r="H426" s="239">
        <v>23.354850500234033</v>
      </c>
      <c r="I426" s="288">
        <v>700606.32064829394</v>
      </c>
      <c r="J426" s="40">
        <v>767537.19033624697</v>
      </c>
      <c r="K426" s="239">
        <v>833662.78108524997</v>
      </c>
      <c r="L426" s="239">
        <f t="shared" si="39"/>
        <v>728.94648460224369</v>
      </c>
      <c r="M426" s="40">
        <f t="shared" si="40"/>
        <v>971.24374668534108</v>
      </c>
      <c r="N426" s="239">
        <f t="shared" si="41"/>
        <v>1211.4696783161867</v>
      </c>
    </row>
    <row r="427" spans="1:14" x14ac:dyDescent="0.2">
      <c r="A427" s="256" t="s">
        <v>461</v>
      </c>
      <c r="B427">
        <v>16060010</v>
      </c>
      <c r="C427" s="288">
        <v>39.467313374893003</v>
      </c>
      <c r="D427" s="40">
        <v>66.417243470531005</v>
      </c>
      <c r="E427" s="239">
        <v>109.519462920127</v>
      </c>
      <c r="F427" s="288">
        <v>20.673275952686453</v>
      </c>
      <c r="G427" s="40">
        <v>29.400156934743904</v>
      </c>
      <c r="H427" s="239">
        <v>42.310441663150868</v>
      </c>
      <c r="I427" s="288">
        <v>3907981.8470785301</v>
      </c>
      <c r="J427" s="40">
        <v>4284302.1047777897</v>
      </c>
      <c r="K427" s="239">
        <v>4647432.1803099699</v>
      </c>
      <c r="L427" s="239">
        <f t="shared" si="39"/>
        <v>22.059280614898476</v>
      </c>
      <c r="M427" s="40">
        <f t="shared" si="40"/>
        <v>46.861302219534743</v>
      </c>
      <c r="N427" s="239">
        <f t="shared" si="41"/>
        <v>88.213630910389611</v>
      </c>
    </row>
    <row r="428" spans="1:14" ht="16" thickBot="1" x14ac:dyDescent="0.25">
      <c r="A428" s="257" t="s">
        <v>461</v>
      </c>
      <c r="B428" s="210">
        <v>11140205</v>
      </c>
      <c r="C428" s="289">
        <v>369.09988286088497</v>
      </c>
      <c r="D428" s="249">
        <v>603.24510087413796</v>
      </c>
      <c r="E428" s="240">
        <v>897.52573862153099</v>
      </c>
      <c r="F428" s="289">
        <v>10.17102900637909</v>
      </c>
      <c r="G428" s="249">
        <v>13.793830857209612</v>
      </c>
      <c r="H428" s="240">
        <v>18.219901960795305</v>
      </c>
      <c r="I428" s="289">
        <v>3314052.43424983</v>
      </c>
      <c r="J428" s="249">
        <v>3621992.3970981999</v>
      </c>
      <c r="K428" s="240">
        <v>3935422.7909373799</v>
      </c>
      <c r="L428" s="240">
        <f t="shared" si="39"/>
        <v>492.60917810076006</v>
      </c>
      <c r="M428" s="249">
        <f t="shared" si="40"/>
        <v>810.80843004047597</v>
      </c>
      <c r="N428" s="240">
        <f t="shared" si="41"/>
        <v>1210.9799746818021</v>
      </c>
    </row>
    <row r="430" spans="1:14" ht="16" thickBot="1" x14ac:dyDescent="0.25">
      <c r="A430" s="37" t="s">
        <v>489</v>
      </c>
    </row>
    <row r="431" spans="1:14" ht="16" thickBot="1" x14ac:dyDescent="0.25">
      <c r="C431" s="436" t="s">
        <v>465</v>
      </c>
      <c r="D431" s="471"/>
      <c r="E431" s="471"/>
      <c r="F431" s="471"/>
      <c r="G431" s="471"/>
      <c r="H431" s="471"/>
      <c r="I431" s="471"/>
      <c r="J431" s="471"/>
      <c r="K431" s="471"/>
      <c r="L431" s="471"/>
      <c r="M431" s="471"/>
      <c r="N431" s="437"/>
    </row>
    <row r="432" spans="1:14" ht="16" thickBot="1" x14ac:dyDescent="0.25">
      <c r="C432" s="436" t="s">
        <v>477</v>
      </c>
      <c r="D432" s="471"/>
      <c r="E432" s="437"/>
      <c r="F432" s="436" t="s">
        <v>478</v>
      </c>
      <c r="G432" s="471"/>
      <c r="H432" s="437"/>
      <c r="I432" s="436" t="s">
        <v>479</v>
      </c>
      <c r="J432" s="471"/>
      <c r="K432" s="437"/>
      <c r="L432" s="479" t="s">
        <v>480</v>
      </c>
      <c r="M432" s="479"/>
      <c r="N432" s="480"/>
    </row>
    <row r="433" spans="1:14" ht="16" thickBot="1" x14ac:dyDescent="0.25">
      <c r="A433" s="193" t="s">
        <v>407</v>
      </c>
      <c r="B433" s="195" t="s">
        <v>481</v>
      </c>
      <c r="C433" s="194" t="s">
        <v>396</v>
      </c>
      <c r="D433" s="195" t="s">
        <v>397</v>
      </c>
      <c r="E433" s="196" t="s">
        <v>398</v>
      </c>
      <c r="F433" s="194" t="s">
        <v>396</v>
      </c>
      <c r="G433" s="195" t="s">
        <v>397</v>
      </c>
      <c r="H433" s="196" t="s">
        <v>398</v>
      </c>
      <c r="I433" s="194" t="s">
        <v>396</v>
      </c>
      <c r="J433" s="195" t="s">
        <v>397</v>
      </c>
      <c r="K433" s="196" t="s">
        <v>398</v>
      </c>
      <c r="L433" s="195" t="s">
        <v>396</v>
      </c>
      <c r="M433" s="195" t="s">
        <v>397</v>
      </c>
      <c r="N433" s="196" t="s">
        <v>398</v>
      </c>
    </row>
    <row r="434" spans="1:14" x14ac:dyDescent="0.2">
      <c r="A434" s="285" t="s">
        <v>457</v>
      </c>
      <c r="B434" s="205">
        <v>16060011</v>
      </c>
      <c r="C434" s="288" cm="1">
        <f t="array" ref="C434:E446">$E$43:$G$55</f>
        <v>34.422040010501199</v>
      </c>
      <c r="D434" s="40">
        <v>50.109239529647397</v>
      </c>
      <c r="E434" s="239">
        <v>75.165521401394599</v>
      </c>
      <c r="F434" s="288" cm="1">
        <f t="array" ref="F434:H446">$B$187:$D$199</f>
        <v>55.433060298050854</v>
      </c>
      <c r="G434" s="40">
        <v>81.369865634550209</v>
      </c>
      <c r="H434" s="239">
        <v>113.34609307798165</v>
      </c>
      <c r="I434" s="288" cm="1">
        <f t="array" ref="I434:K446">$B$203:$D$215</f>
        <v>28572915.147869598</v>
      </c>
      <c r="J434" s="40">
        <v>36784589.510791823</v>
      </c>
      <c r="K434" s="239">
        <v>63986855.731934547</v>
      </c>
      <c r="L434" s="40">
        <f t="shared" ref="L434" si="42">((C434-F434)*(cubicm/gal)*(day/yr))-I434/1000000</f>
        <v>-57.603328685093913</v>
      </c>
      <c r="M434" s="40">
        <f t="shared" ref="M434" si="43">((D434-G434)*(cubicm/gal)*(day/yr))-J434/1000000</f>
        <v>-79.976633059273595</v>
      </c>
      <c r="N434" s="239">
        <f t="shared" ref="N434" si="44">((E434-H434)*(cubicm/gal)*(day/yr))-K434/1000000</f>
        <v>-116.74001905717066</v>
      </c>
    </row>
    <row r="435" spans="1:14" x14ac:dyDescent="0.2">
      <c r="A435" s="285" t="s">
        <v>457</v>
      </c>
      <c r="B435" s="205">
        <v>15030202</v>
      </c>
      <c r="C435" s="288">
        <v>42.9927902904316</v>
      </c>
      <c r="D435" s="40">
        <v>82.145038608589005</v>
      </c>
      <c r="E435" s="239">
        <v>130.894567796601</v>
      </c>
      <c r="F435" s="288">
        <v>124.99122339596153</v>
      </c>
      <c r="G435" s="40">
        <v>164.96589893204106</v>
      </c>
      <c r="H435" s="239">
        <v>214.78102099615441</v>
      </c>
      <c r="I435" s="288">
        <v>366842.57135850086</v>
      </c>
      <c r="J435" s="40">
        <v>1927238.7365708405</v>
      </c>
      <c r="K435" s="239">
        <v>9736611.9085476827</v>
      </c>
      <c r="L435" s="40">
        <f t="shared" ref="L435:L446" si="45">((C435-F435)*(cubicm/gal)*(day/yr))-I435/1000000</f>
        <v>-113.66207478188203</v>
      </c>
      <c r="M435" s="40">
        <f t="shared" ref="M435:M446" si="46">((D435-G435)*(cubicm/gal)*(day/yr))-J435/1000000</f>
        <v>-116.358798546316</v>
      </c>
      <c r="N435" s="239">
        <f t="shared" ref="N435:N446" si="47">((E435-H435)*(cubicm/gal)*(day/yr))-K435/1000000</f>
        <v>-125.64047536810052</v>
      </c>
    </row>
    <row r="436" spans="1:14" x14ac:dyDescent="0.2">
      <c r="A436" s="285" t="s">
        <v>457</v>
      </c>
      <c r="B436" s="205">
        <v>15030201</v>
      </c>
      <c r="C436" s="288">
        <v>81.053242828433397</v>
      </c>
      <c r="D436" s="40">
        <v>158.55406571628001</v>
      </c>
      <c r="E436" s="239">
        <v>258.903270845679</v>
      </c>
      <c r="F436" s="288">
        <v>124.93810394624192</v>
      </c>
      <c r="G436" s="40">
        <v>164.72200879260342</v>
      </c>
      <c r="H436" s="239">
        <v>214.39002333920564</v>
      </c>
      <c r="I436" s="288">
        <v>234256.73678805656</v>
      </c>
      <c r="J436" s="40">
        <v>1154893.0353673985</v>
      </c>
      <c r="K436" s="239">
        <v>5512974.9020288968</v>
      </c>
      <c r="L436" s="40">
        <f t="shared" si="45"/>
        <v>-60.86889745571402</v>
      </c>
      <c r="M436" s="40">
        <f t="shared" si="46"/>
        <v>-9.6769893319394988</v>
      </c>
      <c r="N436" s="239">
        <f t="shared" si="47"/>
        <v>55.98989194178035</v>
      </c>
    </row>
    <row r="437" spans="1:14" x14ac:dyDescent="0.2">
      <c r="A437" s="285" t="s">
        <v>457</v>
      </c>
      <c r="B437" s="205">
        <v>18100204</v>
      </c>
      <c r="C437" s="288">
        <v>464.97736656574</v>
      </c>
      <c r="D437" s="40">
        <v>504.14992268895497</v>
      </c>
      <c r="E437" s="239">
        <v>568.32019147267704</v>
      </c>
      <c r="F437" s="288">
        <v>1525.5990054048123</v>
      </c>
      <c r="G437" s="40">
        <v>2994.6617723666482</v>
      </c>
      <c r="H437" s="239">
        <v>5117.4728433870605</v>
      </c>
      <c r="I437" s="288">
        <v>22199286.375928421</v>
      </c>
      <c r="J437" s="40">
        <v>24275416.981995799</v>
      </c>
      <c r="K437" s="239">
        <v>26300815.250844281</v>
      </c>
      <c r="L437" s="40">
        <f t="shared" si="45"/>
        <v>-1487.634299080762</v>
      </c>
      <c r="M437" s="40">
        <f t="shared" si="46"/>
        <v>-3465.3548089401065</v>
      </c>
      <c r="N437" s="239">
        <f t="shared" si="47"/>
        <v>-6311.7539213663676</v>
      </c>
    </row>
    <row r="438" spans="1:14" x14ac:dyDescent="0.2">
      <c r="A438" s="285" t="s">
        <v>457</v>
      </c>
      <c r="B438" s="205">
        <v>16060013</v>
      </c>
      <c r="C438" s="288">
        <v>28.906177250431099</v>
      </c>
      <c r="D438" s="40">
        <v>53.309842983249403</v>
      </c>
      <c r="E438" s="239">
        <v>90.411278656745196</v>
      </c>
      <c r="F438" s="288">
        <v>56.110164135551472</v>
      </c>
      <c r="G438" s="40">
        <v>81.390589918906528</v>
      </c>
      <c r="H438" s="239">
        <v>113.19461532947703</v>
      </c>
      <c r="I438" s="288">
        <v>4923485.5062215896</v>
      </c>
      <c r="J438" s="40">
        <v>5371061.4209230598</v>
      </c>
      <c r="K438" s="239">
        <v>5838965.3933930201</v>
      </c>
      <c r="L438" s="40">
        <f t="shared" si="45"/>
        <v>-42.510569728126008</v>
      </c>
      <c r="M438" s="40">
        <f t="shared" si="46"/>
        <v>-44.169543589793534</v>
      </c>
      <c r="N438" s="239">
        <f>((E438-H438)*(cubicm/gal)*(day/yr))-K438/1000000</f>
        <v>-37.318145191203229</v>
      </c>
    </row>
    <row r="439" spans="1:14" x14ac:dyDescent="0.2">
      <c r="A439" s="285" t="s">
        <v>457</v>
      </c>
      <c r="B439" s="205">
        <v>18090208</v>
      </c>
      <c r="C439" s="288">
        <v>25.8469907479946</v>
      </c>
      <c r="D439" s="40">
        <v>41.167932979084398</v>
      </c>
      <c r="E439" s="239">
        <v>64.706628626600605</v>
      </c>
      <c r="F439" s="288">
        <v>934.25592453003458</v>
      </c>
      <c r="G439" s="40">
        <v>1277.734976074524</v>
      </c>
      <c r="H439" s="239">
        <v>1745.4269366012145</v>
      </c>
      <c r="I439" s="288">
        <v>0</v>
      </c>
      <c r="J439" s="40">
        <v>0</v>
      </c>
      <c r="K439" s="239">
        <v>0</v>
      </c>
      <c r="L439" s="40">
        <f t="shared" si="45"/>
        <v>-1255.1264359222196</v>
      </c>
      <c r="M439" s="40">
        <f t="shared" si="46"/>
        <v>-1708.5344803000903</v>
      </c>
      <c r="N439" s="239">
        <f t="shared" si="47"/>
        <v>-2322.2101979419999</v>
      </c>
    </row>
    <row r="440" spans="1:14" x14ac:dyDescent="0.2">
      <c r="A440" s="285" t="s">
        <v>457</v>
      </c>
      <c r="B440" s="205">
        <v>16060003</v>
      </c>
      <c r="C440" s="288">
        <v>22.243862895821898</v>
      </c>
      <c r="D440" s="40">
        <v>49.364570295641698</v>
      </c>
      <c r="E440" s="239">
        <v>94.498961170963398</v>
      </c>
      <c r="F440" s="288">
        <v>39.631503273132545</v>
      </c>
      <c r="G440" s="40">
        <v>57.700680438692174</v>
      </c>
      <c r="H440" s="239">
        <v>80.317665601444645</v>
      </c>
      <c r="I440" s="288">
        <v>12602172.90105447</v>
      </c>
      <c r="J440" s="40">
        <v>19226978.004610445</v>
      </c>
      <c r="K440" s="239">
        <v>49036167.912910365</v>
      </c>
      <c r="L440" s="40">
        <f t="shared" si="45"/>
        <v>-36.626250917340769</v>
      </c>
      <c r="M440" s="40">
        <f t="shared" si="46"/>
        <v>-30.744777779807755</v>
      </c>
      <c r="N440" s="239">
        <f t="shared" si="47"/>
        <v>-29.44221820259154</v>
      </c>
    </row>
    <row r="441" spans="1:14" x14ac:dyDescent="0.2">
      <c r="A441" s="285" t="s">
        <v>457</v>
      </c>
      <c r="B441" s="205">
        <v>3050105</v>
      </c>
      <c r="C441" s="288">
        <v>1694.94032572622</v>
      </c>
      <c r="D441" s="40">
        <v>2451.58421786595</v>
      </c>
      <c r="E441" s="239">
        <v>3109.0785779262201</v>
      </c>
      <c r="F441" s="288">
        <v>79.986875823773914</v>
      </c>
      <c r="G441" s="40">
        <v>89.497182967300844</v>
      </c>
      <c r="H441" s="239">
        <v>100.31382889360216</v>
      </c>
      <c r="I441" s="288">
        <v>5641658.7436765898</v>
      </c>
      <c r="J441" s="40">
        <v>8953939.5431325138</v>
      </c>
      <c r="K441" s="239">
        <v>12991490.357235583</v>
      </c>
      <c r="L441" s="40">
        <f t="shared" si="45"/>
        <v>2225.7000777552435</v>
      </c>
      <c r="M441" s="40">
        <f t="shared" si="46"/>
        <v>3254.6840226103391</v>
      </c>
      <c r="N441" s="239">
        <f t="shared" si="47"/>
        <v>4144.1452743146656</v>
      </c>
    </row>
    <row r="442" spans="1:14" x14ac:dyDescent="0.2">
      <c r="A442" s="285" t="s">
        <v>457</v>
      </c>
      <c r="B442" s="205">
        <v>16040201</v>
      </c>
      <c r="C442" s="288">
        <v>128.359521605937</v>
      </c>
      <c r="D442" s="40">
        <v>244.41991745253</v>
      </c>
      <c r="E442" s="239">
        <v>413.92173249137102</v>
      </c>
      <c r="F442" s="288">
        <v>371.39323285510778</v>
      </c>
      <c r="G442" s="40">
        <v>511.98353240338588</v>
      </c>
      <c r="H442" s="239">
        <v>701.07404007021137</v>
      </c>
      <c r="I442" s="288">
        <v>30329777.237026993</v>
      </c>
      <c r="J442" s="40">
        <v>34810209.497471385</v>
      </c>
      <c r="K442" s="239">
        <v>39804593.895523153</v>
      </c>
      <c r="L442" s="40">
        <f t="shared" si="45"/>
        <v>-366.12351997262095</v>
      </c>
      <c r="M442" s="40">
        <f t="shared" si="46"/>
        <v>-404.49632103488784</v>
      </c>
      <c r="N442" s="239">
        <f t="shared" si="47"/>
        <v>-436.55592358328994</v>
      </c>
    </row>
    <row r="443" spans="1:14" x14ac:dyDescent="0.2">
      <c r="A443" s="285" t="s">
        <v>457</v>
      </c>
      <c r="B443" s="205">
        <v>14030005</v>
      </c>
      <c r="C443" s="288">
        <v>6888.16615283385</v>
      </c>
      <c r="D443" s="40">
        <v>9407.6179244510695</v>
      </c>
      <c r="E443" s="239">
        <v>12246.7439263551</v>
      </c>
      <c r="F443" s="288">
        <v>16.743813086968878</v>
      </c>
      <c r="G443" s="40">
        <v>21.800280003868838</v>
      </c>
      <c r="H443" s="239">
        <v>28.03449257205067</v>
      </c>
      <c r="I443" s="288">
        <v>253458.36282697099</v>
      </c>
      <c r="J443" s="40">
        <v>277827.54117581103</v>
      </c>
      <c r="K443" s="239">
        <v>301790.97553201899</v>
      </c>
      <c r="L443" s="40">
        <f t="shared" si="45"/>
        <v>9493.8229540034026</v>
      </c>
      <c r="M443" s="40">
        <f t="shared" si="46"/>
        <v>12967.877163234636</v>
      </c>
      <c r="N443" s="239">
        <f t="shared" si="47"/>
        <v>16881.990591755461</v>
      </c>
    </row>
    <row r="444" spans="1:14" x14ac:dyDescent="0.2">
      <c r="A444" s="285" t="s">
        <v>457</v>
      </c>
      <c r="B444" s="205">
        <v>3050102</v>
      </c>
      <c r="C444" s="288">
        <v>457.27803741401198</v>
      </c>
      <c r="D444" s="40">
        <v>654.89353090684801</v>
      </c>
      <c r="E444" s="239">
        <v>834.12530128820197</v>
      </c>
      <c r="F444" s="288">
        <v>21.826209950186303</v>
      </c>
      <c r="G444" s="40">
        <v>26.104634355802094</v>
      </c>
      <c r="H444" s="239">
        <v>31.818829836023966</v>
      </c>
      <c r="I444" s="288">
        <v>700606.32064829394</v>
      </c>
      <c r="J444" s="40">
        <v>767537.19033624697</v>
      </c>
      <c r="K444" s="239">
        <v>833662.78108524997</v>
      </c>
      <c r="L444" s="40">
        <f t="shared" si="45"/>
        <v>600.95254777704702</v>
      </c>
      <c r="M444" s="40">
        <f t="shared" si="46"/>
        <v>868.01472300806381</v>
      </c>
      <c r="N444" s="239">
        <f t="shared" si="47"/>
        <v>1107.6935924921645</v>
      </c>
    </row>
    <row r="445" spans="1:14" x14ac:dyDescent="0.2">
      <c r="A445" s="285" t="s">
        <v>457</v>
      </c>
      <c r="B445" s="205">
        <v>16060010</v>
      </c>
      <c r="C445" s="288">
        <v>37.080549626624197</v>
      </c>
      <c r="D445" s="40">
        <v>58.059299044011603</v>
      </c>
      <c r="E445" s="239">
        <v>91.813132813702495</v>
      </c>
      <c r="F445" s="288">
        <v>44.881237986560045</v>
      </c>
      <c r="G445" s="40">
        <v>59.181188961732296</v>
      </c>
      <c r="H445" s="239">
        <v>75.769649218498884</v>
      </c>
      <c r="I445" s="288">
        <v>3907981.8470785301</v>
      </c>
      <c r="J445" s="40">
        <v>4284302.1047777897</v>
      </c>
      <c r="K445" s="239">
        <v>4647432.1803099699</v>
      </c>
      <c r="L445" s="40">
        <f t="shared" si="45"/>
        <v>-14.686002422221179</v>
      </c>
      <c r="M445" s="40">
        <f t="shared" si="46"/>
        <v>-5.834390001935903</v>
      </c>
      <c r="N445" s="239">
        <f t="shared" si="47"/>
        <v>17.519457241162847</v>
      </c>
    </row>
    <row r="446" spans="1:14" ht="16" thickBot="1" x14ac:dyDescent="0.25">
      <c r="A446" s="286" t="s">
        <v>457</v>
      </c>
      <c r="B446" s="206">
        <v>11140205</v>
      </c>
      <c r="C446" s="289">
        <v>410.249778490967</v>
      </c>
      <c r="D446" s="249">
        <v>585.73339259926297</v>
      </c>
      <c r="E446" s="240">
        <v>774.48649417248203</v>
      </c>
      <c r="F446" s="289">
        <v>10.167235615194965</v>
      </c>
      <c r="G446" s="249">
        <v>12.825436871172476</v>
      </c>
      <c r="H446" s="240">
        <v>16.27357171063845</v>
      </c>
      <c r="I446" s="289">
        <v>3314052.43424983</v>
      </c>
      <c r="J446" s="249">
        <v>3621992.3970981999</v>
      </c>
      <c r="K446" s="240">
        <v>3935422.7909373799</v>
      </c>
      <c r="L446" s="249">
        <f t="shared" si="45"/>
        <v>549.4702250427606</v>
      </c>
      <c r="M446" s="249">
        <f t="shared" si="46"/>
        <v>787.95093675797125</v>
      </c>
      <c r="N446" s="240">
        <f t="shared" si="47"/>
        <v>1043.6688528271179</v>
      </c>
    </row>
    <row r="447" spans="1:14" x14ac:dyDescent="0.2">
      <c r="A447" s="284" t="s">
        <v>458</v>
      </c>
      <c r="B447" s="281">
        <v>16060011</v>
      </c>
      <c r="C447" s="287" cm="1">
        <f t="array" ref="C447:E459">$K$43:$M$55</f>
        <v>30.693319838369298</v>
      </c>
      <c r="D447" s="254">
        <v>38.935073298818899</v>
      </c>
      <c r="E447" s="255">
        <v>51.761638650031003</v>
      </c>
      <c r="F447" s="287" cm="1">
        <f t="array" ref="F447:H459">E187:G199</f>
        <v>58.392030217592065</v>
      </c>
      <c r="G447" s="254">
        <v>83.673284148766314</v>
      </c>
      <c r="H447" s="255">
        <v>115.71063778257653</v>
      </c>
      <c r="I447" s="287" cm="1">
        <f t="array" ref="I447:K459">$B$203:$D$215</f>
        <v>28572915.147869598</v>
      </c>
      <c r="J447" s="254">
        <v>36784589.510791823</v>
      </c>
      <c r="K447" s="255">
        <v>63986855.731934547</v>
      </c>
      <c r="L447" s="254">
        <f t="shared" ref="L447:L460" si="48">((C447-F447)*(cubicm/gal)*(day/yr))-I447/1000000</f>
        <v>-66.843546737956018</v>
      </c>
      <c r="M447" s="254">
        <f t="shared" ref="M447:M460" si="49">((D447-G447)*(cubicm/gal)*(day/yr))-J447/1000000</f>
        <v>-98.598282711550439</v>
      </c>
      <c r="N447" s="255">
        <f t="shared" ref="N447:N460" si="50">((E447-H447)*(cubicm/gal)*(day/yr))-K447/1000000</f>
        <v>-152.34362587933515</v>
      </c>
    </row>
    <row r="448" spans="1:14" x14ac:dyDescent="0.2">
      <c r="A448" s="285" t="s">
        <v>458</v>
      </c>
      <c r="B448" s="205">
        <v>15030202</v>
      </c>
      <c r="C448" s="288">
        <v>34.377711005272602</v>
      </c>
      <c r="D448" s="40">
        <v>64.228705657648504</v>
      </c>
      <c r="E448" s="239">
        <v>105.480832233965</v>
      </c>
      <c r="F448" s="288">
        <v>118.62839652940919</v>
      </c>
      <c r="G448" s="40">
        <v>148.07747287788393</v>
      </c>
      <c r="H448" s="239">
        <v>189.57552107205552</v>
      </c>
      <c r="I448" s="288">
        <v>366842.57135850086</v>
      </c>
      <c r="J448" s="40">
        <v>1927238.7365708405</v>
      </c>
      <c r="K448" s="239">
        <v>9736611.9085476827</v>
      </c>
      <c r="L448" s="40">
        <f t="shared" si="48"/>
        <v>-116.77395693741491</v>
      </c>
      <c r="M448" s="40">
        <f t="shared" si="49"/>
        <v>-117.77903239897991</v>
      </c>
      <c r="N448" s="239">
        <f t="shared" si="50"/>
        <v>-125.92818946371264</v>
      </c>
    </row>
    <row r="449" spans="1:14" x14ac:dyDescent="0.2">
      <c r="A449" s="285" t="s">
        <v>458</v>
      </c>
      <c r="B449" s="205">
        <v>15030201</v>
      </c>
      <c r="C449" s="288">
        <v>67.178411380203698</v>
      </c>
      <c r="D449" s="40">
        <v>137.62461251421701</v>
      </c>
      <c r="E449" s="239">
        <v>244.44994504569999</v>
      </c>
      <c r="F449" s="288">
        <v>118.25479766393575</v>
      </c>
      <c r="G449" s="40">
        <v>148.53334502403257</v>
      </c>
      <c r="H449" s="239">
        <v>190.39067570589864</v>
      </c>
      <c r="I449" s="288">
        <v>234256.73678805656</v>
      </c>
      <c r="J449" s="40">
        <v>1154893.0353673985</v>
      </c>
      <c r="K449" s="239">
        <v>5512974.9020288968</v>
      </c>
      <c r="L449" s="40">
        <f t="shared" si="48"/>
        <v>-70.805252124498324</v>
      </c>
      <c r="M449" s="40">
        <f t="shared" si="49"/>
        <v>-16.227222298433436</v>
      </c>
      <c r="N449" s="239">
        <f t="shared" si="50"/>
        <v>69.17939714734608</v>
      </c>
    </row>
    <row r="450" spans="1:14" x14ac:dyDescent="0.2">
      <c r="A450" s="285" t="s">
        <v>458</v>
      </c>
      <c r="B450" s="205">
        <v>18100204</v>
      </c>
      <c r="C450" s="288">
        <v>464.631635132805</v>
      </c>
      <c r="D450" s="40">
        <v>508.81553976808402</v>
      </c>
      <c r="E450" s="239">
        <v>583.94613663488894</v>
      </c>
      <c r="F450" s="288">
        <v>1114.989921850012</v>
      </c>
      <c r="G450" s="40">
        <v>1902.1140083954342</v>
      </c>
      <c r="H450" s="239">
        <v>2973.2851740700839</v>
      </c>
      <c r="I450" s="288">
        <v>22199286.375928421</v>
      </c>
      <c r="J450" s="40">
        <v>24275416.981995799</v>
      </c>
      <c r="K450" s="239">
        <v>26300815.250844281</v>
      </c>
      <c r="L450" s="40">
        <f t="shared" si="48"/>
        <v>-920.7834461346481</v>
      </c>
      <c r="M450" s="40">
        <f t="shared" si="49"/>
        <v>-1949.361879775111</v>
      </c>
      <c r="N450" s="239">
        <f t="shared" si="50"/>
        <v>-3327.5922036790125</v>
      </c>
    </row>
    <row r="451" spans="1:14" x14ac:dyDescent="0.2">
      <c r="A451" s="285" t="s">
        <v>458</v>
      </c>
      <c r="B451" s="205">
        <v>16060013</v>
      </c>
      <c r="C451" s="288">
        <v>21.580349926163599</v>
      </c>
      <c r="D451" s="40">
        <v>36.440684679599897</v>
      </c>
      <c r="E451" s="239">
        <v>60.182575855760803</v>
      </c>
      <c r="F451" s="288">
        <v>59.353105145486701</v>
      </c>
      <c r="G451" s="40">
        <v>84.170663694941979</v>
      </c>
      <c r="H451" s="239">
        <v>116.22876315056456</v>
      </c>
      <c r="I451" s="288">
        <v>4923485.5062215896</v>
      </c>
      <c r="J451" s="40">
        <v>5371061.4209230598</v>
      </c>
      <c r="K451" s="239">
        <v>5838965.3933930201</v>
      </c>
      <c r="L451" s="40">
        <f t="shared" si="48"/>
        <v>-57.113178793371368</v>
      </c>
      <c r="M451" s="40">
        <f t="shared" si="49"/>
        <v>-71.3184076218825</v>
      </c>
      <c r="N451" s="239">
        <f t="shared" si="50"/>
        <v>-83.276613450732071</v>
      </c>
    </row>
    <row r="452" spans="1:14" x14ac:dyDescent="0.2">
      <c r="A452" s="285" t="s">
        <v>458</v>
      </c>
      <c r="B452" s="205">
        <v>18090208</v>
      </c>
      <c r="C452" s="288">
        <v>25.432896821928601</v>
      </c>
      <c r="D452" s="40">
        <v>46.720462266093598</v>
      </c>
      <c r="E452" s="239">
        <v>81.304751172088402</v>
      </c>
      <c r="F452" s="288">
        <v>1578.9158198667055</v>
      </c>
      <c r="G452" s="40">
        <v>2261.7207952908743</v>
      </c>
      <c r="H452" s="239">
        <v>3038.1198893915112</v>
      </c>
      <c r="I452" s="288">
        <v>0</v>
      </c>
      <c r="J452" s="40">
        <v>0</v>
      </c>
      <c r="K452" s="239">
        <v>0</v>
      </c>
      <c r="L452" s="40">
        <f t="shared" si="48"/>
        <v>-2146.409410957041</v>
      </c>
      <c r="M452" s="40">
        <f t="shared" si="49"/>
        <v>-3060.4118587664275</v>
      </c>
      <c r="N452" s="239">
        <f t="shared" si="50"/>
        <v>-4085.3592562803369</v>
      </c>
    </row>
    <row r="453" spans="1:14" x14ac:dyDescent="0.2">
      <c r="A453" s="285" t="s">
        <v>458</v>
      </c>
      <c r="B453" s="205">
        <v>16060003</v>
      </c>
      <c r="C453" s="288">
        <v>16.165342975605501</v>
      </c>
      <c r="D453" s="40">
        <v>32.067428358655697</v>
      </c>
      <c r="E453" s="239">
        <v>58.164716653730999</v>
      </c>
      <c r="F453" s="288">
        <v>43.385421795515747</v>
      </c>
      <c r="G453" s="40">
        <v>62.346352512883747</v>
      </c>
      <c r="H453" s="239">
        <v>86.171547838423891</v>
      </c>
      <c r="I453" s="288">
        <v>12602172.90105447</v>
      </c>
      <c r="J453" s="40">
        <v>19226978.004610445</v>
      </c>
      <c r="K453" s="239">
        <v>49036167.912910365</v>
      </c>
      <c r="L453" s="40">
        <f t="shared" si="48"/>
        <v>-50.211490956212614</v>
      </c>
      <c r="M453" s="40">
        <f t="shared" si="49"/>
        <v>-61.062627945910947</v>
      </c>
      <c r="N453" s="239">
        <f t="shared" si="50"/>
        <v>-87.732522494065464</v>
      </c>
    </row>
    <row r="454" spans="1:14" x14ac:dyDescent="0.2">
      <c r="A454" s="285" t="s">
        <v>458</v>
      </c>
      <c r="B454" s="205">
        <v>3050105</v>
      </c>
      <c r="C454" s="288">
        <v>1309.19378059768</v>
      </c>
      <c r="D454" s="40">
        <v>2364.4435156099598</v>
      </c>
      <c r="E454" s="239">
        <v>3658.9705180021901</v>
      </c>
      <c r="F454" s="288">
        <v>85.153854508841732</v>
      </c>
      <c r="G454" s="40">
        <v>98.309374867432439</v>
      </c>
      <c r="H454" s="239">
        <v>114.75828212549452</v>
      </c>
      <c r="I454" s="288">
        <v>5641658.7436765898</v>
      </c>
      <c r="J454" s="40">
        <v>8953939.5431325138</v>
      </c>
      <c r="K454" s="239">
        <v>12991490.357235583</v>
      </c>
      <c r="L454" s="40">
        <f t="shared" si="48"/>
        <v>1685.5844099631731</v>
      </c>
      <c r="M454" s="40">
        <f t="shared" si="49"/>
        <v>3122.1082524038657</v>
      </c>
      <c r="N454" s="239">
        <f t="shared" si="50"/>
        <v>4883.9599885844909</v>
      </c>
    </row>
    <row r="455" spans="1:14" x14ac:dyDescent="0.2">
      <c r="A455" s="285" t="s">
        <v>458</v>
      </c>
      <c r="B455" s="205">
        <v>16040201</v>
      </c>
      <c r="C455" s="288">
        <v>85.086833478725396</v>
      </c>
      <c r="D455" s="40">
        <v>154.927154391828</v>
      </c>
      <c r="E455" s="239">
        <v>244.856122694883</v>
      </c>
      <c r="F455" s="288">
        <v>421.1707057741778</v>
      </c>
      <c r="G455" s="40">
        <v>572.36126805640697</v>
      </c>
      <c r="H455" s="239">
        <v>739.4012713570113</v>
      </c>
      <c r="I455" s="288">
        <v>30329777.237026993</v>
      </c>
      <c r="J455" s="40">
        <v>34810209.497471385</v>
      </c>
      <c r="K455" s="239">
        <v>39804593.895523153</v>
      </c>
      <c r="L455" s="40">
        <f t="shared" si="48"/>
        <v>-494.68865474047209</v>
      </c>
      <c r="M455" s="40">
        <f t="shared" si="49"/>
        <v>-611.56872852133199</v>
      </c>
      <c r="N455" s="239">
        <f t="shared" si="50"/>
        <v>-723.10554653878887</v>
      </c>
    </row>
    <row r="456" spans="1:14" x14ac:dyDescent="0.2">
      <c r="A456" s="285" t="s">
        <v>458</v>
      </c>
      <c r="B456" s="205">
        <v>14030005</v>
      </c>
      <c r="C456" s="288">
        <v>4222.2780249276902</v>
      </c>
      <c r="D456" s="40">
        <v>6175.3803921728604</v>
      </c>
      <c r="E456" s="239">
        <v>8543.7939760121099</v>
      </c>
      <c r="F456" s="288">
        <v>20.215902979903969</v>
      </c>
      <c r="G456" s="40">
        <v>27.808460843615169</v>
      </c>
      <c r="H456" s="239">
        <v>38.430786470053555</v>
      </c>
      <c r="I456" s="288">
        <v>253458.36282697099</v>
      </c>
      <c r="J456" s="40">
        <v>277827.54117581103</v>
      </c>
      <c r="K456" s="239">
        <v>301790.97553201899</v>
      </c>
      <c r="L456" s="40">
        <f t="shared" si="48"/>
        <v>5805.6331401825983</v>
      </c>
      <c r="M456" s="40">
        <f t="shared" si="49"/>
        <v>8493.6721555576169</v>
      </c>
      <c r="N456" s="239">
        <f t="shared" si="50"/>
        <v>11751.350784554237</v>
      </c>
    </row>
    <row r="457" spans="1:14" x14ac:dyDescent="0.2">
      <c r="A457" s="285" t="s">
        <v>458</v>
      </c>
      <c r="B457" s="205">
        <v>3050102</v>
      </c>
      <c r="C457" s="288">
        <v>408.67233000536902</v>
      </c>
      <c r="D457" s="40">
        <v>665.88053560813205</v>
      </c>
      <c r="E457" s="239">
        <v>1001.52691953464</v>
      </c>
      <c r="F457" s="288">
        <v>27.419212373476796</v>
      </c>
      <c r="G457" s="40">
        <v>36.206547286560706</v>
      </c>
      <c r="H457" s="239">
        <v>48.857877774436076</v>
      </c>
      <c r="I457" s="288">
        <v>700606.32064829394</v>
      </c>
      <c r="J457" s="40">
        <v>767537.19033624697</v>
      </c>
      <c r="K457" s="239">
        <v>833662.78108524997</v>
      </c>
      <c r="L457" s="40">
        <f t="shared" si="48"/>
        <v>526.06751420552655</v>
      </c>
      <c r="M457" s="40">
        <f t="shared" si="49"/>
        <v>869.23763268903599</v>
      </c>
      <c r="N457" s="239">
        <f t="shared" si="50"/>
        <v>1315.4458832816103</v>
      </c>
    </row>
    <row r="458" spans="1:14" x14ac:dyDescent="0.2">
      <c r="A458" s="285" t="s">
        <v>458</v>
      </c>
      <c r="B458" s="205">
        <v>16060010</v>
      </c>
      <c r="C458" s="288">
        <v>32.796571110216803</v>
      </c>
      <c r="D458" s="40">
        <v>44.927845266071301</v>
      </c>
      <c r="E458" s="239">
        <v>64.317587433534001</v>
      </c>
      <c r="F458" s="288">
        <v>58.163872016999008</v>
      </c>
      <c r="G458" s="40">
        <v>84.251733382625773</v>
      </c>
      <c r="H458" s="239">
        <v>115.72505667507725</v>
      </c>
      <c r="I458" s="288">
        <v>3907981.8470785301</v>
      </c>
      <c r="J458" s="40">
        <v>4284302.1047777897</v>
      </c>
      <c r="K458" s="239">
        <v>4647432.1803099699</v>
      </c>
      <c r="L458" s="40">
        <f t="shared" si="48"/>
        <v>-38.957361913760479</v>
      </c>
      <c r="M458" s="40">
        <f t="shared" si="49"/>
        <v>-58.617157829617589</v>
      </c>
      <c r="N458" s="239">
        <f t="shared" si="50"/>
        <v>-75.675876804128109</v>
      </c>
    </row>
    <row r="459" spans="1:14" ht="16" thickBot="1" x14ac:dyDescent="0.25">
      <c r="A459" s="286" t="s">
        <v>458</v>
      </c>
      <c r="B459" s="206">
        <v>11140205</v>
      </c>
      <c r="C459" s="289">
        <v>318.28054624445201</v>
      </c>
      <c r="D459" s="249">
        <v>495.426424966779</v>
      </c>
      <c r="E459" s="240">
        <v>716.88279158140699</v>
      </c>
      <c r="F459" s="289">
        <v>15.071056157280241</v>
      </c>
      <c r="G459" s="249">
        <v>19.452078069675721</v>
      </c>
      <c r="H459" s="240">
        <v>24.986210826961926</v>
      </c>
      <c r="I459" s="289">
        <v>3314052.43424983</v>
      </c>
      <c r="J459" s="249">
        <v>3621992.3970981999</v>
      </c>
      <c r="K459" s="240">
        <v>3935422.7909373799</v>
      </c>
      <c r="L459" s="249">
        <f t="shared" si="48"/>
        <v>415.62309412866256</v>
      </c>
      <c r="M459" s="249">
        <f t="shared" si="49"/>
        <v>654.02013703918828</v>
      </c>
      <c r="N459" s="240">
        <f t="shared" si="50"/>
        <v>952.04118326637536</v>
      </c>
    </row>
    <row r="460" spans="1:14" x14ac:dyDescent="0.2">
      <c r="A460" s="284" t="s">
        <v>459</v>
      </c>
      <c r="B460" s="281">
        <v>16060011</v>
      </c>
      <c r="C460" s="287" cm="1">
        <f t="array" ref="C460:E472">$Q$43:$S$55</f>
        <v>32.926498278530197</v>
      </c>
      <c r="D460" s="254">
        <v>45.1913812216549</v>
      </c>
      <c r="E460" s="255">
        <v>64.744586253081096</v>
      </c>
      <c r="F460" s="287" cm="1">
        <f t="array" ref="F460:H472">H187:J199</f>
        <v>17.101888138103458</v>
      </c>
      <c r="G460" s="254">
        <v>24.207693935965064</v>
      </c>
      <c r="H460" s="255">
        <v>33.896764668422634</v>
      </c>
      <c r="I460" s="287" cm="1">
        <f t="array" ref="I460:K472">$B$203:$D$215</f>
        <v>28572915.147869598</v>
      </c>
      <c r="J460" s="254">
        <v>36784589.510791823</v>
      </c>
      <c r="K460" s="255">
        <v>63986855.731934547</v>
      </c>
      <c r="L460" s="254">
        <f t="shared" si="48"/>
        <v>-6.7084378328787615</v>
      </c>
      <c r="M460" s="254">
        <f t="shared" si="49"/>
        <v>-7.7919413146287617</v>
      </c>
      <c r="N460" s="255">
        <f t="shared" si="50"/>
        <v>-21.365174106325711</v>
      </c>
    </row>
    <row r="461" spans="1:14" x14ac:dyDescent="0.2">
      <c r="A461" s="285" t="s">
        <v>459</v>
      </c>
      <c r="B461" s="205">
        <v>15030202</v>
      </c>
      <c r="C461" s="288">
        <v>25.850094106025001</v>
      </c>
      <c r="D461" s="40">
        <v>42.621282985938997</v>
      </c>
      <c r="E461" s="239">
        <v>65.203656625296105</v>
      </c>
      <c r="F461" s="288">
        <v>97.490720775666077</v>
      </c>
      <c r="G461" s="40">
        <v>118.07953586185592</v>
      </c>
      <c r="H461" s="239">
        <v>144.03619894663564</v>
      </c>
      <c r="I461" s="288">
        <v>366842.57135850086</v>
      </c>
      <c r="J461" s="40">
        <v>1927238.7365708405</v>
      </c>
      <c r="K461" s="239">
        <v>9736611.9085476827</v>
      </c>
      <c r="L461" s="40">
        <f t="shared" ref="L461:L498" si="51">((C461-F461)*(cubicm/gal)*(day/yr))-I461/1000000</f>
        <v>-99.350946618793472</v>
      </c>
      <c r="M461" s="40">
        <f t="shared" ref="M461:M498" si="52">((D461-G461)*(cubicm/gal)*(day/yr))-J461/1000000</f>
        <v>-106.18606366771294</v>
      </c>
      <c r="N461" s="239">
        <f t="shared" ref="N461:N498" si="53">((E461-H461)*(cubicm/gal)*(day/yr))-K461/1000000</f>
        <v>-118.65761014942456</v>
      </c>
    </row>
    <row r="462" spans="1:14" x14ac:dyDescent="0.2">
      <c r="A462" s="285" t="s">
        <v>459</v>
      </c>
      <c r="B462" s="205">
        <v>15030201</v>
      </c>
      <c r="C462" s="288">
        <v>52.670689893692099</v>
      </c>
      <c r="D462" s="40">
        <v>97.915556137714901</v>
      </c>
      <c r="E462" s="239">
        <v>163.17848472230901</v>
      </c>
      <c r="F462" s="288">
        <v>97.027762723125548</v>
      </c>
      <c r="G462" s="40">
        <v>117.85868496233186</v>
      </c>
      <c r="H462" s="239">
        <v>144.44379568212409</v>
      </c>
      <c r="I462" s="288">
        <v>234256.73678805656</v>
      </c>
      <c r="J462" s="40">
        <v>1154893.0353673985</v>
      </c>
      <c r="K462" s="239">
        <v>5512974.9020288968</v>
      </c>
      <c r="L462" s="40">
        <f t="shared" si="51"/>
        <v>-61.521340843897093</v>
      </c>
      <c r="M462" s="40">
        <f t="shared" si="52"/>
        <v>-28.709827021502157</v>
      </c>
      <c r="N462" s="239">
        <f t="shared" si="53"/>
        <v>20.372287350092805</v>
      </c>
    </row>
    <row r="463" spans="1:14" x14ac:dyDescent="0.2">
      <c r="A463" s="285" t="s">
        <v>459</v>
      </c>
      <c r="B463" s="205">
        <v>18100204</v>
      </c>
      <c r="C463" s="288">
        <v>459.67363687531503</v>
      </c>
      <c r="D463" s="40">
        <v>481.61087679375697</v>
      </c>
      <c r="E463" s="239">
        <v>517.65051036669604</v>
      </c>
      <c r="F463" s="288">
        <v>517.60563527466377</v>
      </c>
      <c r="G463" s="40">
        <v>915.58122145245579</v>
      </c>
      <c r="H463" s="239">
        <v>1434.4038587818673</v>
      </c>
      <c r="I463" s="288">
        <v>22199286.375928421</v>
      </c>
      <c r="J463" s="40">
        <v>24275416.981995799</v>
      </c>
      <c r="K463" s="239">
        <v>26300815.250844281</v>
      </c>
      <c r="L463" s="40">
        <f t="shared" si="51"/>
        <v>-102.2425135754889</v>
      </c>
      <c r="M463" s="40">
        <f t="shared" si="52"/>
        <v>-623.88164247305872</v>
      </c>
      <c r="N463" s="239">
        <f t="shared" si="53"/>
        <v>-1292.9565250593687</v>
      </c>
    </row>
    <row r="464" spans="1:14" x14ac:dyDescent="0.2">
      <c r="A464" s="285" t="s">
        <v>459</v>
      </c>
      <c r="B464" s="205">
        <v>16060013</v>
      </c>
      <c r="C464" s="288">
        <v>25.3247061989637</v>
      </c>
      <c r="D464" s="40">
        <v>45.5101732183359</v>
      </c>
      <c r="E464" s="239">
        <v>76.4308169037499</v>
      </c>
      <c r="F464" s="288">
        <v>17.037784532041499</v>
      </c>
      <c r="G464" s="40">
        <v>24.225737100216712</v>
      </c>
      <c r="H464" s="239">
        <v>33.777732215792653</v>
      </c>
      <c r="I464" s="288">
        <v>4923485.5062215896</v>
      </c>
      <c r="J464" s="40">
        <v>5371061.4209230598</v>
      </c>
      <c r="K464" s="239">
        <v>5838965.3933930201</v>
      </c>
      <c r="L464" s="40">
        <f t="shared" si="51"/>
        <v>6.5263517529376065</v>
      </c>
      <c r="M464" s="40">
        <f t="shared" si="52"/>
        <v>24.037124091218665</v>
      </c>
      <c r="N464" s="239">
        <f t="shared" si="53"/>
        <v>53.093759918541608</v>
      </c>
    </row>
    <row r="465" spans="1:14" x14ac:dyDescent="0.2">
      <c r="A465" s="285" t="s">
        <v>459</v>
      </c>
      <c r="B465" s="205">
        <v>18090208</v>
      </c>
      <c r="C465" s="288">
        <v>24.2377651166371</v>
      </c>
      <c r="D465" s="40">
        <v>41.909738130486701</v>
      </c>
      <c r="E465" s="239">
        <v>68.887210660829993</v>
      </c>
      <c r="F465" s="288">
        <v>574.37171742465443</v>
      </c>
      <c r="G465" s="40">
        <v>709.40709420248072</v>
      </c>
      <c r="H465" s="239">
        <v>869.92471156883585</v>
      </c>
      <c r="I465" s="288">
        <v>0</v>
      </c>
      <c r="J465" s="40">
        <v>0</v>
      </c>
      <c r="K465" s="239">
        <v>0</v>
      </c>
      <c r="L465" s="40">
        <f t="shared" si="51"/>
        <v>-760.10664488449311</v>
      </c>
      <c r="M465" s="40">
        <f t="shared" si="52"/>
        <v>-922.26479326453148</v>
      </c>
      <c r="N465" s="239">
        <f t="shared" si="53"/>
        <v>-1106.7739496669674</v>
      </c>
    </row>
    <row r="466" spans="1:14" x14ac:dyDescent="0.2">
      <c r="A466" s="285" t="s">
        <v>459</v>
      </c>
      <c r="B466" s="205">
        <v>16060003</v>
      </c>
      <c r="C466" s="288">
        <v>18.854634640678398</v>
      </c>
      <c r="D466" s="40">
        <v>38.817160026009901</v>
      </c>
      <c r="E466" s="239">
        <v>71.040216339051995</v>
      </c>
      <c r="F466" s="288">
        <v>12.370160593914219</v>
      </c>
      <c r="G466" s="40">
        <v>17.408775470008774</v>
      </c>
      <c r="H466" s="239">
        <v>24.318304105577511</v>
      </c>
      <c r="I466" s="288">
        <v>12602172.90105447</v>
      </c>
      <c r="J466" s="40">
        <v>19226978.004610445</v>
      </c>
      <c r="K466" s="239">
        <v>49036167.912910365</v>
      </c>
      <c r="L466" s="40">
        <f t="shared" si="51"/>
        <v>-3.6427334938919955</v>
      </c>
      <c r="M466" s="40">
        <f t="shared" si="52"/>
        <v>10.352464036712675</v>
      </c>
      <c r="N466" s="239">
        <f t="shared" si="53"/>
        <v>15.518357037569565</v>
      </c>
    </row>
    <row r="467" spans="1:14" x14ac:dyDescent="0.2">
      <c r="A467" s="285" t="s">
        <v>459</v>
      </c>
      <c r="B467" s="205">
        <v>3050105</v>
      </c>
      <c r="C467" s="288">
        <v>1383.9779122003299</v>
      </c>
      <c r="D467" s="40">
        <v>2158.92921583523</v>
      </c>
      <c r="E467" s="239">
        <v>2837.9472738056602</v>
      </c>
      <c r="F467" s="288">
        <v>79.057464821112575</v>
      </c>
      <c r="G467" s="40">
        <v>88.060746303362521</v>
      </c>
      <c r="H467" s="239">
        <v>97.578378253660304</v>
      </c>
      <c r="I467" s="288">
        <v>5641658.7436765898</v>
      </c>
      <c r="J467" s="40">
        <v>8953939.5431325138</v>
      </c>
      <c r="K467" s="239">
        <v>12991490.357235583</v>
      </c>
      <c r="L467" s="40">
        <f t="shared" si="51"/>
        <v>1797.3350507236944</v>
      </c>
      <c r="M467" s="40">
        <f t="shared" si="52"/>
        <v>2852.3144438553031</v>
      </c>
      <c r="N467" s="239">
        <f t="shared" si="53"/>
        <v>3773.3092791280992</v>
      </c>
    </row>
    <row r="468" spans="1:14" x14ac:dyDescent="0.2">
      <c r="A468" s="285" t="s">
        <v>459</v>
      </c>
      <c r="B468" s="205">
        <v>16040201</v>
      </c>
      <c r="C468" s="288">
        <v>76.411819500233193</v>
      </c>
      <c r="D468" s="40">
        <v>149.30091843881101</v>
      </c>
      <c r="E468" s="239">
        <v>232.85391706466399</v>
      </c>
      <c r="F468" s="288">
        <v>172.82258660629896</v>
      </c>
      <c r="G468" s="40">
        <v>244.29232540519183</v>
      </c>
      <c r="H468" s="239">
        <v>327.50725177610065</v>
      </c>
      <c r="I468" s="288">
        <v>30329777.237026993</v>
      </c>
      <c r="J468" s="40">
        <v>34810209.497471385</v>
      </c>
      <c r="K468" s="239">
        <v>39804593.895523153</v>
      </c>
      <c r="L468" s="40">
        <f t="shared" si="51"/>
        <v>-163.53817931489294</v>
      </c>
      <c r="M468" s="40">
        <f t="shared" si="52"/>
        <v>-166.05751633820014</v>
      </c>
      <c r="N468" s="239">
        <f t="shared" si="53"/>
        <v>-170.58479455900897</v>
      </c>
    </row>
    <row r="469" spans="1:14" x14ac:dyDescent="0.2">
      <c r="A469" s="285" t="s">
        <v>459</v>
      </c>
      <c r="B469" s="205">
        <v>14030005</v>
      </c>
      <c r="C469" s="288">
        <v>3001.5369779043899</v>
      </c>
      <c r="D469" s="40">
        <v>4904.1225473735803</v>
      </c>
      <c r="E469" s="239">
        <v>6785.6849397174101</v>
      </c>
      <c r="F469" s="288">
        <v>16.854030762105172</v>
      </c>
      <c r="G469" s="40">
        <v>22.48090165631897</v>
      </c>
      <c r="H469" s="239">
        <v>30.218651054274261</v>
      </c>
      <c r="I469" s="288">
        <v>253458.36282697099</v>
      </c>
      <c r="J469" s="40">
        <v>277827.54117581103</v>
      </c>
      <c r="K469" s="239">
        <v>301790.97553201899</v>
      </c>
      <c r="L469" s="40">
        <f t="shared" si="51"/>
        <v>4123.6100688351116</v>
      </c>
      <c r="M469" s="40">
        <f t="shared" si="52"/>
        <v>6744.5672002694937</v>
      </c>
      <c r="N469" s="239">
        <f t="shared" si="53"/>
        <v>9333.5609778343496</v>
      </c>
    </row>
    <row r="470" spans="1:14" x14ac:dyDescent="0.2">
      <c r="A470" s="285" t="s">
        <v>459</v>
      </c>
      <c r="B470" s="205">
        <v>3050102</v>
      </c>
      <c r="C470" s="288">
        <v>398.23200511401001</v>
      </c>
      <c r="D470" s="40">
        <v>606.96022658261802</v>
      </c>
      <c r="E470" s="239">
        <v>801.95652377365002</v>
      </c>
      <c r="F470" s="288">
        <v>21.113262911550777</v>
      </c>
      <c r="G470" s="40">
        <v>24.69626699626604</v>
      </c>
      <c r="H470" s="239">
        <v>28.673370562357974</v>
      </c>
      <c r="I470" s="288">
        <v>700606.32064829394</v>
      </c>
      <c r="J470" s="40">
        <v>767537.19033624697</v>
      </c>
      <c r="K470" s="239">
        <v>833662.78108524997</v>
      </c>
      <c r="L470" s="40">
        <f t="shared" si="51"/>
        <v>520.35514865678158</v>
      </c>
      <c r="M470" s="40">
        <f t="shared" si="52"/>
        <v>803.73235397533779</v>
      </c>
      <c r="N470" s="239">
        <f t="shared" si="53"/>
        <v>1067.5927825731596</v>
      </c>
    </row>
    <row r="471" spans="1:14" x14ac:dyDescent="0.2">
      <c r="A471" s="285" t="s">
        <v>459</v>
      </c>
      <c r="B471" s="205">
        <v>16060010</v>
      </c>
      <c r="C471" s="288">
        <v>35.461821308895303</v>
      </c>
      <c r="D471" s="40">
        <v>50.579269808178303</v>
      </c>
      <c r="E471" s="239">
        <v>73.112230436768897</v>
      </c>
      <c r="F471" s="288">
        <v>22.562528686946397</v>
      </c>
      <c r="G471" s="40">
        <v>28.220992507615531</v>
      </c>
      <c r="H471" s="239">
        <v>35.149720263186772</v>
      </c>
      <c r="I471" s="288">
        <v>3907981.8470785301</v>
      </c>
      <c r="J471" s="40">
        <v>4284302.1047777897</v>
      </c>
      <c r="K471" s="239">
        <v>4647432.1803099699</v>
      </c>
      <c r="L471" s="40">
        <f t="shared" si="51"/>
        <v>13.914655703499692</v>
      </c>
      <c r="M471" s="40">
        <f t="shared" si="52"/>
        <v>26.607583540579824</v>
      </c>
      <c r="N471" s="239">
        <f t="shared" si="53"/>
        <v>47.804440892375531</v>
      </c>
    </row>
    <row r="472" spans="1:14" ht="16" thickBot="1" x14ac:dyDescent="0.25">
      <c r="A472" s="286" t="s">
        <v>459</v>
      </c>
      <c r="B472" s="206">
        <v>11140205</v>
      </c>
      <c r="C472" s="289">
        <v>292.69075230382299</v>
      </c>
      <c r="D472" s="249">
        <v>538.96323305230499</v>
      </c>
      <c r="E472" s="240">
        <v>899.80116678150102</v>
      </c>
      <c r="F472" s="289">
        <v>12.169112406897412</v>
      </c>
      <c r="G472" s="249">
        <v>16.406190133548026</v>
      </c>
      <c r="H472" s="240">
        <v>20.911407532093602</v>
      </c>
      <c r="I472" s="289">
        <v>3314052.43424983</v>
      </c>
      <c r="J472" s="249">
        <v>3621992.3970981999</v>
      </c>
      <c r="K472" s="240">
        <v>3935422.7909373799</v>
      </c>
      <c r="L472" s="249">
        <f t="shared" si="51"/>
        <v>384.27584567144578</v>
      </c>
      <c r="M472" s="249">
        <f t="shared" si="52"/>
        <v>718.38231035015076</v>
      </c>
      <c r="N472" s="240">
        <f t="shared" si="53"/>
        <v>1210.405090685259</v>
      </c>
    </row>
    <row r="473" spans="1:14" x14ac:dyDescent="0.2">
      <c r="A473" s="285" t="s">
        <v>460</v>
      </c>
      <c r="B473" s="205">
        <v>16060011</v>
      </c>
      <c r="C473" s="288" cm="1">
        <f t="array" ref="C473:E485">$W$43:$Y$55</f>
        <v>34.292178908256801</v>
      </c>
      <c r="D473" s="40">
        <v>48.777653477418902</v>
      </c>
      <c r="E473" s="239">
        <v>72.614002580784103</v>
      </c>
      <c r="F473" s="288" cm="1">
        <f t="array" ref="F473:H485">K187:M199</f>
        <v>53.513094908383849</v>
      </c>
      <c r="G473" s="40">
        <v>72.104076427253744</v>
      </c>
      <c r="H473" s="239">
        <v>92.921667999452993</v>
      </c>
      <c r="I473" s="288" cm="1">
        <f t="array" ref="I473:K485">$B$203:$D$215</f>
        <v>28572915.147869598</v>
      </c>
      <c r="J473" s="40">
        <v>36784589.510791823</v>
      </c>
      <c r="K473" s="239">
        <v>63986855.731934547</v>
      </c>
      <c r="L473" s="40">
        <f t="shared" si="51"/>
        <v>-55.129985314451865</v>
      </c>
      <c r="M473" s="40">
        <f t="shared" si="52"/>
        <v>-69.014138352795214</v>
      </c>
      <c r="N473" s="239">
        <f t="shared" si="53"/>
        <v>-92.045461026266054</v>
      </c>
    </row>
    <row r="474" spans="1:14" x14ac:dyDescent="0.2">
      <c r="A474" s="285" t="s">
        <v>460</v>
      </c>
      <c r="B474" s="205">
        <v>15030202</v>
      </c>
      <c r="C474" s="288">
        <v>42.725163259414202</v>
      </c>
      <c r="D474" s="40">
        <v>67.688069894413402</v>
      </c>
      <c r="E474" s="239">
        <v>98.437227743597703</v>
      </c>
      <c r="F474" s="288">
        <v>111.25629521385532</v>
      </c>
      <c r="G474" s="40">
        <v>138.35599832293494</v>
      </c>
      <c r="H474" s="239">
        <v>167.45812660020542</v>
      </c>
      <c r="I474" s="288">
        <v>366842.57135850086</v>
      </c>
      <c r="J474" s="40">
        <v>1927238.7365708405</v>
      </c>
      <c r="K474" s="239">
        <v>9736611.9085476827</v>
      </c>
      <c r="L474" s="40">
        <f t="shared" si="51"/>
        <v>-95.05463372019716</v>
      </c>
      <c r="M474" s="40">
        <f t="shared" si="52"/>
        <v>-99.567389382401416</v>
      </c>
      <c r="N474" s="239">
        <f t="shared" si="53"/>
        <v>-105.10110202355538</v>
      </c>
    </row>
    <row r="475" spans="1:14" x14ac:dyDescent="0.2">
      <c r="A475" s="285" t="s">
        <v>460</v>
      </c>
      <c r="B475" s="205">
        <v>15030201</v>
      </c>
      <c r="C475" s="288">
        <v>75.648371966438702</v>
      </c>
      <c r="D475" s="40">
        <v>140.768827928652</v>
      </c>
      <c r="E475" s="239">
        <v>218.153538533823</v>
      </c>
      <c r="F475" s="288">
        <v>111.85715932604855</v>
      </c>
      <c r="G475" s="40">
        <v>138.48783367394662</v>
      </c>
      <c r="H475" s="239">
        <v>167.95235466166051</v>
      </c>
      <c r="I475" s="288">
        <v>234256.73678805656</v>
      </c>
      <c r="J475" s="40">
        <v>1154893.0353673985</v>
      </c>
      <c r="K475" s="239">
        <v>5512974.9020288968</v>
      </c>
      <c r="L475" s="40">
        <f t="shared" si="51"/>
        <v>-50.263053832080487</v>
      </c>
      <c r="M475" s="40">
        <f t="shared" si="52"/>
        <v>1.9967010130838465</v>
      </c>
      <c r="N475" s="239">
        <f t="shared" si="53"/>
        <v>63.848774690430965</v>
      </c>
    </row>
    <row r="476" spans="1:14" x14ac:dyDescent="0.2">
      <c r="A476" s="285" t="s">
        <v>460</v>
      </c>
      <c r="B476" s="205">
        <v>18100204</v>
      </c>
      <c r="C476" s="288">
        <v>452.96883820272501</v>
      </c>
      <c r="D476" s="40">
        <v>460.812445862939</v>
      </c>
      <c r="E476" s="239">
        <v>472.42661716664702</v>
      </c>
      <c r="F476" s="288">
        <v>1622.6222496584392</v>
      </c>
      <c r="G476" s="40">
        <v>2459.3811567448952</v>
      </c>
      <c r="H476" s="239">
        <v>3405.3854277074106</v>
      </c>
      <c r="I476" s="288">
        <v>22199286.375928421</v>
      </c>
      <c r="J476" s="40">
        <v>24275416.981995799</v>
      </c>
      <c r="K476" s="239">
        <v>26300815.250844281</v>
      </c>
      <c r="L476" s="40">
        <f t="shared" si="51"/>
        <v>-1638.2808362045841</v>
      </c>
      <c r="M476" s="40">
        <f t="shared" si="52"/>
        <v>-2785.648989775153</v>
      </c>
      <c r="N476" s="239">
        <f t="shared" si="53"/>
        <v>-4078.6983662682824</v>
      </c>
    </row>
    <row r="477" spans="1:14" x14ac:dyDescent="0.2">
      <c r="A477" s="285" t="s">
        <v>460</v>
      </c>
      <c r="B477" s="205">
        <v>16060013</v>
      </c>
      <c r="C477" s="288">
        <v>26.200462738616299</v>
      </c>
      <c r="D477" s="40">
        <v>47.4214569582198</v>
      </c>
      <c r="E477" s="239">
        <v>78.651213450861206</v>
      </c>
      <c r="F477" s="288">
        <v>53.544220462942661</v>
      </c>
      <c r="G477" s="40">
        <v>71.889280482972723</v>
      </c>
      <c r="H477" s="239">
        <v>92.920353316743913</v>
      </c>
      <c r="I477" s="288">
        <v>4923485.5062215896</v>
      </c>
      <c r="J477" s="40">
        <v>5371061.4209230598</v>
      </c>
      <c r="K477" s="239">
        <v>5838965.3933930201</v>
      </c>
      <c r="L477" s="40">
        <f t="shared" si="51"/>
        <v>-42.703687682754762</v>
      </c>
      <c r="M477" s="40">
        <f t="shared" si="52"/>
        <v>-39.177655558586466</v>
      </c>
      <c r="N477" s="239">
        <f t="shared" si="53"/>
        <v>-25.554287422401348</v>
      </c>
    </row>
    <row r="478" spans="1:14" x14ac:dyDescent="0.2">
      <c r="A478" s="285" t="s">
        <v>460</v>
      </c>
      <c r="B478" s="205">
        <v>18090208</v>
      </c>
      <c r="C478" s="288">
        <v>25.678674683894901</v>
      </c>
      <c r="D478" s="40">
        <v>36.489478692658501</v>
      </c>
      <c r="E478" s="239">
        <v>48.873336291130897</v>
      </c>
      <c r="F478" s="288">
        <v>1065.726203703214</v>
      </c>
      <c r="G478" s="40">
        <v>1506.3757456240696</v>
      </c>
      <c r="H478" s="239">
        <v>2151.3356089006807</v>
      </c>
      <c r="I478" s="288">
        <v>0</v>
      </c>
      <c r="J478" s="40">
        <v>0</v>
      </c>
      <c r="K478" s="239">
        <v>0</v>
      </c>
      <c r="L478" s="40">
        <f t="shared" si="51"/>
        <v>-1437.0082676894272</v>
      </c>
      <c r="M478" s="40">
        <f t="shared" si="52"/>
        <v>-2030.9059530531813</v>
      </c>
      <c r="N478" s="239">
        <f t="shared" si="53"/>
        <v>-2904.9207694323609</v>
      </c>
    </row>
    <row r="479" spans="1:14" x14ac:dyDescent="0.2">
      <c r="A479" s="285" t="s">
        <v>460</v>
      </c>
      <c r="B479" s="205">
        <v>16060003</v>
      </c>
      <c r="C479" s="288">
        <v>22.2096310595144</v>
      </c>
      <c r="D479" s="40">
        <v>45.950180539998797</v>
      </c>
      <c r="E479" s="239">
        <v>84.133777726252902</v>
      </c>
      <c r="F479" s="288">
        <v>38.92308926357606</v>
      </c>
      <c r="G479" s="40">
        <v>52.133471376883406</v>
      </c>
      <c r="H479" s="239">
        <v>66.536793462583461</v>
      </c>
      <c r="I479" s="288">
        <v>12602172.90105447</v>
      </c>
      <c r="J479" s="40">
        <v>19226978.004610445</v>
      </c>
      <c r="K479" s="239">
        <v>49036167.912910365</v>
      </c>
      <c r="L479" s="40">
        <f t="shared" si="51"/>
        <v>-35.694749875459422</v>
      </c>
      <c r="M479" s="40">
        <f t="shared" si="52"/>
        <v>-27.770279927080963</v>
      </c>
      <c r="N479" s="239">
        <f t="shared" si="53"/>
        <v>-24.722844562065671</v>
      </c>
    </row>
    <row r="480" spans="1:14" x14ac:dyDescent="0.2">
      <c r="A480" s="285" t="s">
        <v>460</v>
      </c>
      <c r="B480" s="205">
        <v>3050105</v>
      </c>
      <c r="C480" s="288">
        <v>2001.4934013228001</v>
      </c>
      <c r="D480" s="40">
        <v>2574.8867998783298</v>
      </c>
      <c r="E480" s="239">
        <v>3256.7323646238701</v>
      </c>
      <c r="F480" s="288">
        <v>79.523349067878797</v>
      </c>
      <c r="G480" s="40">
        <v>88.272625196449738</v>
      </c>
      <c r="H480" s="239">
        <v>97.784879202690504</v>
      </c>
      <c r="I480" s="288">
        <v>5641658.7436765898</v>
      </c>
      <c r="J480" s="40">
        <v>8953939.5431325138</v>
      </c>
      <c r="K480" s="239">
        <v>12991490.357235583</v>
      </c>
      <c r="L480" s="40">
        <f t="shared" si="51"/>
        <v>2649.8974183464247</v>
      </c>
      <c r="M480" s="40">
        <f t="shared" si="52"/>
        <v>3426.7401300739584</v>
      </c>
      <c r="N480" s="239">
        <f t="shared" si="53"/>
        <v>4351.6490929700303</v>
      </c>
    </row>
    <row r="481" spans="1:14" x14ac:dyDescent="0.2">
      <c r="A481" s="285" t="s">
        <v>460</v>
      </c>
      <c r="B481" s="205">
        <v>16040201</v>
      </c>
      <c r="C481" s="288">
        <v>92.491080287871299</v>
      </c>
      <c r="D481" s="40">
        <v>160.84855202638599</v>
      </c>
      <c r="E481" s="239">
        <v>235.85873276163201</v>
      </c>
      <c r="F481" s="288">
        <v>393.23562609109155</v>
      </c>
      <c r="G481" s="40">
        <v>523.95747129047459</v>
      </c>
      <c r="H481" s="239">
        <v>677.16873780417723</v>
      </c>
      <c r="I481" s="288">
        <v>30329777.237026993</v>
      </c>
      <c r="J481" s="40">
        <v>34810209.497471385</v>
      </c>
      <c r="K481" s="239">
        <v>39804593.895523153</v>
      </c>
      <c r="L481" s="40">
        <f t="shared" si="51"/>
        <v>-445.86117048905743</v>
      </c>
      <c r="M481" s="40">
        <f t="shared" si="52"/>
        <v>-536.50893431082159</v>
      </c>
      <c r="N481" s="239">
        <f t="shared" si="53"/>
        <v>-649.55184886777215</v>
      </c>
    </row>
    <row r="482" spans="1:14" x14ac:dyDescent="0.2">
      <c r="A482" s="285" t="s">
        <v>460</v>
      </c>
      <c r="B482" s="205">
        <v>14030005</v>
      </c>
      <c r="C482" s="288">
        <v>6978.3817289241997</v>
      </c>
      <c r="D482" s="40">
        <v>10205.0403817693</v>
      </c>
      <c r="E482" s="239">
        <v>14032.3727904728</v>
      </c>
      <c r="F482" s="288">
        <v>22.714392344356725</v>
      </c>
      <c r="G482" s="40">
        <v>27.944060550509118</v>
      </c>
      <c r="H482" s="239">
        <v>34.151109820945379</v>
      </c>
      <c r="I482" s="288">
        <v>253458.36282697099</v>
      </c>
      <c r="J482" s="40">
        <v>277827.54117581103</v>
      </c>
      <c r="K482" s="239">
        <v>301790.97553201899</v>
      </c>
      <c r="L482" s="40">
        <f t="shared" si="51"/>
        <v>9610.222208443809</v>
      </c>
      <c r="M482" s="40">
        <f t="shared" si="52"/>
        <v>14061.167583951557</v>
      </c>
      <c r="N482" s="239">
        <f t="shared" si="53"/>
        <v>19340.699198674873</v>
      </c>
    </row>
    <row r="483" spans="1:14" x14ac:dyDescent="0.2">
      <c r="A483" s="285" t="s">
        <v>460</v>
      </c>
      <c r="B483" s="205">
        <v>3050102</v>
      </c>
      <c r="C483" s="288">
        <v>527.68230095035801</v>
      </c>
      <c r="D483" s="40">
        <v>702.59074967037998</v>
      </c>
      <c r="E483" s="239">
        <v>910.03330977642497</v>
      </c>
      <c r="F483" s="288">
        <v>21.366068679536113</v>
      </c>
      <c r="G483" s="40">
        <v>24.54898707659952</v>
      </c>
      <c r="H483" s="239">
        <v>28.332072741944167</v>
      </c>
      <c r="I483" s="288">
        <v>700606.32064829394</v>
      </c>
      <c r="J483" s="40">
        <v>767537.19033624697</v>
      </c>
      <c r="K483" s="239">
        <v>833662.78108524997</v>
      </c>
      <c r="L483" s="40">
        <f t="shared" si="51"/>
        <v>698.86416503608132</v>
      </c>
      <c r="M483" s="40">
        <f t="shared" si="52"/>
        <v>936.06620501826217</v>
      </c>
      <c r="N483" s="239">
        <f t="shared" si="53"/>
        <v>1217.3914008804136</v>
      </c>
    </row>
    <row r="484" spans="1:14" x14ac:dyDescent="0.2">
      <c r="A484" s="285" t="s">
        <v>460</v>
      </c>
      <c r="B484" s="205">
        <v>16060010</v>
      </c>
      <c r="C484" s="288">
        <v>38.201812534020902</v>
      </c>
      <c r="D484" s="40">
        <v>57.399868949638602</v>
      </c>
      <c r="E484" s="239">
        <v>86.368223839144306</v>
      </c>
      <c r="F484" s="288">
        <v>44.524961237030048</v>
      </c>
      <c r="G484" s="40">
        <v>56.324015943280266</v>
      </c>
      <c r="H484" s="239">
        <v>68.742093166426926</v>
      </c>
      <c r="I484" s="288">
        <v>3907981.8470785301</v>
      </c>
      <c r="J484" s="40">
        <v>4284302.1047777897</v>
      </c>
      <c r="K484" s="239">
        <v>4647432.1803099699</v>
      </c>
      <c r="L484" s="40">
        <f t="shared" si="51"/>
        <v>-12.644521967145524</v>
      </c>
      <c r="M484" s="40">
        <f t="shared" si="52"/>
        <v>-2.7978222835976769</v>
      </c>
      <c r="N484" s="239">
        <f t="shared" si="53"/>
        <v>19.706162052015344</v>
      </c>
    </row>
    <row r="485" spans="1:14" ht="16" thickBot="1" x14ac:dyDescent="0.25">
      <c r="A485" s="285" t="s">
        <v>460</v>
      </c>
      <c r="B485" s="205">
        <v>11140205</v>
      </c>
      <c r="C485" s="288">
        <v>537.23069856021698</v>
      </c>
      <c r="D485" s="40">
        <v>748.14577591861701</v>
      </c>
      <c r="E485" s="239">
        <v>1004.72716360987</v>
      </c>
      <c r="F485" s="288">
        <v>9.8455860711218808</v>
      </c>
      <c r="G485" s="40">
        <v>11.931317404458451</v>
      </c>
      <c r="H485" s="239">
        <v>14.625589111696591</v>
      </c>
      <c r="I485" s="288">
        <v>3314052.43424983</v>
      </c>
      <c r="J485" s="40">
        <v>3621992.3970981999</v>
      </c>
      <c r="K485" s="239">
        <v>3935422.7909373799</v>
      </c>
      <c r="L485" s="40">
        <f t="shared" si="51"/>
        <v>725.36107611275634</v>
      </c>
      <c r="M485" s="40">
        <f t="shared" si="52"/>
        <v>1013.5875428968309</v>
      </c>
      <c r="N485" s="239">
        <f t="shared" si="53"/>
        <v>1364.0637394663543</v>
      </c>
    </row>
    <row r="486" spans="1:14" x14ac:dyDescent="0.2">
      <c r="A486" s="284" t="s">
        <v>461</v>
      </c>
      <c r="B486" s="281">
        <v>16060011</v>
      </c>
      <c r="C486" s="287" cm="1">
        <f t="array" ref="C486:E498">$AC$43:$AE$55</f>
        <v>43.782501794978998</v>
      </c>
      <c r="D486" s="254">
        <v>84.642612800855304</v>
      </c>
      <c r="E486" s="255">
        <v>150.74858329788199</v>
      </c>
      <c r="F486" s="287" cm="1">
        <f t="array" ref="F486:H498">N187:P199</f>
        <v>19.686665001540881</v>
      </c>
      <c r="G486" s="254">
        <v>33.44637517679412</v>
      </c>
      <c r="H486" s="255">
        <v>52.889535868716678</v>
      </c>
      <c r="I486" s="287" cm="1">
        <f t="array" ref="I486:K498">$B$203:$D$215</f>
        <v>28572915.147869598</v>
      </c>
      <c r="J486" s="254">
        <v>36784589.510791823</v>
      </c>
      <c r="K486" s="255">
        <v>63986855.731934547</v>
      </c>
      <c r="L486" s="40">
        <f t="shared" si="51"/>
        <v>4.719714008910497</v>
      </c>
      <c r="M486" s="40">
        <f t="shared" si="52"/>
        <v>33.952001546482713</v>
      </c>
      <c r="N486" s="239">
        <f t="shared" si="53"/>
        <v>71.222599894117167</v>
      </c>
    </row>
    <row r="487" spans="1:14" x14ac:dyDescent="0.2">
      <c r="A487" s="285" t="s">
        <v>461</v>
      </c>
      <c r="B487" s="205">
        <v>15030202</v>
      </c>
      <c r="C487" s="288">
        <v>41.321261015985897</v>
      </c>
      <c r="D487" s="40">
        <v>83.147186782589401</v>
      </c>
      <c r="E487" s="239">
        <v>145.80377498727501</v>
      </c>
      <c r="F487" s="288">
        <v>86.087757587604614</v>
      </c>
      <c r="G487" s="40">
        <v>107.74768557113389</v>
      </c>
      <c r="H487" s="239">
        <v>133.6266338474006</v>
      </c>
      <c r="I487" s="288">
        <v>366842.57135850086</v>
      </c>
      <c r="J487" s="40">
        <v>1927238.7365708405</v>
      </c>
      <c r="K487" s="239">
        <v>9736611.9085476827</v>
      </c>
      <c r="L487" s="40">
        <f t="shared" si="51"/>
        <v>-62.219617462871724</v>
      </c>
      <c r="M487" s="40">
        <f t="shared" si="52"/>
        <v>-35.917147045622279</v>
      </c>
      <c r="N487" s="239">
        <f t="shared" si="53"/>
        <v>7.0882465777951467</v>
      </c>
    </row>
    <row r="488" spans="1:14" x14ac:dyDescent="0.2">
      <c r="A488" s="285" t="s">
        <v>461</v>
      </c>
      <c r="B488" s="205">
        <v>15030201</v>
      </c>
      <c r="C488" s="288">
        <v>78.715689669594596</v>
      </c>
      <c r="D488" s="40">
        <v>178.39934308884801</v>
      </c>
      <c r="E488" s="239">
        <v>334.77129497235097</v>
      </c>
      <c r="F488" s="288">
        <v>86.19161517573518</v>
      </c>
      <c r="G488" s="40">
        <v>107.63474926268303</v>
      </c>
      <c r="H488" s="239">
        <v>133.36731784692395</v>
      </c>
      <c r="I488" s="288">
        <v>234256.73678805656</v>
      </c>
      <c r="J488" s="40">
        <v>1154893.0353673985</v>
      </c>
      <c r="K488" s="239">
        <v>5512974.9020288968</v>
      </c>
      <c r="L488" s="40">
        <f t="shared" si="51"/>
        <v>-10.563560409173142</v>
      </c>
      <c r="M488" s="40">
        <f t="shared" si="52"/>
        <v>96.618817829335214</v>
      </c>
      <c r="N488" s="239">
        <f t="shared" si="53"/>
        <v>272.76198100087095</v>
      </c>
    </row>
    <row r="489" spans="1:14" x14ac:dyDescent="0.2">
      <c r="A489" s="285" t="s">
        <v>461</v>
      </c>
      <c r="B489" s="205">
        <v>18100204</v>
      </c>
      <c r="C489" s="288">
        <v>447.98603382843498</v>
      </c>
      <c r="D489" s="40">
        <v>449.02413280989299</v>
      </c>
      <c r="E489" s="239">
        <v>450.559366817951</v>
      </c>
      <c r="F489" s="288">
        <v>722.40274650712672</v>
      </c>
      <c r="G489" s="40">
        <v>1565.1787835669345</v>
      </c>
      <c r="H489" s="239">
        <v>2688.8791899326652</v>
      </c>
      <c r="I489" s="288">
        <v>22199286.375928421</v>
      </c>
      <c r="J489" s="40">
        <v>24275416.981995799</v>
      </c>
      <c r="K489" s="239">
        <v>26300815.250844281</v>
      </c>
      <c r="L489" s="40">
        <f t="shared" si="51"/>
        <v>-401.3541556570122</v>
      </c>
      <c r="M489" s="40">
        <f t="shared" si="52"/>
        <v>-1566.4390358603027</v>
      </c>
      <c r="N489" s="239">
        <f t="shared" si="53"/>
        <v>-3118.9326438960852</v>
      </c>
    </row>
    <row r="490" spans="1:14" x14ac:dyDescent="0.2">
      <c r="A490" s="285" t="s">
        <v>461</v>
      </c>
      <c r="B490" s="205">
        <v>16060013</v>
      </c>
      <c r="C490" s="288">
        <v>32.695664113878003</v>
      </c>
      <c r="D490" s="40">
        <v>77.061769772062206</v>
      </c>
      <c r="E490" s="239">
        <v>147.51134257099599</v>
      </c>
      <c r="F490" s="288">
        <v>19.515547657377088</v>
      </c>
      <c r="G490" s="40">
        <v>33.210137310795005</v>
      </c>
      <c r="H490" s="239">
        <v>52.904669961299227</v>
      </c>
      <c r="I490" s="288">
        <v>4923485.5062215896</v>
      </c>
      <c r="J490" s="40">
        <v>5371061.4209230598</v>
      </c>
      <c r="K490" s="239">
        <v>5838965.3933930201</v>
      </c>
      <c r="L490" s="40">
        <f t="shared" si="51"/>
        <v>13.287159477436155</v>
      </c>
      <c r="M490" s="40">
        <f t="shared" si="52"/>
        <v>55.21766807486955</v>
      </c>
      <c r="N490" s="239">
        <f t="shared" si="53"/>
        <v>124.87676338384044</v>
      </c>
    </row>
    <row r="491" spans="1:14" x14ac:dyDescent="0.2">
      <c r="A491" s="285" t="s">
        <v>461</v>
      </c>
      <c r="B491" s="205">
        <v>18090208</v>
      </c>
      <c r="C491" s="288">
        <v>16.467427421284999</v>
      </c>
      <c r="D491" s="40">
        <v>22.299267642821899</v>
      </c>
      <c r="E491" s="239">
        <v>29.838941972324001</v>
      </c>
      <c r="F491" s="288">
        <v>638.76183854306112</v>
      </c>
      <c r="G491" s="40">
        <v>834.73806767701672</v>
      </c>
      <c r="H491" s="239">
        <v>1070.3685109459207</v>
      </c>
      <c r="I491" s="288">
        <v>0</v>
      </c>
      <c r="J491" s="40">
        <v>0</v>
      </c>
      <c r="K491" s="239">
        <v>0</v>
      </c>
      <c r="L491" s="40">
        <f t="shared" si="51"/>
        <v>-859.80898830855745</v>
      </c>
      <c r="M491" s="40">
        <f t="shared" si="52"/>
        <v>-1122.526846192939</v>
      </c>
      <c r="N491" s="239">
        <f t="shared" si="53"/>
        <v>-1437.6742905204289</v>
      </c>
    </row>
    <row r="492" spans="1:14" x14ac:dyDescent="0.2">
      <c r="A492" s="285" t="s">
        <v>461</v>
      </c>
      <c r="B492" s="205">
        <v>16060003</v>
      </c>
      <c r="C492" s="288">
        <v>35.124945282848799</v>
      </c>
      <c r="D492" s="40">
        <v>95.999086090166102</v>
      </c>
      <c r="E492" s="239">
        <v>195.16026273795899</v>
      </c>
      <c r="F492" s="288">
        <v>14.019344634752958</v>
      </c>
      <c r="G492" s="40">
        <v>23.841051871581705</v>
      </c>
      <c r="H492" s="239">
        <v>38.127843779967087</v>
      </c>
      <c r="I492" s="288">
        <v>12602172.90105447</v>
      </c>
      <c r="J492" s="40">
        <v>19226978.004610445</v>
      </c>
      <c r="K492" s="239">
        <v>49036167.912910365</v>
      </c>
      <c r="L492" s="40">
        <f t="shared" si="51"/>
        <v>16.558920010211601</v>
      </c>
      <c r="M492" s="40">
        <f t="shared" si="52"/>
        <v>80.472015415522264</v>
      </c>
      <c r="N492" s="239">
        <f t="shared" si="53"/>
        <v>167.93168984516782</v>
      </c>
    </row>
    <row r="493" spans="1:14" x14ac:dyDescent="0.2">
      <c r="A493" s="285" t="s">
        <v>461</v>
      </c>
      <c r="B493" s="205">
        <v>3050105</v>
      </c>
      <c r="C493" s="288">
        <v>1992.0175945380499</v>
      </c>
      <c r="D493" s="40">
        <v>2679.1378096358999</v>
      </c>
      <c r="E493" s="239">
        <v>3377.2442024768602</v>
      </c>
      <c r="F493" s="288">
        <v>82.260800605307324</v>
      </c>
      <c r="G493" s="40">
        <v>91.311049105440375</v>
      </c>
      <c r="H493" s="239">
        <v>101.17130845705638</v>
      </c>
      <c r="I493" s="288">
        <v>5641658.7436765898</v>
      </c>
      <c r="J493" s="40">
        <v>8953939.5431325138</v>
      </c>
      <c r="K493" s="239">
        <v>12991490.357235583</v>
      </c>
      <c r="L493" s="40">
        <f t="shared" si="51"/>
        <v>2633.022657631454</v>
      </c>
      <c r="M493" s="40">
        <f t="shared" si="52"/>
        <v>3566.5830878239526</v>
      </c>
      <c r="N493" s="239">
        <f t="shared" si="53"/>
        <v>4513.4784092431319</v>
      </c>
    </row>
    <row r="494" spans="1:14" x14ac:dyDescent="0.2">
      <c r="A494" s="285" t="s">
        <v>461</v>
      </c>
      <c r="B494" s="205">
        <v>16040201</v>
      </c>
      <c r="C494" s="288">
        <v>75.787922598335498</v>
      </c>
      <c r="D494" s="40">
        <v>165.97185102847601</v>
      </c>
      <c r="E494" s="239">
        <v>298.29679195447301</v>
      </c>
      <c r="F494" s="288">
        <v>272.02714915033681</v>
      </c>
      <c r="G494" s="40">
        <v>369.05801215678417</v>
      </c>
      <c r="H494" s="239">
        <v>488.4758131094128</v>
      </c>
      <c r="I494" s="288">
        <v>30329777.237026993</v>
      </c>
      <c r="J494" s="40">
        <v>34810209.497471385</v>
      </c>
      <c r="K494" s="239">
        <v>39804593.895523153</v>
      </c>
      <c r="L494" s="40">
        <f t="shared" si="51"/>
        <v>-301.46872342163573</v>
      </c>
      <c r="M494" s="40">
        <f t="shared" si="52"/>
        <v>-315.40939794981477</v>
      </c>
      <c r="N494" s="239">
        <f t="shared" si="53"/>
        <v>-302.57030230350364</v>
      </c>
    </row>
    <row r="495" spans="1:14" x14ac:dyDescent="0.2">
      <c r="A495" s="285" t="s">
        <v>461</v>
      </c>
      <c r="B495" s="205">
        <v>14030005</v>
      </c>
      <c r="C495" s="288">
        <v>4232.9401856161603</v>
      </c>
      <c r="D495" s="40">
        <v>6874.6503169996404</v>
      </c>
      <c r="E495" s="239">
        <v>9662.7300893207594</v>
      </c>
      <c r="F495" s="288">
        <v>16.064292804344888</v>
      </c>
      <c r="G495" s="40">
        <v>24.257040512983089</v>
      </c>
      <c r="H495" s="239">
        <v>35.251838528501935</v>
      </c>
      <c r="I495" s="288">
        <v>253458.36282697099</v>
      </c>
      <c r="J495" s="40">
        <v>277827.54117581103</v>
      </c>
      <c r="K495" s="239">
        <v>301790.97553201899</v>
      </c>
      <c r="L495" s="40">
        <f t="shared" si="51"/>
        <v>5826.1009655591342</v>
      </c>
      <c r="M495" s="40">
        <f t="shared" si="52"/>
        <v>9464.7432417531836</v>
      </c>
      <c r="N495" s="239">
        <f t="shared" si="53"/>
        <v>13301.749757027941</v>
      </c>
    </row>
    <row r="496" spans="1:14" x14ac:dyDescent="0.2">
      <c r="A496" s="285" t="s">
        <v>461</v>
      </c>
      <c r="B496" s="205">
        <v>3050102</v>
      </c>
      <c r="C496" s="288">
        <v>546.29472317794102</v>
      </c>
      <c r="D496" s="40">
        <v>724.06380094471001</v>
      </c>
      <c r="E496" s="239">
        <v>900.77018810118898</v>
      </c>
      <c r="F496" s="288">
        <v>24.390084575888324</v>
      </c>
      <c r="G496" s="40">
        <v>28.024880829956491</v>
      </c>
      <c r="H496" s="239">
        <v>32.515425942835442</v>
      </c>
      <c r="I496" s="288">
        <v>700606.32064829394</v>
      </c>
      <c r="J496" s="40">
        <v>767537.19033624697</v>
      </c>
      <c r="K496" s="239">
        <v>833662.78108524997</v>
      </c>
      <c r="L496" s="40">
        <f t="shared" si="51"/>
        <v>720.40228531718321</v>
      </c>
      <c r="M496" s="40">
        <f t="shared" si="52"/>
        <v>960.93243798449294</v>
      </c>
      <c r="N496" s="239">
        <f t="shared" si="53"/>
        <v>1198.8127349741615</v>
      </c>
    </row>
    <row r="497" spans="1:14" x14ac:dyDescent="0.2">
      <c r="A497" s="285" t="s">
        <v>461</v>
      </c>
      <c r="B497" s="205">
        <v>16060010</v>
      </c>
      <c r="C497" s="288">
        <v>39.467313374893003</v>
      </c>
      <c r="D497" s="40">
        <v>66.417243470531005</v>
      </c>
      <c r="E497" s="239">
        <v>109.519462920127</v>
      </c>
      <c r="F497" s="288">
        <v>24.225414536821084</v>
      </c>
      <c r="G497" s="40">
        <v>33.912576038828895</v>
      </c>
      <c r="H497" s="239">
        <v>47.817111277850358</v>
      </c>
      <c r="I497" s="288">
        <v>3907981.8470785301</v>
      </c>
      <c r="J497" s="40">
        <v>4284302.1047777897</v>
      </c>
      <c r="K497" s="239">
        <v>4647432.1803099699</v>
      </c>
      <c r="L497" s="40">
        <f t="shared" si="51"/>
        <v>17.151377494169783</v>
      </c>
      <c r="M497" s="40">
        <f t="shared" si="52"/>
        <v>40.626602959238348</v>
      </c>
      <c r="N497" s="239">
        <f t="shared" si="53"/>
        <v>80.605200004141722</v>
      </c>
    </row>
    <row r="498" spans="1:14" ht="16" thickBot="1" x14ac:dyDescent="0.25">
      <c r="A498" s="286" t="s">
        <v>461</v>
      </c>
      <c r="B498" s="206">
        <v>11140205</v>
      </c>
      <c r="C498" s="289">
        <v>369.09988286088497</v>
      </c>
      <c r="D498" s="249">
        <v>603.24510087413796</v>
      </c>
      <c r="E498" s="240">
        <v>897.52573862153099</v>
      </c>
      <c r="F498" s="289">
        <v>12.210198764163712</v>
      </c>
      <c r="G498" s="249">
        <v>16.457313504953703</v>
      </c>
      <c r="H498" s="240">
        <v>21.544437576072063</v>
      </c>
      <c r="I498" s="289">
        <v>3314052.43424983</v>
      </c>
      <c r="J498" s="249">
        <v>3621992.3970981999</v>
      </c>
      <c r="K498" s="240">
        <v>3935422.7909373799</v>
      </c>
      <c r="L498" s="249">
        <f t="shared" si="51"/>
        <v>489.79170705314186</v>
      </c>
      <c r="M498" s="249">
        <f t="shared" si="52"/>
        <v>807.12836112164041</v>
      </c>
      <c r="N498" s="240">
        <f t="shared" si="53"/>
        <v>1206.3865450239427</v>
      </c>
    </row>
  </sheetData>
  <mergeCells count="212">
    <mergeCell ref="C362:E362"/>
    <mergeCell ref="F362:H362"/>
    <mergeCell ref="I362:K362"/>
    <mergeCell ref="L362:N362"/>
    <mergeCell ref="C431:N431"/>
    <mergeCell ref="C432:E432"/>
    <mergeCell ref="F432:H432"/>
    <mergeCell ref="I432:K432"/>
    <mergeCell ref="L432:N432"/>
    <mergeCell ref="C290:N290"/>
    <mergeCell ref="C291:E291"/>
    <mergeCell ref="F291:H291"/>
    <mergeCell ref="I291:K291"/>
    <mergeCell ref="L291:N291"/>
    <mergeCell ref="C361:N361"/>
    <mergeCell ref="C221:E221"/>
    <mergeCell ref="F221:H221"/>
    <mergeCell ref="I221:K221"/>
    <mergeCell ref="L221:N221"/>
    <mergeCell ref="C220:N220"/>
    <mergeCell ref="B184:P184"/>
    <mergeCell ref="B185:D185"/>
    <mergeCell ref="E185:G185"/>
    <mergeCell ref="H185:J185"/>
    <mergeCell ref="K185:M185"/>
    <mergeCell ref="N185:P185"/>
    <mergeCell ref="B166:P166"/>
    <mergeCell ref="B167:D167"/>
    <mergeCell ref="E167:G167"/>
    <mergeCell ref="H167:J167"/>
    <mergeCell ref="K167:M167"/>
    <mergeCell ref="N167:P167"/>
    <mergeCell ref="B148:P148"/>
    <mergeCell ref="B149:D149"/>
    <mergeCell ref="E149:G149"/>
    <mergeCell ref="H149:J149"/>
    <mergeCell ref="K149:M149"/>
    <mergeCell ref="N149:P149"/>
    <mergeCell ref="B130:P130"/>
    <mergeCell ref="B131:D131"/>
    <mergeCell ref="E131:G131"/>
    <mergeCell ref="H131:J131"/>
    <mergeCell ref="K131:M131"/>
    <mergeCell ref="N131:P131"/>
    <mergeCell ref="BV113:BX113"/>
    <mergeCell ref="BY113:CA113"/>
    <mergeCell ref="CB113:CD113"/>
    <mergeCell ref="CE113:CG113"/>
    <mergeCell ref="CH113:CJ113"/>
    <mergeCell ref="CK113:CM113"/>
    <mergeCell ref="BD113:BF113"/>
    <mergeCell ref="BG113:BI113"/>
    <mergeCell ref="BJ113:BL113"/>
    <mergeCell ref="BM113:BO113"/>
    <mergeCell ref="BP113:BR113"/>
    <mergeCell ref="BS113:BU113"/>
    <mergeCell ref="AL113:AN113"/>
    <mergeCell ref="AO113:AQ113"/>
    <mergeCell ref="AR113:AT113"/>
    <mergeCell ref="AU113:AW113"/>
    <mergeCell ref="AX113:AZ113"/>
    <mergeCell ref="BA113:BC113"/>
    <mergeCell ref="T113:V113"/>
    <mergeCell ref="W113:Y113"/>
    <mergeCell ref="Z113:AB113"/>
    <mergeCell ref="AC113:AE113"/>
    <mergeCell ref="AF113:AH113"/>
    <mergeCell ref="AI113:AK113"/>
    <mergeCell ref="B113:D113"/>
    <mergeCell ref="E113:G113"/>
    <mergeCell ref="H113:J113"/>
    <mergeCell ref="K113:M113"/>
    <mergeCell ref="N113:P113"/>
    <mergeCell ref="Q113:S113"/>
    <mergeCell ref="CE95:CG95"/>
    <mergeCell ref="CH95:CJ95"/>
    <mergeCell ref="CK95:CM95"/>
    <mergeCell ref="B112:P112"/>
    <mergeCell ref="Q112:AE112"/>
    <mergeCell ref="AF112:AT112"/>
    <mergeCell ref="AU112:BI112"/>
    <mergeCell ref="BJ112:BX112"/>
    <mergeCell ref="BY112:CM112"/>
    <mergeCell ref="BM95:BO95"/>
    <mergeCell ref="BP95:BR95"/>
    <mergeCell ref="BS95:BU95"/>
    <mergeCell ref="BV95:BX95"/>
    <mergeCell ref="BY95:CA95"/>
    <mergeCell ref="CB95:CD95"/>
    <mergeCell ref="AU95:AW95"/>
    <mergeCell ref="AX95:AZ95"/>
    <mergeCell ref="BA95:BC95"/>
    <mergeCell ref="BD95:BF95"/>
    <mergeCell ref="BG95:BI95"/>
    <mergeCell ref="BJ95:BL95"/>
    <mergeCell ref="AC95:AE95"/>
    <mergeCell ref="AF95:AH95"/>
    <mergeCell ref="AI95:AK95"/>
    <mergeCell ref="AL95:AN95"/>
    <mergeCell ref="AO95:AQ95"/>
    <mergeCell ref="AR95:AT95"/>
    <mergeCell ref="K95:M95"/>
    <mergeCell ref="N95:P95"/>
    <mergeCell ref="Q95:S95"/>
    <mergeCell ref="T95:V95"/>
    <mergeCell ref="W95:Y95"/>
    <mergeCell ref="Z95:AB95"/>
    <mergeCell ref="CK77:CM77"/>
    <mergeCell ref="B94:P94"/>
    <mergeCell ref="Q94:AE94"/>
    <mergeCell ref="AF94:AT94"/>
    <mergeCell ref="AU94:BI94"/>
    <mergeCell ref="BJ94:BX94"/>
    <mergeCell ref="BY94:CM94"/>
    <mergeCell ref="BS77:BU77"/>
    <mergeCell ref="BV77:BX77"/>
    <mergeCell ref="BY77:CA77"/>
    <mergeCell ref="CB77:CD77"/>
    <mergeCell ref="CE77:CG77"/>
    <mergeCell ref="CH77:CJ77"/>
    <mergeCell ref="BA77:BC77"/>
    <mergeCell ref="BD77:BF77"/>
    <mergeCell ref="BG77:BI77"/>
    <mergeCell ref="BJ77:BL77"/>
    <mergeCell ref="BM77:BO77"/>
    <mergeCell ref="Q76:AE76"/>
    <mergeCell ref="AF76:AT76"/>
    <mergeCell ref="AU76:BI76"/>
    <mergeCell ref="BJ76:BX76"/>
    <mergeCell ref="BY76:CM76"/>
    <mergeCell ref="B77:D77"/>
    <mergeCell ref="E77:G77"/>
    <mergeCell ref="H77:J77"/>
    <mergeCell ref="K77:M77"/>
    <mergeCell ref="N77:P77"/>
    <mergeCell ref="B76:P76"/>
    <mergeCell ref="BP77:BR77"/>
    <mergeCell ref="AI77:AK77"/>
    <mergeCell ref="AL77:AN77"/>
    <mergeCell ref="AO77:AQ77"/>
    <mergeCell ref="AR77:AT77"/>
    <mergeCell ref="AU77:AW77"/>
    <mergeCell ref="AX77:AZ77"/>
    <mergeCell ref="Q77:S77"/>
    <mergeCell ref="T77:V77"/>
    <mergeCell ref="W77:Y77"/>
    <mergeCell ref="Z77:AB77"/>
    <mergeCell ref="AC77:AE77"/>
    <mergeCell ref="AF77:AH77"/>
    <mergeCell ref="BY58:CM58"/>
    <mergeCell ref="BY59:CA59"/>
    <mergeCell ref="CB59:CD59"/>
    <mergeCell ref="CE59:CG59"/>
    <mergeCell ref="CH59:CJ59"/>
    <mergeCell ref="CK59:CM59"/>
    <mergeCell ref="BJ58:BX58"/>
    <mergeCell ref="BJ59:BL59"/>
    <mergeCell ref="BM59:BO59"/>
    <mergeCell ref="BP59:BR59"/>
    <mergeCell ref="BS59:BU59"/>
    <mergeCell ref="BV59:BX59"/>
    <mergeCell ref="AU58:BI58"/>
    <mergeCell ref="AU59:AW59"/>
    <mergeCell ref="AX59:AZ59"/>
    <mergeCell ref="BA59:BC59"/>
    <mergeCell ref="BD59:BF59"/>
    <mergeCell ref="BG59:BI59"/>
    <mergeCell ref="AF58:AT58"/>
    <mergeCell ref="AF59:AH59"/>
    <mergeCell ref="AI59:AK59"/>
    <mergeCell ref="AL59:AN59"/>
    <mergeCell ref="AO59:AQ59"/>
    <mergeCell ref="AR59:AT59"/>
    <mergeCell ref="H40:M40"/>
    <mergeCell ref="H41:J41"/>
    <mergeCell ref="K41:M41"/>
    <mergeCell ref="Q58:AE58"/>
    <mergeCell ref="Q59:S59"/>
    <mergeCell ref="T59:V59"/>
    <mergeCell ref="W59:Y59"/>
    <mergeCell ref="Z59:AB59"/>
    <mergeCell ref="AC59:AE59"/>
    <mergeCell ref="Z40:AE40"/>
    <mergeCell ref="Z41:AB41"/>
    <mergeCell ref="AC41:AE41"/>
    <mergeCell ref="T40:Y40"/>
    <mergeCell ref="T41:V41"/>
    <mergeCell ref="W41:Y41"/>
    <mergeCell ref="B95:D95"/>
    <mergeCell ref="E95:G95"/>
    <mergeCell ref="H95:J95"/>
    <mergeCell ref="B41:D41"/>
    <mergeCell ref="E41:G41"/>
    <mergeCell ref="AH3:AJ3"/>
    <mergeCell ref="AK3:AM3"/>
    <mergeCell ref="C31:E31"/>
    <mergeCell ref="H3:K3"/>
    <mergeCell ref="L3:O3"/>
    <mergeCell ref="V3:X3"/>
    <mergeCell ref="Y3:AA3"/>
    <mergeCell ref="AB3:AD3"/>
    <mergeCell ref="AE3:AG3"/>
    <mergeCell ref="B59:D59"/>
    <mergeCell ref="E59:G59"/>
    <mergeCell ref="H59:J59"/>
    <mergeCell ref="K59:M59"/>
    <mergeCell ref="N59:P59"/>
    <mergeCell ref="B58:P58"/>
    <mergeCell ref="N40:S40"/>
    <mergeCell ref="N41:P41"/>
    <mergeCell ref="Q41:S41"/>
    <mergeCell ref="B40:G40"/>
  </mergeCells>
  <phoneticPr fontId="1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67AF-4D73-F540-954E-660B82F96FF8}">
  <dimension ref="A2:BA94"/>
  <sheetViews>
    <sheetView workbookViewId="0">
      <selection activeCell="A5" sqref="A5:XFD5"/>
    </sheetView>
  </sheetViews>
  <sheetFormatPr baseColWidth="10" defaultRowHeight="15" x14ac:dyDescent="0.2"/>
  <sheetData>
    <row r="2" spans="1:53" x14ac:dyDescent="0.2">
      <c r="A2" s="32" t="s">
        <v>538</v>
      </c>
    </row>
    <row r="4" spans="1:53" x14ac:dyDescent="0.2">
      <c r="A4" t="s">
        <v>540</v>
      </c>
    </row>
    <row r="5" spans="1:53" x14ac:dyDescent="0.2">
      <c r="B5" s="474" t="s">
        <v>419</v>
      </c>
      <c r="C5" s="474"/>
      <c r="D5" s="474"/>
      <c r="E5" s="474"/>
      <c r="F5" s="474" t="s">
        <v>418</v>
      </c>
      <c r="G5" s="474"/>
      <c r="H5" s="474"/>
      <c r="I5" s="474"/>
      <c r="J5" s="474" t="s">
        <v>423</v>
      </c>
      <c r="K5" s="474"/>
      <c r="L5" s="474"/>
      <c r="M5" s="474"/>
      <c r="N5" s="474" t="s">
        <v>539</v>
      </c>
      <c r="O5" s="474"/>
      <c r="P5" s="474"/>
      <c r="Q5" s="474"/>
      <c r="R5" s="474" t="s">
        <v>421</v>
      </c>
      <c r="S5" s="474"/>
      <c r="T5" s="474"/>
      <c r="U5" s="474"/>
      <c r="V5" s="474" t="s">
        <v>416</v>
      </c>
      <c r="W5" s="474"/>
      <c r="X5" s="474"/>
      <c r="Y5" s="474"/>
      <c r="Z5" s="474" t="s">
        <v>420</v>
      </c>
      <c r="AA5" s="474"/>
      <c r="AB5" s="474"/>
      <c r="AC5" s="474"/>
      <c r="AD5" s="474" t="s">
        <v>426</v>
      </c>
      <c r="AE5" s="474"/>
      <c r="AF5" s="474"/>
      <c r="AG5" s="474"/>
      <c r="AH5" s="474" t="s">
        <v>417</v>
      </c>
      <c r="AI5" s="474"/>
      <c r="AJ5" s="474"/>
      <c r="AK5" s="474"/>
      <c r="AL5" s="474" t="s">
        <v>427</v>
      </c>
      <c r="AM5" s="474"/>
      <c r="AN5" s="474"/>
      <c r="AO5" s="474"/>
      <c r="AP5" s="474" t="s">
        <v>425</v>
      </c>
      <c r="AQ5" s="474"/>
      <c r="AR5" s="474"/>
      <c r="AS5" s="474"/>
      <c r="AT5" s="474" t="s">
        <v>422</v>
      </c>
      <c r="AU5" s="474"/>
      <c r="AV5" s="474"/>
      <c r="AW5" s="474"/>
      <c r="AX5" s="474" t="s">
        <v>424</v>
      </c>
      <c r="AY5" s="474"/>
      <c r="AZ5" s="474"/>
      <c r="BA5" s="474"/>
    </row>
    <row r="6" spans="1:53" x14ac:dyDescent="0.2">
      <c r="B6" s="474">
        <v>16060011</v>
      </c>
      <c r="C6" s="474"/>
      <c r="D6" s="474"/>
      <c r="E6" s="474"/>
      <c r="F6" s="474">
        <v>15030202</v>
      </c>
      <c r="G6" s="474"/>
      <c r="H6" s="474"/>
      <c r="I6" s="474"/>
      <c r="J6" s="474">
        <v>15030201</v>
      </c>
      <c r="K6" s="474"/>
      <c r="L6" s="474"/>
      <c r="M6" s="474"/>
      <c r="N6" s="474">
        <v>18100204</v>
      </c>
      <c r="O6" s="474"/>
      <c r="P6" s="474"/>
      <c r="Q6" s="474"/>
      <c r="R6" s="474">
        <v>16060013</v>
      </c>
      <c r="S6" s="474"/>
      <c r="T6" s="474"/>
      <c r="U6" s="474"/>
      <c r="V6" s="474">
        <v>18090208</v>
      </c>
      <c r="W6" s="474"/>
      <c r="X6" s="474"/>
      <c r="Y6" s="474"/>
      <c r="Z6" s="474">
        <v>16060003</v>
      </c>
      <c r="AA6" s="474"/>
      <c r="AB6" s="474"/>
      <c r="AC6" s="474"/>
      <c r="AD6" s="474">
        <v>3050105</v>
      </c>
      <c r="AE6" s="474"/>
      <c r="AF6" s="474"/>
      <c r="AG6" s="474"/>
      <c r="AH6" s="474">
        <v>16040201</v>
      </c>
      <c r="AI6" s="474"/>
      <c r="AJ6" s="474"/>
      <c r="AK6" s="474"/>
      <c r="AL6" s="474">
        <v>14030005</v>
      </c>
      <c r="AM6" s="474"/>
      <c r="AN6" s="474"/>
      <c r="AO6" s="474"/>
      <c r="AP6" s="474">
        <v>3050102</v>
      </c>
      <c r="AQ6" s="474"/>
      <c r="AR6" s="474"/>
      <c r="AS6" s="474"/>
      <c r="AT6" s="474">
        <v>16060010</v>
      </c>
      <c r="AU6" s="474"/>
      <c r="AV6" s="474"/>
      <c r="AW6" s="474"/>
      <c r="AX6" s="474">
        <v>11140205</v>
      </c>
      <c r="AY6" s="474"/>
      <c r="AZ6" s="474"/>
      <c r="BA6" s="474"/>
    </row>
    <row r="7" spans="1:53" x14ac:dyDescent="0.2">
      <c r="B7" t="s">
        <v>462</v>
      </c>
      <c r="C7" t="s">
        <v>463</v>
      </c>
      <c r="D7" t="s">
        <v>464</v>
      </c>
      <c r="E7" t="s">
        <v>465</v>
      </c>
      <c r="F7" t="s">
        <v>462</v>
      </c>
      <c r="G7" t="s">
        <v>463</v>
      </c>
      <c r="H7" t="s">
        <v>464</v>
      </c>
      <c r="I7" t="s">
        <v>465</v>
      </c>
      <c r="J7" t="s">
        <v>462</v>
      </c>
      <c r="K7" t="s">
        <v>463</v>
      </c>
      <c r="L7" t="s">
        <v>464</v>
      </c>
      <c r="M7" t="s">
        <v>465</v>
      </c>
      <c r="N7" t="s">
        <v>462</v>
      </c>
      <c r="O7" t="s">
        <v>463</v>
      </c>
      <c r="P7" t="s">
        <v>464</v>
      </c>
      <c r="Q7" t="s">
        <v>465</v>
      </c>
      <c r="R7" t="s">
        <v>462</v>
      </c>
      <c r="S7" t="s">
        <v>463</v>
      </c>
      <c r="T7" t="s">
        <v>464</v>
      </c>
      <c r="U7" t="s">
        <v>465</v>
      </c>
      <c r="V7" t="s">
        <v>462</v>
      </c>
      <c r="W7" t="s">
        <v>463</v>
      </c>
      <c r="X7" t="s">
        <v>464</v>
      </c>
      <c r="Y7" t="s">
        <v>465</v>
      </c>
      <c r="Z7" t="s">
        <v>462</v>
      </c>
      <c r="AA7" t="s">
        <v>463</v>
      </c>
      <c r="AB7" t="s">
        <v>464</v>
      </c>
      <c r="AC7" t="s">
        <v>465</v>
      </c>
      <c r="AD7" t="s">
        <v>462</v>
      </c>
      <c r="AE7" t="s">
        <v>463</v>
      </c>
      <c r="AF7" t="s">
        <v>464</v>
      </c>
      <c r="AG7" t="s">
        <v>465</v>
      </c>
      <c r="AH7" t="s">
        <v>462</v>
      </c>
      <c r="AI7" t="s">
        <v>463</v>
      </c>
      <c r="AJ7" t="s">
        <v>464</v>
      </c>
      <c r="AK7" t="s">
        <v>465</v>
      </c>
      <c r="AL7" t="s">
        <v>462</v>
      </c>
      <c r="AM7" t="s">
        <v>463</v>
      </c>
      <c r="AN7" t="s">
        <v>464</v>
      </c>
      <c r="AO7" t="s">
        <v>465</v>
      </c>
      <c r="AP7" t="s">
        <v>462</v>
      </c>
      <c r="AQ7" t="s">
        <v>463</v>
      </c>
      <c r="AR7" t="s">
        <v>464</v>
      </c>
      <c r="AS7" t="s">
        <v>465</v>
      </c>
      <c r="AT7" t="s">
        <v>462</v>
      </c>
      <c r="AU7" t="s">
        <v>463</v>
      </c>
      <c r="AV7" t="s">
        <v>464</v>
      </c>
      <c r="AW7" t="s">
        <v>465</v>
      </c>
      <c r="AX7" t="s">
        <v>462</v>
      </c>
      <c r="AY7" t="s">
        <v>463</v>
      </c>
      <c r="AZ7" t="s">
        <v>464</v>
      </c>
      <c r="BA7" t="s">
        <v>465</v>
      </c>
    </row>
    <row r="8" spans="1:53" x14ac:dyDescent="0.2">
      <c r="A8" t="s">
        <v>396</v>
      </c>
      <c r="B8" s="39">
        <f>VLOOKUP(B$6,'8. Uncertainty Results'!$B$223:$N$235,11,FALSE)</f>
        <v>-47.925475624150096</v>
      </c>
      <c r="C8" s="39">
        <f>VLOOKUP(B$6,'8. Uncertainty Results'!$B$293:$N$305,11,FALSE)</f>
        <v>-55.898532898432094</v>
      </c>
      <c r="D8" s="39">
        <f>VLOOKUP(B$6,'8. Uncertainty Results'!$B$364:$N$376,11,FALSE)</f>
        <v>-54.23380469116951</v>
      </c>
      <c r="E8" s="39">
        <f>VLOOKUP(B$6,'8. Uncertainty Results'!$B$434:$N$446,11,FALSE)</f>
        <v>-57.603328685093913</v>
      </c>
      <c r="F8" s="39">
        <f>VLOOKUP(F$6,'8. Uncertainty Results'!$B$223:$N$235,11,FALSE)</f>
        <v>-137.97431132047018</v>
      </c>
      <c r="G8" s="39">
        <f>VLOOKUP(F$6,'8. Uncertainty Results'!$B$293:$N$305,11,FALSE)</f>
        <v>-97.529140877497298</v>
      </c>
      <c r="H8" s="39">
        <f>VLOOKUP(F$6,'8. Uncertainty Results'!$B$364:$N$376,11,FALSE)</f>
        <v>-83.630003269912379</v>
      </c>
      <c r="I8" s="39">
        <f>VLOOKUP(F$6,'8. Uncertainty Results'!$B$434:$N$446,11,FALSE)</f>
        <v>-113.66207478188203</v>
      </c>
      <c r="J8" s="39">
        <f>VLOOKUP(J$6,'8. Uncertainty Results'!$B$223:$N$235,11,FALSE)</f>
        <v>-86.676900126532971</v>
      </c>
      <c r="K8" s="39">
        <f>VLOOKUP(J$6,'8. Uncertainty Results'!$B$293:$N$305,11,FALSE)</f>
        <v>-45.586065149337863</v>
      </c>
      <c r="L8" s="39">
        <f>VLOOKUP(J$6,'8. Uncertainty Results'!$B$364:$N$376,11,FALSE)</f>
        <v>-29.883433525126044</v>
      </c>
      <c r="M8" s="39">
        <f>VLOOKUP(J$6,'8. Uncertainty Results'!$B$434:$N$446,11,FALSE)</f>
        <v>-60.86889745571402</v>
      </c>
      <c r="N8" s="39">
        <f>VLOOKUP(N$6,'8. Uncertainty Results'!$B$223:$N$235,11,FALSE)</f>
        <v>-389.82744410588958</v>
      </c>
      <c r="O8" s="39">
        <f>VLOOKUP(N$6,'8. Uncertainty Results'!$B$293:$N$305,11,FALSE)</f>
        <v>-1468.7587471701258</v>
      </c>
      <c r="P8" s="39">
        <f>VLOOKUP(N$6,'8. Uncertainty Results'!$B$364:$N$376,11,FALSE)</f>
        <v>-1464.2887741755203</v>
      </c>
      <c r="Q8" s="39">
        <f>VLOOKUP(N$6,'8. Uncertainty Results'!$B$434:$N$446,11,FALSE)</f>
        <v>-1487.634299080762</v>
      </c>
      <c r="R8" s="39">
        <f>VLOOKUP(R$6,'8. Uncertainty Results'!$B$223:$N$235,11,FALSE)</f>
        <v>-29.882623237226994</v>
      </c>
      <c r="S8" s="39">
        <f>VLOOKUP(R$6,'8. Uncertainty Results'!$B$293:$N$305,11,FALSE)</f>
        <v>-40.003379386908769</v>
      </c>
      <c r="T8" s="39">
        <f>VLOOKUP(R$6,'8. Uncertainty Results'!$B$364:$N$376,11,FALSE)</f>
        <v>-38.893615389922488</v>
      </c>
      <c r="U8" s="39">
        <f>VLOOKUP(R$6,'8. Uncertainty Results'!$B$434:$N$446,11,FALSE)</f>
        <v>-42.510569728126008</v>
      </c>
      <c r="V8" s="39">
        <f>VLOOKUP(V$6,'8. Uncertainty Results'!$B$223:$N$235,11,FALSE)</f>
        <v>-862.67602328067926</v>
      </c>
      <c r="W8" s="39">
        <f>VLOOKUP(V$6,'8. Uncertainty Results'!$B$293:$N$305,11,FALSE)</f>
        <v>-1148.1619138320295</v>
      </c>
      <c r="X8" s="39">
        <f>VLOOKUP(V$6,'8. Uncertainty Results'!$B$364:$N$376,11,FALSE)</f>
        <v>-1062.4270803560555</v>
      </c>
      <c r="Y8" s="39">
        <f>VLOOKUP(V$6,'8. Uncertainty Results'!$B$434:$N$446,11,FALSE)</f>
        <v>-1255.1264359222196</v>
      </c>
      <c r="Z8" s="39">
        <f>VLOOKUP(Z$6,'8. Uncertainty Results'!$B$223:$N$235,11,FALSE)</f>
        <v>-27.86397886798007</v>
      </c>
      <c r="AA8" s="39">
        <f>VLOOKUP(Z$6,'8. Uncertainty Results'!$B$293:$N$305,11,FALSE)</f>
        <v>-35.516202860707907</v>
      </c>
      <c r="AB8" s="39">
        <f>VLOOKUP(Z$6,'8. Uncertainty Results'!$B$364:$N$376,11,FALSE)</f>
        <v>-34.412659297398456</v>
      </c>
      <c r="AC8" s="39">
        <f>VLOOKUP(Z$6,'8. Uncertainty Results'!$B$434:$N$446,11,FALSE)</f>
        <v>-36.626250917340769</v>
      </c>
      <c r="AD8" s="39">
        <f>VLOOKUP(AD$6,'8. Uncertainty Results'!$B$223:$N$235,11,FALSE)</f>
        <v>2232.0129688418283</v>
      </c>
      <c r="AE8" s="39">
        <f>VLOOKUP(AD$6,'8. Uncertainty Results'!$B$293:$N$305,11,FALSE)</f>
        <v>2241.4244510088852</v>
      </c>
      <c r="AF8" s="39">
        <f>VLOOKUP(AD$6,'8. Uncertainty Results'!$B$364:$N$376,11,FALSE)</f>
        <v>2254.1924530393248</v>
      </c>
      <c r="AG8" s="39">
        <f>VLOOKUP(AD$6,'8. Uncertainty Results'!$B$434:$N$446,11,FALSE)</f>
        <v>2225.7000777552435</v>
      </c>
      <c r="AH8" s="39">
        <f>VLOOKUP(AH$6,'8. Uncertainty Results'!$B$223:$N$235,11,FALSE)</f>
        <v>-274.8145082771594</v>
      </c>
      <c r="AI8" s="39">
        <f>VLOOKUP(AH$6,'8. Uncertainty Results'!$B$293:$N$305,11,FALSE)</f>
        <v>-362.660693787394</v>
      </c>
      <c r="AJ8" s="39">
        <f>VLOOKUP(AH$6,'8. Uncertainty Results'!$B$364:$N$376,11,FALSE)</f>
        <v>-366.63585952409579</v>
      </c>
      <c r="AK8" s="39">
        <f>VLOOKUP(AH$6,'8. Uncertainty Results'!$B$434:$N$446,11,FALSE)</f>
        <v>-366.12351997262095</v>
      </c>
      <c r="AL8" s="39">
        <f>VLOOKUP(AL$6,'8. Uncertainty Results'!$B$223:$N$235,11,FALSE)</f>
        <v>8788.2793926725699</v>
      </c>
      <c r="AM8" s="39">
        <f>VLOOKUP(AL$6,'8. Uncertainty Results'!$B$293:$N$305,11,FALSE)</f>
        <v>9494.4468954407293</v>
      </c>
      <c r="AN8" s="39">
        <f>VLOOKUP(AL$6,'8. Uncertainty Results'!$B$364:$N$376,11,FALSE)</f>
        <v>9494.9830500650623</v>
      </c>
      <c r="AO8" s="39">
        <f>VLOOKUP(AL$6,'8. Uncertainty Results'!$B$434:$N$446,11,FALSE)</f>
        <v>9493.8229540034026</v>
      </c>
      <c r="AP8" s="39">
        <f>VLOOKUP(AP$6,'8. Uncertainty Results'!$B$223:$N$235,11,FALSE)</f>
        <v>574.46895614755499</v>
      </c>
      <c r="AQ8" s="39">
        <f>VLOOKUP(AP$6,'8. Uncertainty Results'!$B$293:$N$305,11,FALSE)</f>
        <v>605.69177167787939</v>
      </c>
      <c r="AR8" s="39">
        <f>VLOOKUP(AP$6,'8. Uncertainty Results'!$B$364:$N$376,11,FALSE)</f>
        <v>609.1972842050551</v>
      </c>
      <c r="AS8" s="39">
        <f>VLOOKUP(AP$6,'8. Uncertainty Results'!$B$434:$N$446,11,FALSE)</f>
        <v>600.95254777704702</v>
      </c>
      <c r="AT8" s="39">
        <f>VLOOKUP(AT$6,'8. Uncertainty Results'!$B$223:$N$235,11,FALSE)</f>
        <v>-10.237762495264121</v>
      </c>
      <c r="AU8" s="39">
        <f>VLOOKUP(AT$6,'8. Uncertainty Results'!$B$293:$N$305,11,FALSE)</f>
        <v>-12.108743133612482</v>
      </c>
      <c r="AV8" s="39">
        <f>VLOOKUP(AT$6,'8. Uncertainty Results'!$B$364:$N$376,11,FALSE)</f>
        <v>-9.3873163411157599</v>
      </c>
      <c r="AW8" s="39">
        <f>VLOOKUP(AT$6,'8. Uncertainty Results'!$B$434:$N$446,11,FALSE)</f>
        <v>-14.686002422221179</v>
      </c>
      <c r="AX8" s="39">
        <f>VLOOKUP(AX$6,'8. Uncertainty Results'!$B$223:$N$235,11,FALSE)</f>
        <v>434.97039439720038</v>
      </c>
      <c r="AY8" s="39">
        <f>VLOOKUP(AX$6,'8. Uncertainty Results'!$B$293:$N$305,11,FALSE)</f>
        <v>550.96247753954663</v>
      </c>
      <c r="AZ8" s="39">
        <f>VLOOKUP(AX$6,'8. Uncertainty Results'!$B$364:$N$376,11,FALSE)</f>
        <v>552.19068292546751</v>
      </c>
      <c r="BA8" s="39">
        <f>VLOOKUP(AX$6,'8. Uncertainty Results'!$B$434:$N$446,11,FALSE)</f>
        <v>549.4702250427606</v>
      </c>
    </row>
    <row r="9" spans="1:53" x14ac:dyDescent="0.2">
      <c r="A9" t="s">
        <v>397</v>
      </c>
      <c r="B9" s="39">
        <f>VLOOKUP(B$6,'8. Uncertainty Results'!$B$223:$N$235,12,FALSE)</f>
        <v>-68.219622012682606</v>
      </c>
      <c r="C9" s="39">
        <f>VLOOKUP(B$6,'8. Uncertainty Results'!$B$293:$N$305,12,FALSE)</f>
        <v>-77.68736721130152</v>
      </c>
      <c r="D9" s="39">
        <f>VLOOKUP(B$6,'8. Uncertainty Results'!$B$364:$N$376,12,FALSE)</f>
        <v>-75.326159755691506</v>
      </c>
      <c r="E9" s="39">
        <f>VLOOKUP(B$6,'8. Uncertainty Results'!$B$434:$N$446,12,FALSE)</f>
        <v>-79.976633059273595</v>
      </c>
      <c r="F9" s="39">
        <f>VLOOKUP(F$6,'8. Uncertainty Results'!$B$223:$N$235,12,FALSE)</f>
        <v>-148.49288875372528</v>
      </c>
      <c r="G9" s="39">
        <f>VLOOKUP(F$6,'8. Uncertainty Results'!$B$293:$N$305,12,FALSE)</f>
        <v>-96.515456200826506</v>
      </c>
      <c r="H9" s="39">
        <f>VLOOKUP(F$6,'8. Uncertainty Results'!$B$364:$N$376,12,FALSE)</f>
        <v>-79.434859639395739</v>
      </c>
      <c r="I9" s="39">
        <f>VLOOKUP(F$6,'8. Uncertainty Results'!$B$434:$N$446,12,FALSE)</f>
        <v>-116.358798546316</v>
      </c>
      <c r="J9" s="39">
        <f>VLOOKUP(J$6,'8. Uncertainty Results'!$B$223:$N$235,12,FALSE)</f>
        <v>-45.287406784424931</v>
      </c>
      <c r="K9" s="39">
        <f>VLOOKUP(J$6,'8. Uncertainty Results'!$B$293:$N$305,12,FALSE)</f>
        <v>10.073608646582015</v>
      </c>
      <c r="L9" s="39">
        <f>VLOOKUP(J$6,'8. Uncertainty Results'!$B$364:$N$376,12,FALSE)</f>
        <v>28.380037575887503</v>
      </c>
      <c r="M9" s="39">
        <f>VLOOKUP(J$6,'8. Uncertainty Results'!$B$434:$N$446,12,FALSE)</f>
        <v>-9.6769893319394988</v>
      </c>
      <c r="N9" s="39">
        <f>VLOOKUP(N$6,'8. Uncertainty Results'!$B$223:$N$235,12,FALSE)</f>
        <v>-963.26077996538527</v>
      </c>
      <c r="O9" s="39">
        <f>VLOOKUP(N$6,'8. Uncertainty Results'!$B$293:$N$305,12,FALSE)</f>
        <v>-3486.5863110557639</v>
      </c>
      <c r="P9" s="39">
        <f>VLOOKUP(N$6,'8. Uncertainty Results'!$B$364:$N$376,12,FALSE)</f>
        <v>-3419.733811123489</v>
      </c>
      <c r="Q9" s="39">
        <f>VLOOKUP(N$6,'8. Uncertainty Results'!$B$434:$N$446,12,FALSE)</f>
        <v>-3465.3548089401065</v>
      </c>
      <c r="R9" s="39">
        <f>VLOOKUP(R$6,'8. Uncertainty Results'!$B$223:$N$235,12,FALSE)</f>
        <v>-25.879549118336833</v>
      </c>
      <c r="S9" s="39">
        <f>VLOOKUP(R$6,'8. Uncertainty Results'!$B$293:$N$305,12,FALSE)</f>
        <v>-41.361192508759899</v>
      </c>
      <c r="T9" s="39">
        <f>VLOOKUP(R$6,'8. Uncertainty Results'!$B$364:$N$376,12,FALSE)</f>
        <v>-39.74293240336344</v>
      </c>
      <c r="U9" s="39">
        <f>VLOOKUP(R$6,'8. Uncertainty Results'!$B$434:$N$446,12,FALSE)</f>
        <v>-44.169543589793534</v>
      </c>
      <c r="V9" s="39">
        <f>VLOOKUP(V$6,'8. Uncertainty Results'!$B$223:$N$235,12,FALSE)</f>
        <v>-1095.510058030877</v>
      </c>
      <c r="W9" s="39">
        <f>VLOOKUP(V$6,'8. Uncertainty Results'!$B$293:$N$305,12,FALSE)</f>
        <v>-1581.8414512512059</v>
      </c>
      <c r="X9" s="39">
        <f>VLOOKUP(V$6,'8. Uncertainty Results'!$B$364:$N$376,12,FALSE)</f>
        <v>-1482.6871181336103</v>
      </c>
      <c r="Y9" s="39">
        <f>VLOOKUP(V$6,'8. Uncertainty Results'!$B$434:$N$446,12,FALSE)</f>
        <v>-1708.5344803000903</v>
      </c>
      <c r="Z9" s="39">
        <f>VLOOKUP(Z$6,'8. Uncertainty Results'!$B$223:$N$235,12,FALSE)</f>
        <v>-20.592205216165723</v>
      </c>
      <c r="AA9" s="39">
        <f>VLOOKUP(Z$6,'8. Uncertainty Results'!$B$293:$N$305,12,FALSE)</f>
        <v>-29.132272772914959</v>
      </c>
      <c r="AB9" s="39">
        <f>VLOOKUP(Z$6,'8. Uncertainty Results'!$B$364:$N$376,12,FALSE)</f>
        <v>-28.45022038599167</v>
      </c>
      <c r="AC9" s="39">
        <f>VLOOKUP(Z$6,'8. Uncertainty Results'!$B$434:$N$446,12,FALSE)</f>
        <v>-30.744777779807755</v>
      </c>
      <c r="AD9" s="39">
        <f>VLOOKUP(AD$6,'8. Uncertainty Results'!$B$223:$N$235,12,FALSE)</f>
        <v>3527.774254881343</v>
      </c>
      <c r="AE9" s="39">
        <f>VLOOKUP(AD$6,'8. Uncertainty Results'!$B$293:$N$305,12,FALSE)</f>
        <v>3274.5245980794116</v>
      </c>
      <c r="AF9" s="39">
        <f>VLOOKUP(AD$6,'8. Uncertainty Results'!$B$364:$N$376,12,FALSE)</f>
        <v>3291.0123589218047</v>
      </c>
      <c r="AG9" s="39">
        <f>VLOOKUP(AD$6,'8. Uncertainty Results'!$B$434:$N$446,12,FALSE)</f>
        <v>3254.6840226103391</v>
      </c>
      <c r="AH9" s="39">
        <f>VLOOKUP(AH$6,'8. Uncertainty Results'!$B$223:$N$235,12,FALSE)</f>
        <v>-115.79656642435293</v>
      </c>
      <c r="AI9" s="39">
        <f>VLOOKUP(AH$6,'8. Uncertainty Results'!$B$293:$N$305,12,FALSE)</f>
        <v>-401.3017522908354</v>
      </c>
      <c r="AJ9" s="39">
        <f>VLOOKUP(AH$6,'8. Uncertainty Results'!$B$364:$N$376,12,FALSE)</f>
        <v>-400.28433352171419</v>
      </c>
      <c r="AK9" s="39">
        <f>VLOOKUP(AH$6,'8. Uncertainty Results'!$B$434:$N$446,12,FALSE)</f>
        <v>-404.49632103488784</v>
      </c>
      <c r="AL9" s="39">
        <f>VLOOKUP(AL$6,'8. Uncertainty Results'!$B$223:$N$235,12,FALSE)</f>
        <v>11491.563185459036</v>
      </c>
      <c r="AM9" s="39">
        <f>VLOOKUP(AL$6,'8. Uncertainty Results'!$B$293:$N$305,12,FALSE)</f>
        <v>12968.572736802034</v>
      </c>
      <c r="AN9" s="39">
        <f>VLOOKUP(AL$6,'8. Uncertainty Results'!$B$364:$N$376,12,FALSE)</f>
        <v>12969.176967245901</v>
      </c>
      <c r="AO9" s="39">
        <f>VLOOKUP(AL$6,'8. Uncertainty Results'!$B$434:$N$446,12,FALSE)</f>
        <v>12967.877163234636</v>
      </c>
      <c r="AP9" s="39">
        <f>VLOOKUP(AP$6,'8. Uncertainty Results'!$B$223:$N$235,12,FALSE)</f>
        <v>925.29709160040636</v>
      </c>
      <c r="AQ9" s="39">
        <f>VLOOKUP(AP$6,'8. Uncertainty Results'!$B$293:$N$305,12,FALSE)</f>
        <v>873.44777103879255</v>
      </c>
      <c r="AR9" s="39">
        <f>VLOOKUP(AP$6,'8. Uncertainty Results'!$B$364:$N$376,12,FALSE)</f>
        <v>877.78901684550851</v>
      </c>
      <c r="AS9" s="39">
        <f>VLOOKUP(AP$6,'8. Uncertainty Results'!$B$434:$N$446,12,FALSE)</f>
        <v>868.01472300806381</v>
      </c>
      <c r="AT9" s="39">
        <f>VLOOKUP(AT$6,'8. Uncertainty Results'!$B$223:$N$235,12,FALSE)</f>
        <v>-4.5739010339718904</v>
      </c>
      <c r="AU9" s="39">
        <f>VLOOKUP(AT$6,'8. Uncertainty Results'!$B$293:$N$305,12,FALSE)</f>
        <v>-2.2346980553418785</v>
      </c>
      <c r="AV9" s="39">
        <f>VLOOKUP(AT$6,'8. Uncertainty Results'!$B$364:$N$376,12,FALSE)</f>
        <v>0.76973056999469947</v>
      </c>
      <c r="AW9" s="39">
        <f>VLOOKUP(AT$6,'8. Uncertainty Results'!$B$434:$N$446,12,FALSE)</f>
        <v>-5.834390001935903</v>
      </c>
      <c r="AX9" s="39">
        <f>VLOOKUP(AX$6,'8. Uncertainty Results'!$B$223:$N$235,12,FALSE)</f>
        <v>722.5034359950339</v>
      </c>
      <c r="AY9" s="39">
        <f>VLOOKUP(AX$6,'8. Uncertainty Results'!$B$293:$N$305,12,FALSE)</f>
        <v>789.93933938359123</v>
      </c>
      <c r="AZ9" s="39">
        <f>VLOOKUP(AX$6,'8. Uncertainty Results'!$B$364:$N$376,12,FALSE)</f>
        <v>791.53187818464903</v>
      </c>
      <c r="BA9" s="39">
        <f>VLOOKUP(AX$6,'8. Uncertainty Results'!$B$434:$N$446,12,FALSE)</f>
        <v>787.95093675797125</v>
      </c>
    </row>
    <row r="10" spans="1:53" x14ac:dyDescent="0.2">
      <c r="A10" t="s">
        <v>398</v>
      </c>
      <c r="B10" s="39">
        <f>VLOOKUP(B$6,'8. Uncertainty Results'!$B$223:$N$235,13,FALSE)</f>
        <v>-106.18865809481638</v>
      </c>
      <c r="C10" s="39">
        <f>VLOOKUP(B$6,'8. Uncertainty Results'!$B$293:$N$305,13,FALSE)</f>
        <v>-113.38093002799167</v>
      </c>
      <c r="D10" s="39">
        <f>VLOOKUP(B$6,'8. Uncertainty Results'!$B$364:$N$376,13,FALSE)</f>
        <v>-111.75646194654857</v>
      </c>
      <c r="E10" s="39">
        <f>VLOOKUP(B$6,'8. Uncertainty Results'!$B$434:$N$446,13,FALSE)</f>
        <v>-116.74001905717066</v>
      </c>
      <c r="F10" s="39">
        <f>VLOOKUP(F$6,'8. Uncertainty Results'!$B$223:$N$235,13,FALSE)</f>
        <v>-162.84455604037873</v>
      </c>
      <c r="G10" s="39">
        <f>VLOOKUP(F$6,'8. Uncertainty Results'!$B$293:$N$305,13,FALSE)</f>
        <v>-101.21278103523657</v>
      </c>
      <c r="H10" s="39">
        <f>VLOOKUP(F$6,'8. Uncertainty Results'!$B$364:$N$376,13,FALSE)</f>
        <v>-81.210838026198786</v>
      </c>
      <c r="I10" s="39">
        <f>VLOOKUP(F$6,'8. Uncertainty Results'!$B$434:$N$446,13,FALSE)</f>
        <v>-125.64047536810052</v>
      </c>
      <c r="J10" s="39">
        <f>VLOOKUP(J$6,'8. Uncertainty Results'!$B$223:$N$235,13,FALSE)</f>
        <v>9.7221123880583278</v>
      </c>
      <c r="K10" s="39">
        <f>VLOOKUP(J$6,'8. Uncertainty Results'!$B$293:$N$305,13,FALSE)</f>
        <v>79.808198942487635</v>
      </c>
      <c r="L10" s="39">
        <f>VLOOKUP(J$6,'8. Uncertainty Results'!$B$364:$N$376,13,FALSE)</f>
        <v>100.62441419728979</v>
      </c>
      <c r="M10" s="39">
        <f>VLOOKUP(J$6,'8. Uncertainty Results'!$B$434:$N$446,13,FALSE)</f>
        <v>55.98989194178035</v>
      </c>
      <c r="N10" s="39">
        <f>VLOOKUP(N$6,'8. Uncertainty Results'!$B$223:$N$235,13,FALSE)</f>
        <v>-1430.7912938817349</v>
      </c>
      <c r="O10" s="39">
        <f>VLOOKUP(N$6,'8. Uncertainty Results'!$B$293:$N$305,13,FALSE)</f>
        <v>-6271.916646255303</v>
      </c>
      <c r="P10" s="39">
        <f>VLOOKUP(N$6,'8. Uncertainty Results'!$B$364:$N$376,13,FALSE)</f>
        <v>-6184.9008579391812</v>
      </c>
      <c r="Q10" s="39">
        <f>VLOOKUP(N$6,'8. Uncertainty Results'!$B$434:$N$446,13,FALSE)</f>
        <v>-6311.7539213663676</v>
      </c>
      <c r="R10" s="39">
        <f>VLOOKUP(R$6,'8. Uncertainty Results'!$B$223:$N$235,13,FALSE)</f>
        <v>-16.359023419018445</v>
      </c>
      <c r="S10" s="39">
        <f>VLOOKUP(R$6,'8. Uncertainty Results'!$B$293:$N$305,13,FALSE)</f>
        <v>-34.653404858686322</v>
      </c>
      <c r="T10" s="39">
        <f>VLOOKUP(R$6,'8. Uncertainty Results'!$B$364:$N$376,13,FALSE)</f>
        <v>-31.413365260906801</v>
      </c>
      <c r="U10" s="39">
        <f>VLOOKUP(R$6,'8. Uncertainty Results'!$B$434:$N$446,13,FALSE)</f>
        <v>-37.318145191203229</v>
      </c>
      <c r="V10" s="39">
        <f>VLOOKUP(V$6,'8. Uncertainty Results'!$B$223:$N$235,13,FALSE)</f>
        <v>-1353.9333267066311</v>
      </c>
      <c r="W10" s="39">
        <f>VLOOKUP(V$6,'8. Uncertainty Results'!$B$293:$N$305,13,FALSE)</f>
        <v>-2175.7845705756117</v>
      </c>
      <c r="X10" s="39">
        <f>VLOOKUP(V$6,'8. Uncertainty Results'!$B$364:$N$376,13,FALSE)</f>
        <v>-2079.7110964093231</v>
      </c>
      <c r="Y10" s="39">
        <f>VLOOKUP(V$6,'8. Uncertainty Results'!$B$434:$N$446,13,FALSE)</f>
        <v>-2322.2101979419999</v>
      </c>
      <c r="Z10" s="39">
        <f>VLOOKUP(Z$6,'8. Uncertainty Results'!$B$223:$N$235,13,FALSE)</f>
        <v>-21.70851245999344</v>
      </c>
      <c r="AA10" s="39">
        <f>VLOOKUP(Z$6,'8. Uncertainty Results'!$B$293:$N$305,13,FALSE)</f>
        <v>-27.533842600875857</v>
      </c>
      <c r="AB10" s="39">
        <f>VLOOKUP(Z$6,'8. Uncertainty Results'!$B$364:$N$376,13,FALSE)</f>
        <v>-25.17567491770906</v>
      </c>
      <c r="AC10" s="39">
        <f>VLOOKUP(Z$6,'8. Uncertainty Results'!$B$434:$N$446,13,FALSE)</f>
        <v>-29.44221820259154</v>
      </c>
      <c r="AD10" s="39">
        <f>VLOOKUP(AD$6,'8. Uncertainty Results'!$B$223:$N$235,13,FALSE)</f>
        <v>4963.3598469145845</v>
      </c>
      <c r="AE10" s="39">
        <f>VLOOKUP(AD$6,'8. Uncertainty Results'!$B$293:$N$305,13,FALSE)</f>
        <v>4168.918434228759</v>
      </c>
      <c r="AF10" s="39">
        <f>VLOOKUP(AD$6,'8. Uncertainty Results'!$B$364:$N$376,13,FALSE)</f>
        <v>4189.2721164071081</v>
      </c>
      <c r="AG10" s="39">
        <f>VLOOKUP(AD$6,'8. Uncertainty Results'!$B$434:$N$446,13,FALSE)</f>
        <v>4144.1452743146656</v>
      </c>
      <c r="AH10" s="39">
        <f>VLOOKUP(AH$6,'8. Uncertainty Results'!$B$223:$N$235,13,FALSE)</f>
        <v>163.74007536492894</v>
      </c>
      <c r="AI10" s="39">
        <f>VLOOKUP(AH$6,'8. Uncertainty Results'!$B$293:$N$305,13,FALSE)</f>
        <v>-431.26041056730122</v>
      </c>
      <c r="AJ10" s="39">
        <f>VLOOKUP(AH$6,'8. Uncertainty Results'!$B$364:$N$376,13,FALSE)</f>
        <v>-431.60880787813716</v>
      </c>
      <c r="AK10" s="39">
        <f>VLOOKUP(AH$6,'8. Uncertainty Results'!$B$434:$N$446,13,FALSE)</f>
        <v>-436.55592358328994</v>
      </c>
      <c r="AL10" s="39">
        <f>VLOOKUP(AL$6,'8. Uncertainty Results'!$B$223:$N$235,13,FALSE)</f>
        <v>14623.824758570914</v>
      </c>
      <c r="AM10" s="39">
        <f>VLOOKUP(AL$6,'8. Uncertainty Results'!$B$293:$N$305,13,FALSE)</f>
        <v>16883.115327995976</v>
      </c>
      <c r="AN10" s="39">
        <f>VLOOKUP(AL$6,'8. Uncertainty Results'!$B$364:$N$376,13,FALSE)</f>
        <v>16883.702017554271</v>
      </c>
      <c r="AO10" s="39">
        <f>VLOOKUP(AL$6,'8. Uncertainty Results'!$B$434:$N$446,13,FALSE)</f>
        <v>16881.990591755461</v>
      </c>
      <c r="AP10" s="39">
        <f>VLOOKUP(AP$6,'8. Uncertainty Results'!$B$223:$N$235,13,FALSE)</f>
        <v>1261.0646726736172</v>
      </c>
      <c r="AQ10" s="39">
        <f>VLOOKUP(AP$6,'8. Uncertainty Results'!$B$293:$N$305,13,FALSE)</f>
        <v>1114.1856063009395</v>
      </c>
      <c r="AR10" s="39">
        <f>VLOOKUP(AP$6,'8. Uncertainty Results'!$B$364:$N$376,13,FALSE)</f>
        <v>1119.628016064358</v>
      </c>
      <c r="AS10" s="39">
        <f>VLOOKUP(AP$6,'8. Uncertainty Results'!$B$434:$N$446,13,FALSE)</f>
        <v>1107.6935924921645</v>
      </c>
      <c r="AT10" s="39">
        <f>VLOOKUP(AT$6,'8. Uncertainty Results'!$B$223:$N$235,13,FALSE)</f>
        <v>10.130192666777159</v>
      </c>
      <c r="AU10" s="39">
        <f>VLOOKUP(AT$6,'8. Uncertainty Results'!$B$293:$N$305,13,FALSE)</f>
        <v>21.408984334176701</v>
      </c>
      <c r="AV10" s="39">
        <f>VLOOKUP(AT$6,'8. Uncertainty Results'!$B$364:$N$376,13,FALSE)</f>
        <v>25.402611644370829</v>
      </c>
      <c r="AW10" s="39">
        <f>VLOOKUP(AT$6,'8. Uncertainty Results'!$B$434:$N$446,13,FALSE)</f>
        <v>17.519457241162847</v>
      </c>
      <c r="AX10" s="39">
        <f>VLOOKUP(AX$6,'8. Uncertainty Results'!$B$223:$N$235,13,FALSE)</f>
        <v>1027.404569454729</v>
      </c>
      <c r="AY10" s="39">
        <f>VLOOKUP(AX$6,'8. Uncertainty Results'!$B$293:$N$305,13,FALSE)</f>
        <v>1046.0953100245188</v>
      </c>
      <c r="AZ10" s="39">
        <f>VLOOKUP(AX$6,'8. Uncertainty Results'!$B$364:$N$376,13,FALSE)</f>
        <v>1048.1631459665493</v>
      </c>
      <c r="BA10" s="39">
        <f>VLOOKUP(AX$6,'8. Uncertainty Results'!$B$434:$N$446,13,FALSE)</f>
        <v>1043.6688528271179</v>
      </c>
    </row>
    <row r="12" spans="1:53" x14ac:dyDescent="0.2">
      <c r="A12" t="s">
        <v>541</v>
      </c>
    </row>
    <row r="14" spans="1:53" x14ac:dyDescent="0.2">
      <c r="B14" s="474" t="s">
        <v>539</v>
      </c>
      <c r="C14" s="474"/>
      <c r="D14" s="474"/>
      <c r="E14" s="474"/>
      <c r="F14" s="474" t="s">
        <v>417</v>
      </c>
      <c r="G14" s="474"/>
      <c r="H14" s="474"/>
      <c r="I14" s="474"/>
      <c r="J14" s="474" t="s">
        <v>418</v>
      </c>
      <c r="K14" s="474"/>
      <c r="L14" s="474"/>
      <c r="M14" s="474"/>
      <c r="N14" s="474" t="s">
        <v>419</v>
      </c>
      <c r="O14" s="474"/>
      <c r="P14" s="474"/>
      <c r="Q14" s="474"/>
      <c r="R14" s="474" t="s">
        <v>420</v>
      </c>
      <c r="S14" s="474"/>
      <c r="T14" s="474"/>
      <c r="U14" s="474"/>
      <c r="V14" s="474" t="s">
        <v>421</v>
      </c>
      <c r="W14" s="474"/>
      <c r="X14" s="474"/>
      <c r="Y14" s="474"/>
      <c r="Z14" s="474" t="s">
        <v>422</v>
      </c>
      <c r="AA14" s="474"/>
      <c r="AB14" s="474"/>
      <c r="AC14" s="474"/>
      <c r="AD14" s="474" t="s">
        <v>423</v>
      </c>
      <c r="AE14" s="474"/>
      <c r="AF14" s="474"/>
      <c r="AG14" s="474"/>
      <c r="AH14" s="474" t="s">
        <v>424</v>
      </c>
      <c r="AI14" s="474"/>
      <c r="AJ14" s="474"/>
      <c r="AK14" s="474"/>
      <c r="AL14" s="474" t="s">
        <v>425</v>
      </c>
      <c r="AM14" s="474"/>
      <c r="AN14" s="474"/>
      <c r="AO14" s="474"/>
      <c r="AP14" s="474" t="s">
        <v>426</v>
      </c>
      <c r="AQ14" s="474"/>
      <c r="AR14" s="474"/>
      <c r="AS14" s="474"/>
      <c r="AT14" s="474" t="s">
        <v>427</v>
      </c>
      <c r="AU14" s="474"/>
      <c r="AV14" s="474"/>
      <c r="AW14" s="474"/>
    </row>
    <row r="15" spans="1:53" x14ac:dyDescent="0.2">
      <c r="B15" t="s">
        <v>482</v>
      </c>
      <c r="C15" t="s">
        <v>483</v>
      </c>
      <c r="D15" t="s">
        <v>484</v>
      </c>
      <c r="E15" t="s">
        <v>485</v>
      </c>
      <c r="F15" t="s">
        <v>482</v>
      </c>
      <c r="G15" t="s">
        <v>483</v>
      </c>
      <c r="H15" t="s">
        <v>484</v>
      </c>
      <c r="I15" t="s">
        <v>485</v>
      </c>
      <c r="J15" t="s">
        <v>482</v>
      </c>
      <c r="K15" t="s">
        <v>483</v>
      </c>
      <c r="L15" t="s">
        <v>484</v>
      </c>
      <c r="M15" t="s">
        <v>485</v>
      </c>
      <c r="N15" t="s">
        <v>482</v>
      </c>
      <c r="O15" t="s">
        <v>483</v>
      </c>
      <c r="P15" t="s">
        <v>484</v>
      </c>
      <c r="Q15" t="s">
        <v>485</v>
      </c>
      <c r="R15" t="s">
        <v>482</v>
      </c>
      <c r="S15" t="s">
        <v>483</v>
      </c>
      <c r="T15" t="s">
        <v>484</v>
      </c>
      <c r="U15" t="s">
        <v>485</v>
      </c>
      <c r="V15" t="s">
        <v>482</v>
      </c>
      <c r="W15" t="s">
        <v>483</v>
      </c>
      <c r="X15" t="s">
        <v>484</v>
      </c>
      <c r="Y15" t="s">
        <v>485</v>
      </c>
      <c r="Z15" t="s">
        <v>482</v>
      </c>
      <c r="AA15" t="s">
        <v>483</v>
      </c>
      <c r="AB15" t="s">
        <v>484</v>
      </c>
      <c r="AC15" t="s">
        <v>485</v>
      </c>
      <c r="AD15" t="s">
        <v>482</v>
      </c>
      <c r="AE15" t="s">
        <v>483</v>
      </c>
      <c r="AF15" t="s">
        <v>484</v>
      </c>
      <c r="AG15" t="s">
        <v>485</v>
      </c>
      <c r="AH15" t="s">
        <v>482</v>
      </c>
      <c r="AI15" t="s">
        <v>483</v>
      </c>
      <c r="AJ15" t="s">
        <v>484</v>
      </c>
      <c r="AK15" t="s">
        <v>485</v>
      </c>
      <c r="AL15" t="s">
        <v>482</v>
      </c>
      <c r="AM15" t="s">
        <v>483</v>
      </c>
      <c r="AN15" t="s">
        <v>484</v>
      </c>
      <c r="AO15" t="s">
        <v>485</v>
      </c>
      <c r="AP15" t="s">
        <v>482</v>
      </c>
      <c r="AQ15" t="s">
        <v>483</v>
      </c>
      <c r="AR15" t="s">
        <v>484</v>
      </c>
      <c r="AS15" t="s">
        <v>485</v>
      </c>
      <c r="AT15" t="s">
        <v>482</v>
      </c>
      <c r="AU15" t="s">
        <v>483</v>
      </c>
      <c r="AV15" t="s">
        <v>484</v>
      </c>
      <c r="AW15" t="s">
        <v>485</v>
      </c>
    </row>
    <row r="16" spans="1:53" x14ac:dyDescent="0.2">
      <c r="A16" t="s">
        <v>396</v>
      </c>
      <c r="B16" s="39" cm="1">
        <f t="array" ref="B16:E18">N8:Q10</f>
        <v>-389.82744410588958</v>
      </c>
      <c r="C16">
        <v>-1468.7587471701258</v>
      </c>
      <c r="D16">
        <v>-1464.2887741755203</v>
      </c>
      <c r="E16">
        <v>-1487.634299080762</v>
      </c>
      <c r="F16" s="39" cm="1">
        <f t="array" ref="F16:I18">AH8:AK10</f>
        <v>-274.8145082771594</v>
      </c>
      <c r="G16">
        <v>-362.660693787394</v>
      </c>
      <c r="H16">
        <v>-366.63585952409579</v>
      </c>
      <c r="I16">
        <v>-366.12351997262095</v>
      </c>
      <c r="J16" s="39" cm="1">
        <f t="array" ref="J16:M18">F8:I10</f>
        <v>-137.97431132047018</v>
      </c>
      <c r="K16">
        <v>-97.529140877497298</v>
      </c>
      <c r="L16">
        <v>-83.630003269912379</v>
      </c>
      <c r="M16">
        <v>-113.66207478188203</v>
      </c>
      <c r="N16" s="39" cm="1">
        <f t="array" ref="N16:Q18">B8:E10</f>
        <v>-47.925475624150096</v>
      </c>
      <c r="O16">
        <v>-55.898532898432094</v>
      </c>
      <c r="P16">
        <v>-54.23380469116951</v>
      </c>
      <c r="Q16">
        <v>-57.603328685093913</v>
      </c>
      <c r="R16" s="39" cm="1">
        <f t="array" ref="R16:U18">Z8:AC10</f>
        <v>-27.86397886798007</v>
      </c>
      <c r="S16">
        <v>-35.516202860707907</v>
      </c>
      <c r="T16">
        <v>-34.412659297398456</v>
      </c>
      <c r="U16">
        <v>-36.626250917340769</v>
      </c>
      <c r="V16" s="39" cm="1">
        <f t="array" ref="V16:Y18">R8:U10</f>
        <v>-29.882623237226994</v>
      </c>
      <c r="W16">
        <v>-40.003379386908769</v>
      </c>
      <c r="X16">
        <v>-38.893615389922488</v>
      </c>
      <c r="Y16">
        <v>-42.510569728126008</v>
      </c>
      <c r="Z16" s="39" cm="1">
        <f t="array" ref="Z16:AC18">AT8:AW10</f>
        <v>-10.237762495264121</v>
      </c>
      <c r="AA16">
        <v>-12.108743133612482</v>
      </c>
      <c r="AB16">
        <v>-9.3873163411157599</v>
      </c>
      <c r="AC16">
        <v>-14.686002422221179</v>
      </c>
      <c r="AD16" s="39" cm="1">
        <f t="array" ref="AD16:AG18">J8:M10</f>
        <v>-86.676900126532971</v>
      </c>
      <c r="AE16">
        <v>-45.586065149337863</v>
      </c>
      <c r="AF16">
        <v>-29.883433525126044</v>
      </c>
      <c r="AG16">
        <v>-60.86889745571402</v>
      </c>
      <c r="AH16" s="39" cm="1">
        <f t="array" ref="AH16:AK18">AX8:BA10</f>
        <v>434.97039439720038</v>
      </c>
      <c r="AI16">
        <v>550.96247753954663</v>
      </c>
      <c r="AJ16">
        <v>552.19068292546751</v>
      </c>
      <c r="AK16">
        <v>549.4702250427606</v>
      </c>
      <c r="AL16" s="39" cm="1">
        <f t="array" ref="AL16:AO18">AP8:AS10</f>
        <v>574.46895614755499</v>
      </c>
      <c r="AM16">
        <v>605.69177167787939</v>
      </c>
      <c r="AN16">
        <v>609.1972842050551</v>
      </c>
      <c r="AO16">
        <v>600.95254777704702</v>
      </c>
      <c r="AP16" s="39" cm="1">
        <f t="array" ref="AP16:AS18">AD8:AG10</f>
        <v>2232.0129688418283</v>
      </c>
      <c r="AQ16">
        <v>2241.4244510088852</v>
      </c>
      <c r="AR16">
        <v>2254.1924530393248</v>
      </c>
      <c r="AS16">
        <v>2225.7000777552435</v>
      </c>
      <c r="AT16" s="39" cm="1">
        <f t="array" ref="AT16:AW18">AL8:AO10</f>
        <v>8788.2793926725699</v>
      </c>
      <c r="AU16">
        <v>9494.4468954407293</v>
      </c>
      <c r="AV16">
        <v>9494.9830500650623</v>
      </c>
      <c r="AW16">
        <v>9493.8229540034026</v>
      </c>
    </row>
    <row r="17" spans="1:53" x14ac:dyDescent="0.2">
      <c r="A17" t="s">
        <v>397</v>
      </c>
      <c r="B17">
        <v>-963.26077996538527</v>
      </c>
      <c r="C17">
        <v>-3486.5863110557639</v>
      </c>
      <c r="D17">
        <v>-3419.733811123489</v>
      </c>
      <c r="E17">
        <v>-3465.3548089401065</v>
      </c>
      <c r="F17">
        <v>-115.79656642435293</v>
      </c>
      <c r="G17">
        <v>-401.3017522908354</v>
      </c>
      <c r="H17">
        <v>-400.28433352171419</v>
      </c>
      <c r="I17">
        <v>-404.49632103488784</v>
      </c>
      <c r="J17">
        <v>-148.49288875372528</v>
      </c>
      <c r="K17">
        <v>-96.515456200826506</v>
      </c>
      <c r="L17">
        <v>-79.434859639395739</v>
      </c>
      <c r="M17">
        <v>-116.358798546316</v>
      </c>
      <c r="N17">
        <v>-68.219622012682606</v>
      </c>
      <c r="O17">
        <v>-77.68736721130152</v>
      </c>
      <c r="P17">
        <v>-75.326159755691506</v>
      </c>
      <c r="Q17">
        <v>-79.976633059273595</v>
      </c>
      <c r="R17">
        <v>-20.592205216165723</v>
      </c>
      <c r="S17">
        <v>-29.132272772914959</v>
      </c>
      <c r="T17">
        <v>-28.45022038599167</v>
      </c>
      <c r="U17">
        <v>-30.744777779807755</v>
      </c>
      <c r="V17">
        <v>-25.879549118336833</v>
      </c>
      <c r="W17">
        <v>-41.361192508759899</v>
      </c>
      <c r="X17">
        <v>-39.74293240336344</v>
      </c>
      <c r="Y17">
        <v>-44.169543589793534</v>
      </c>
      <c r="Z17">
        <v>-4.5739010339718904</v>
      </c>
      <c r="AA17">
        <v>-2.2346980553418785</v>
      </c>
      <c r="AB17">
        <v>0.76973056999469947</v>
      </c>
      <c r="AC17">
        <v>-5.834390001935903</v>
      </c>
      <c r="AD17">
        <v>-45.287406784424931</v>
      </c>
      <c r="AE17">
        <v>10.073608646582015</v>
      </c>
      <c r="AF17">
        <v>28.380037575887503</v>
      </c>
      <c r="AG17">
        <v>-9.6769893319394988</v>
      </c>
      <c r="AH17">
        <v>722.5034359950339</v>
      </c>
      <c r="AI17">
        <v>789.93933938359123</v>
      </c>
      <c r="AJ17">
        <v>791.53187818464903</v>
      </c>
      <c r="AK17">
        <v>787.95093675797125</v>
      </c>
      <c r="AL17">
        <v>925.29709160040636</v>
      </c>
      <c r="AM17">
        <v>873.44777103879255</v>
      </c>
      <c r="AN17">
        <v>877.78901684550851</v>
      </c>
      <c r="AO17">
        <v>868.01472300806381</v>
      </c>
      <c r="AP17">
        <v>3527.774254881343</v>
      </c>
      <c r="AQ17">
        <v>3274.5245980794116</v>
      </c>
      <c r="AR17">
        <v>3291.0123589218047</v>
      </c>
      <c r="AS17">
        <v>3254.6840226103391</v>
      </c>
      <c r="AT17">
        <v>11491.563185459036</v>
      </c>
      <c r="AU17">
        <v>12968.572736802034</v>
      </c>
      <c r="AV17">
        <v>12969.176967245901</v>
      </c>
      <c r="AW17">
        <v>12967.877163234636</v>
      </c>
    </row>
    <row r="18" spans="1:53" x14ac:dyDescent="0.2">
      <c r="A18" t="s">
        <v>398</v>
      </c>
      <c r="B18">
        <v>-1430.7912938817349</v>
      </c>
      <c r="C18">
        <v>-6271.916646255303</v>
      </c>
      <c r="D18">
        <v>-6184.9008579391812</v>
      </c>
      <c r="E18">
        <v>-6311.7539213663676</v>
      </c>
      <c r="F18">
        <v>163.74007536492894</v>
      </c>
      <c r="G18">
        <v>-431.26041056730122</v>
      </c>
      <c r="H18">
        <v>-431.60880787813716</v>
      </c>
      <c r="I18">
        <v>-436.55592358328994</v>
      </c>
      <c r="J18">
        <v>-162.84455604037873</v>
      </c>
      <c r="K18">
        <v>-101.21278103523657</v>
      </c>
      <c r="L18">
        <v>-81.210838026198786</v>
      </c>
      <c r="M18">
        <v>-125.64047536810052</v>
      </c>
      <c r="N18">
        <v>-106.18865809481638</v>
      </c>
      <c r="O18">
        <v>-113.38093002799167</v>
      </c>
      <c r="P18">
        <v>-111.75646194654857</v>
      </c>
      <c r="Q18">
        <v>-116.74001905717066</v>
      </c>
      <c r="R18">
        <v>-21.70851245999344</v>
      </c>
      <c r="S18">
        <v>-27.533842600875857</v>
      </c>
      <c r="T18">
        <v>-25.17567491770906</v>
      </c>
      <c r="U18">
        <v>-29.44221820259154</v>
      </c>
      <c r="V18">
        <v>-16.359023419018445</v>
      </c>
      <c r="W18">
        <v>-34.653404858686322</v>
      </c>
      <c r="X18">
        <v>-31.413365260906801</v>
      </c>
      <c r="Y18">
        <v>-37.318145191203229</v>
      </c>
      <c r="Z18">
        <v>10.130192666777159</v>
      </c>
      <c r="AA18">
        <v>21.408984334176701</v>
      </c>
      <c r="AB18">
        <v>25.402611644370829</v>
      </c>
      <c r="AC18">
        <v>17.519457241162847</v>
      </c>
      <c r="AD18">
        <v>9.7221123880583278</v>
      </c>
      <c r="AE18">
        <v>79.808198942487635</v>
      </c>
      <c r="AF18">
        <v>100.62441419728979</v>
      </c>
      <c r="AG18">
        <v>55.98989194178035</v>
      </c>
      <c r="AH18">
        <v>1027.404569454729</v>
      </c>
      <c r="AI18">
        <v>1046.0953100245188</v>
      </c>
      <c r="AJ18">
        <v>1048.1631459665493</v>
      </c>
      <c r="AK18">
        <v>1043.6688528271179</v>
      </c>
      <c r="AL18">
        <v>1261.0646726736172</v>
      </c>
      <c r="AM18">
        <v>1114.1856063009395</v>
      </c>
      <c r="AN18">
        <v>1119.628016064358</v>
      </c>
      <c r="AO18">
        <v>1107.6935924921645</v>
      </c>
      <c r="AP18">
        <v>4963.3598469145845</v>
      </c>
      <c r="AQ18">
        <v>4168.918434228759</v>
      </c>
      <c r="AR18">
        <v>4189.2721164071081</v>
      </c>
      <c r="AS18">
        <v>4144.1452743146656</v>
      </c>
      <c r="AT18">
        <v>14623.824758570914</v>
      </c>
      <c r="AU18">
        <v>16883.115327995976</v>
      </c>
      <c r="AV18">
        <v>16883.702017554271</v>
      </c>
      <c r="AW18">
        <v>16881.990591755461</v>
      </c>
    </row>
    <row r="21" spans="1:53" x14ac:dyDescent="0.2">
      <c r="A21" s="32" t="s">
        <v>544</v>
      </c>
    </row>
    <row r="23" spans="1:53" x14ac:dyDescent="0.2">
      <c r="A23" t="s">
        <v>540</v>
      </c>
    </row>
    <row r="24" spans="1:53" x14ac:dyDescent="0.2">
      <c r="B24" s="474" t="s">
        <v>419</v>
      </c>
      <c r="C24" s="474"/>
      <c r="D24" s="474"/>
      <c r="E24" s="474"/>
      <c r="F24" s="474" t="s">
        <v>418</v>
      </c>
      <c r="G24" s="474"/>
      <c r="H24" s="474"/>
      <c r="I24" s="474"/>
      <c r="J24" s="474" t="s">
        <v>423</v>
      </c>
      <c r="K24" s="474"/>
      <c r="L24" s="474"/>
      <c r="M24" s="474"/>
      <c r="N24" s="474" t="s">
        <v>539</v>
      </c>
      <c r="O24" s="474"/>
      <c r="P24" s="474"/>
      <c r="Q24" s="474"/>
      <c r="R24" s="474" t="s">
        <v>421</v>
      </c>
      <c r="S24" s="474"/>
      <c r="T24" s="474"/>
      <c r="U24" s="474"/>
      <c r="V24" s="474" t="s">
        <v>416</v>
      </c>
      <c r="W24" s="474"/>
      <c r="X24" s="474"/>
      <c r="Y24" s="474"/>
      <c r="Z24" s="474" t="s">
        <v>420</v>
      </c>
      <c r="AA24" s="474"/>
      <c r="AB24" s="474"/>
      <c r="AC24" s="474"/>
      <c r="AD24" s="474" t="s">
        <v>426</v>
      </c>
      <c r="AE24" s="474"/>
      <c r="AF24" s="474"/>
      <c r="AG24" s="474"/>
      <c r="AH24" s="474" t="s">
        <v>417</v>
      </c>
      <c r="AI24" s="474"/>
      <c r="AJ24" s="474"/>
      <c r="AK24" s="474"/>
      <c r="AL24" s="474" t="s">
        <v>427</v>
      </c>
      <c r="AM24" s="474"/>
      <c r="AN24" s="474"/>
      <c r="AO24" s="474"/>
      <c r="AP24" s="474" t="s">
        <v>425</v>
      </c>
      <c r="AQ24" s="474"/>
      <c r="AR24" s="474"/>
      <c r="AS24" s="474"/>
      <c r="AT24" s="474" t="s">
        <v>422</v>
      </c>
      <c r="AU24" s="474"/>
      <c r="AV24" s="474"/>
      <c r="AW24" s="474"/>
      <c r="AX24" s="474" t="s">
        <v>424</v>
      </c>
      <c r="AY24" s="474"/>
      <c r="AZ24" s="474"/>
      <c r="BA24" s="474"/>
    </row>
    <row r="25" spans="1:53" x14ac:dyDescent="0.2">
      <c r="B25" s="474">
        <v>16060011</v>
      </c>
      <c r="C25" s="474"/>
      <c r="D25" s="474"/>
      <c r="E25" s="474"/>
      <c r="F25" s="474">
        <v>15030202</v>
      </c>
      <c r="G25" s="474"/>
      <c r="H25" s="474"/>
      <c r="I25" s="474"/>
      <c r="J25" s="474">
        <v>15030201</v>
      </c>
      <c r="K25" s="474"/>
      <c r="L25" s="474"/>
      <c r="M25" s="474"/>
      <c r="N25" s="474">
        <v>18100204</v>
      </c>
      <c r="O25" s="474"/>
      <c r="P25" s="474"/>
      <c r="Q25" s="474"/>
      <c r="R25" s="474">
        <v>16060013</v>
      </c>
      <c r="S25" s="474"/>
      <c r="T25" s="474"/>
      <c r="U25" s="474"/>
      <c r="V25" s="474">
        <v>18090208</v>
      </c>
      <c r="W25" s="474"/>
      <c r="X25" s="474"/>
      <c r="Y25" s="474"/>
      <c r="Z25" s="474">
        <v>16060003</v>
      </c>
      <c r="AA25" s="474"/>
      <c r="AB25" s="474"/>
      <c r="AC25" s="474"/>
      <c r="AD25" s="474">
        <v>3050105</v>
      </c>
      <c r="AE25" s="474"/>
      <c r="AF25" s="474"/>
      <c r="AG25" s="474"/>
      <c r="AH25" s="474">
        <v>16040201</v>
      </c>
      <c r="AI25" s="474"/>
      <c r="AJ25" s="474"/>
      <c r="AK25" s="474"/>
      <c r="AL25" s="474">
        <v>14030005</v>
      </c>
      <c r="AM25" s="474"/>
      <c r="AN25" s="474"/>
      <c r="AO25" s="474"/>
      <c r="AP25" s="474">
        <v>3050102</v>
      </c>
      <c r="AQ25" s="474"/>
      <c r="AR25" s="474"/>
      <c r="AS25" s="474"/>
      <c r="AT25" s="474">
        <v>16060010</v>
      </c>
      <c r="AU25" s="474"/>
      <c r="AV25" s="474"/>
      <c r="AW25" s="474"/>
      <c r="AX25" s="474">
        <v>11140205</v>
      </c>
      <c r="AY25" s="474"/>
      <c r="AZ25" s="474"/>
      <c r="BA25" s="474"/>
    </row>
    <row r="26" spans="1:53" x14ac:dyDescent="0.2">
      <c r="B26" t="s">
        <v>462</v>
      </c>
      <c r="C26" t="s">
        <v>463</v>
      </c>
      <c r="D26" t="s">
        <v>464</v>
      </c>
      <c r="E26" t="s">
        <v>465</v>
      </c>
      <c r="F26" t="s">
        <v>462</v>
      </c>
      <c r="G26" t="s">
        <v>463</v>
      </c>
      <c r="H26" t="s">
        <v>464</v>
      </c>
      <c r="I26" t="s">
        <v>465</v>
      </c>
      <c r="J26" t="s">
        <v>462</v>
      </c>
      <c r="K26" t="s">
        <v>463</v>
      </c>
      <c r="L26" t="s">
        <v>464</v>
      </c>
      <c r="M26" t="s">
        <v>465</v>
      </c>
      <c r="N26" t="s">
        <v>462</v>
      </c>
      <c r="O26" t="s">
        <v>463</v>
      </c>
      <c r="P26" t="s">
        <v>464</v>
      </c>
      <c r="Q26" t="s">
        <v>465</v>
      </c>
      <c r="R26" t="s">
        <v>462</v>
      </c>
      <c r="S26" t="s">
        <v>463</v>
      </c>
      <c r="T26" t="s">
        <v>464</v>
      </c>
      <c r="U26" t="s">
        <v>465</v>
      </c>
      <c r="V26" t="s">
        <v>462</v>
      </c>
      <c r="W26" t="s">
        <v>463</v>
      </c>
      <c r="X26" t="s">
        <v>464</v>
      </c>
      <c r="Y26" t="s">
        <v>465</v>
      </c>
      <c r="Z26" t="s">
        <v>462</v>
      </c>
      <c r="AA26" t="s">
        <v>463</v>
      </c>
      <c r="AB26" t="s">
        <v>464</v>
      </c>
      <c r="AC26" t="s">
        <v>465</v>
      </c>
      <c r="AD26" t="s">
        <v>462</v>
      </c>
      <c r="AE26" t="s">
        <v>463</v>
      </c>
      <c r="AF26" t="s">
        <v>464</v>
      </c>
      <c r="AG26" t="s">
        <v>465</v>
      </c>
      <c r="AH26" t="s">
        <v>462</v>
      </c>
      <c r="AI26" t="s">
        <v>463</v>
      </c>
      <c r="AJ26" t="s">
        <v>464</v>
      </c>
      <c r="AK26" t="s">
        <v>465</v>
      </c>
      <c r="AL26" t="s">
        <v>462</v>
      </c>
      <c r="AM26" t="s">
        <v>463</v>
      </c>
      <c r="AN26" t="s">
        <v>464</v>
      </c>
      <c r="AO26" t="s">
        <v>465</v>
      </c>
      <c r="AP26" t="s">
        <v>462</v>
      </c>
      <c r="AQ26" t="s">
        <v>463</v>
      </c>
      <c r="AR26" t="s">
        <v>464</v>
      </c>
      <c r="AS26" t="s">
        <v>465</v>
      </c>
      <c r="AT26" t="s">
        <v>462</v>
      </c>
      <c r="AU26" t="s">
        <v>463</v>
      </c>
      <c r="AV26" t="s">
        <v>464</v>
      </c>
      <c r="AW26" t="s">
        <v>465</v>
      </c>
      <c r="AX26" t="s">
        <v>462</v>
      </c>
      <c r="AY26" t="s">
        <v>463</v>
      </c>
      <c r="AZ26" t="s">
        <v>464</v>
      </c>
      <c r="BA26" t="s">
        <v>465</v>
      </c>
    </row>
    <row r="27" spans="1:53" x14ac:dyDescent="0.2">
      <c r="A27" t="s">
        <v>396</v>
      </c>
      <c r="B27" s="39">
        <f>VLOOKUP(B$6,'8. Uncertainty Results'!$B$236:$N$248,11,FALSE)</f>
        <v>-73.483352214961656</v>
      </c>
      <c r="C27" s="39">
        <f>VLOOKUP(B$6,'8. Uncertainty Results'!$B$306:$N$318,11,FALSE)</f>
        <v>-65.992798312844712</v>
      </c>
      <c r="D27" s="39">
        <f>VLOOKUP(B$6,'8. Uncertainty Results'!$B$377:$N$389,11,FALSE)</f>
        <v>-64.790452566095439</v>
      </c>
      <c r="E27" s="39">
        <f>VLOOKUP(B$6,'8. Uncertainty Results'!$B$447:$N$459,11,FALSE)</f>
        <v>-66.843546737956018</v>
      </c>
      <c r="F27" s="39">
        <f>VLOOKUP(F$6,'8. Uncertainty Results'!$B$236:$N$248,11,FALSE)</f>
        <v>-54.191197708581235</v>
      </c>
      <c r="G27" s="39">
        <f>VLOOKUP(F$6,'8. Uncertainty Results'!$B$306:$N$318,11,FALSE)</f>
        <v>-101.2490515571224</v>
      </c>
      <c r="H27" s="39">
        <f>VLOOKUP(F$6,'8. Uncertainty Results'!$B$377:$N$389,11,FALSE)</f>
        <v>-87.741845550298791</v>
      </c>
      <c r="I27" s="39">
        <f>VLOOKUP(F$6,'8. Uncertainty Results'!$B$447:$N$459,11,FALSE)</f>
        <v>-116.77395693741491</v>
      </c>
      <c r="J27" s="39">
        <f>VLOOKUP(J$6,'8. Uncertainty Results'!$B$236:$N$248,11,FALSE)</f>
        <v>4.0631582711333376</v>
      </c>
      <c r="K27" s="39">
        <f>VLOOKUP(J$6,'8. Uncertainty Results'!$B$306:$N$318,11,FALSE)</f>
        <v>-55.953491692463103</v>
      </c>
      <c r="L27" s="39">
        <f>VLOOKUP(J$6,'8. Uncertainty Results'!$B$377:$N$389,11,FALSE)</f>
        <v>-41.899169461790528</v>
      </c>
      <c r="M27" s="39">
        <f>VLOOKUP(J$6,'8. Uncertainty Results'!$B$447:$N$459,11,FALSE)</f>
        <v>-70.805252124498324</v>
      </c>
      <c r="N27" s="39">
        <f>VLOOKUP(N$6,'8. Uncertainty Results'!$B$236:$N$248,11,FALSE)</f>
        <v>-662.25347664771846</v>
      </c>
      <c r="O27" s="39">
        <f>VLOOKUP(N$6,'8. Uncertainty Results'!$B$306:$N$318,11,FALSE)</f>
        <v>-913.04362963827236</v>
      </c>
      <c r="P27" s="39">
        <f>VLOOKUP(N$6,'8. Uncertainty Results'!$B$377:$N$389,11,FALSE)</f>
        <v>-914.18483819820108</v>
      </c>
      <c r="Q27" s="39">
        <f>VLOOKUP(N$6,'8. Uncertainty Results'!$B$447:$N$459,11,FALSE)</f>
        <v>-920.7834461346481</v>
      </c>
      <c r="R27" s="39">
        <f>VLOOKUP(R$6,'8. Uncertainty Results'!$B$236:$N$248,11,FALSE)</f>
        <v>-56.771635836416642</v>
      </c>
      <c r="S27" s="39">
        <f>VLOOKUP(R$6,'8. Uncertainty Results'!$B$306:$N$318,11,FALSE)</f>
        <v>-54.412320129632754</v>
      </c>
      <c r="T27" s="39">
        <f>VLOOKUP(R$6,'8. Uncertainty Results'!$B$377:$N$389,11,FALSE)</f>
        <v>-54.053682018250669</v>
      </c>
      <c r="U27" s="39">
        <f>VLOOKUP(R$6,'8. Uncertainty Results'!$B$447:$N$459,11,FALSE)</f>
        <v>-57.113178793371368</v>
      </c>
      <c r="V27" s="39">
        <f>VLOOKUP(V$6,'8. Uncertainty Results'!$B$236:$N$248,11,FALSE)</f>
        <v>-1408.5109606218423</v>
      </c>
      <c r="W27" s="39">
        <f>VLOOKUP(V$6,'8. Uncertainty Results'!$B$306:$N$318,11,FALSE)</f>
        <v>-2066.2625996362153</v>
      </c>
      <c r="X27" s="39">
        <f>VLOOKUP(V$6,'8. Uncertainty Results'!$B$377:$N$389,11,FALSE)</f>
        <v>-1946.9740561172168</v>
      </c>
      <c r="Y27" s="39">
        <f>VLOOKUP(V$6,'8. Uncertainty Results'!$B$447:$N$459,11,FALSE)</f>
        <v>-2146.409410957041</v>
      </c>
      <c r="Z27" s="39">
        <f>VLOOKUP(Z$6,'8. Uncertainty Results'!$B$236:$N$248,11,FALSE)</f>
        <v>-48.672758210294035</v>
      </c>
      <c r="AA27" s="39">
        <f>VLOOKUP(Z$6,'8. Uncertainty Results'!$B$306:$N$318,11,FALSE)</f>
        <v>-48.922056045739183</v>
      </c>
      <c r="AB27" s="39">
        <f>VLOOKUP(Z$6,'8. Uncertainty Results'!$B$377:$N$389,11,FALSE)</f>
        <v>-48.215927753534515</v>
      </c>
      <c r="AC27" s="39">
        <f>VLOOKUP(Z$6,'8. Uncertainty Results'!$B$447:$N$459,11,FALSE)</f>
        <v>-50.211490956212614</v>
      </c>
      <c r="AD27" s="39">
        <f>VLOOKUP(AD$6,'8. Uncertainty Results'!$B$236:$N$248,11,FALSE)</f>
        <v>1672.8530424899768</v>
      </c>
      <c r="AE27" s="39">
        <f>VLOOKUP(AD$6,'8. Uncertainty Results'!$B$306:$N$318,11,FALSE)</f>
        <v>1701.6329202785871</v>
      </c>
      <c r="AF27" s="39">
        <f>VLOOKUP(AD$6,'8. Uncertainty Results'!$B$377:$N$389,11,FALSE)</f>
        <v>1714.6972229262303</v>
      </c>
      <c r="AG27" s="39">
        <f>VLOOKUP(AD$6,'8. Uncertainty Results'!$B$447:$N$459,11,FALSE)</f>
        <v>1685.5844099631731</v>
      </c>
      <c r="AH27" s="39">
        <f>VLOOKUP(AH$6,'8. Uncertainty Results'!$B$236:$N$248,11,FALSE)</f>
        <v>-390.1933483739441</v>
      </c>
      <c r="AI27" s="39">
        <f>VLOOKUP(AH$6,'8. Uncertainty Results'!$B$306:$N$318,11,FALSE)</f>
        <v>-497.88727073316818</v>
      </c>
      <c r="AJ27" s="39">
        <f>VLOOKUP(AH$6,'8. Uncertainty Results'!$B$377:$N$389,11,FALSE)</f>
        <v>-494.16330049525743</v>
      </c>
      <c r="AK27" s="39">
        <f>VLOOKUP(AH$6,'8. Uncertainty Results'!$B$447:$N$459,11,FALSE)</f>
        <v>-494.68865474047209</v>
      </c>
      <c r="AL27" s="39">
        <f>VLOOKUP(AL$6,'8. Uncertainty Results'!$B$236:$N$248,11,FALSE)</f>
        <v>6251.3816483044429</v>
      </c>
      <c r="AM27" s="39">
        <f>VLOOKUP(AL$6,'8. Uncertainty Results'!$B$306:$N$318,11,FALSE)</f>
        <v>5806.0200962106255</v>
      </c>
      <c r="AN27" s="39">
        <f>VLOOKUP(AL$6,'8. Uncertainty Results'!$B$377:$N$389,11,FALSE)</f>
        <v>5806.7601078761754</v>
      </c>
      <c r="AO27" s="39">
        <f>VLOOKUP(AL$6,'8. Uncertainty Results'!$B$447:$N$459,11,FALSE)</f>
        <v>5805.6331401825983</v>
      </c>
      <c r="AP27" s="39">
        <f>VLOOKUP(AP$6,'8. Uncertainty Results'!$B$236:$N$248,11,FALSE)</f>
        <v>524.16619224344356</v>
      </c>
      <c r="AQ27" s="39">
        <f>VLOOKUP(AP$6,'8. Uncertainty Results'!$B$306:$N$318,11,FALSE)</f>
        <v>530.6124769697833</v>
      </c>
      <c r="AR27" s="39">
        <f>VLOOKUP(AP$6,'8. Uncertainty Results'!$B$377:$N$389,11,FALSE)</f>
        <v>534.47996246421428</v>
      </c>
      <c r="AS27" s="39">
        <f>VLOOKUP(AP$6,'8. Uncertainty Results'!$B$447:$N$459,11,FALSE)</f>
        <v>526.06751420552655</v>
      </c>
      <c r="AT27" s="39">
        <f>VLOOKUP(AT$6,'8. Uncertainty Results'!$B$236:$N$248,11,FALSE)</f>
        <v>-26.025397458979214</v>
      </c>
      <c r="AU27" s="39">
        <f>VLOOKUP(AT$6,'8. Uncertainty Results'!$B$306:$N$318,11,FALSE)</f>
        <v>-36.159576976067463</v>
      </c>
      <c r="AV27" s="39">
        <f>VLOOKUP(AT$6,'8. Uncertainty Results'!$B$377:$N$389,11,FALSE)</f>
        <v>-33.05022454387084</v>
      </c>
      <c r="AW27" s="39">
        <f>VLOOKUP(AT$6,'8. Uncertainty Results'!$B$447:$N$459,11,FALSE)</f>
        <v>-38.957361913760479</v>
      </c>
      <c r="AX27" s="39">
        <f>VLOOKUP(AX$6,'8. Uncertainty Results'!$B$236:$N$248,11,FALSE)</f>
        <v>437.38949253278093</v>
      </c>
      <c r="AY27" s="39">
        <f>VLOOKUP(AX$6,'8. Uncertainty Results'!$B$306:$N$318,11,FALSE)</f>
        <v>417.2320020172711</v>
      </c>
      <c r="AZ27" s="39">
        <f>VLOOKUP(AX$6,'8. Uncertainty Results'!$B$377:$N$389,11,FALSE)</f>
        <v>418.80766557198928</v>
      </c>
      <c r="BA27" s="39">
        <f>VLOOKUP(AX$6,'8. Uncertainty Results'!$B$447:$N$459,11,FALSE)</f>
        <v>415.62309412866256</v>
      </c>
    </row>
    <row r="28" spans="1:53" x14ac:dyDescent="0.2">
      <c r="A28" t="s">
        <v>397</v>
      </c>
      <c r="B28" s="39">
        <f>VLOOKUP(B$6,'8. Uncertainty Results'!$B$236:$N$248,12,FALSE)</f>
        <v>-164.59386630736279</v>
      </c>
      <c r="C28" s="39">
        <f>VLOOKUP(B$6,'8. Uncertainty Results'!$B$306:$N$318,12,FALSE)</f>
        <v>-96.509332488009719</v>
      </c>
      <c r="D28" s="39">
        <f>VLOOKUP(B$6,'8. Uncertainty Results'!$B$377:$N$389,12,FALSE)</f>
        <v>-95.260501612144481</v>
      </c>
      <c r="E28" s="39">
        <f>VLOOKUP(B$6,'8. Uncertainty Results'!$B$447:$N$459,12,FALSE)</f>
        <v>-98.598282711550439</v>
      </c>
      <c r="F28" s="39">
        <f>VLOOKUP(F$6,'8. Uncertainty Results'!$B$236:$N$248,12,FALSE)</f>
        <v>-17.034221328854418</v>
      </c>
      <c r="G28" s="39">
        <f>VLOOKUP(F$6,'8. Uncertainty Results'!$B$306:$N$318,12,FALSE)</f>
        <v>-99.571350308205282</v>
      </c>
      <c r="H28" s="39">
        <f>VLOOKUP(F$6,'8. Uncertainty Results'!$B$377:$N$389,12,FALSE)</f>
        <v>-82.987907006172748</v>
      </c>
      <c r="I28" s="39">
        <f>VLOOKUP(F$6,'8. Uncertainty Results'!$B$447:$N$459,12,FALSE)</f>
        <v>-117.77903239897991</v>
      </c>
      <c r="J28" s="39">
        <f>VLOOKUP(J$6,'8. Uncertainty Results'!$B$236:$N$248,12,FALSE)</f>
        <v>104.44833741087278</v>
      </c>
      <c r="K28" s="39">
        <f>VLOOKUP(J$6,'8. Uncertainty Results'!$B$306:$N$318,12,FALSE)</f>
        <v>2.553152189464158</v>
      </c>
      <c r="L28" s="39">
        <f>VLOOKUP(J$6,'8. Uncertainty Results'!$B$377:$N$389,12,FALSE)</f>
        <v>19.854561871754715</v>
      </c>
      <c r="M28" s="39">
        <f>VLOOKUP(J$6,'8. Uncertainty Results'!$B$447:$N$459,12,FALSE)</f>
        <v>-16.227222298433436</v>
      </c>
      <c r="N28" s="39">
        <f>VLOOKUP(N$6,'8. Uncertainty Results'!$B$236:$N$248,12,FALSE)</f>
        <v>-1558.2116363251034</v>
      </c>
      <c r="O28" s="39">
        <f>VLOOKUP(N$6,'8. Uncertainty Results'!$B$306:$N$318,12,FALSE)</f>
        <v>-1905.418547853918</v>
      </c>
      <c r="P28" s="39">
        <f>VLOOKUP(N$6,'8. Uncertainty Results'!$B$377:$N$389,12,FALSE)</f>
        <v>-1905.5295001669829</v>
      </c>
      <c r="Q28" s="39">
        <f>VLOOKUP(N$6,'8. Uncertainty Results'!$B$447:$N$459,12,FALSE)</f>
        <v>-1949.361879775111</v>
      </c>
      <c r="R28" s="39">
        <f>VLOOKUP(R$6,'8. Uncertainty Results'!$B$236:$N$248,12,FALSE)</f>
        <v>-128.34803324248821</v>
      </c>
      <c r="S28" s="39">
        <f>VLOOKUP(R$6,'8. Uncertainty Results'!$B$306:$N$318,12,FALSE)</f>
        <v>-68.777171071335744</v>
      </c>
      <c r="T28" s="39">
        <f>VLOOKUP(R$6,'8. Uncertainty Results'!$B$377:$N$389,12,FALSE)</f>
        <v>-67.327948887441437</v>
      </c>
      <c r="U28" s="39">
        <f>VLOOKUP(R$6,'8. Uncertainty Results'!$B$447:$N$459,12,FALSE)</f>
        <v>-71.3184076218825</v>
      </c>
      <c r="V28" s="39">
        <f>VLOOKUP(V$6,'8. Uncertainty Results'!$B$236:$N$248,12,FALSE)</f>
        <v>-2119.5924747600766</v>
      </c>
      <c r="W28" s="39">
        <f>VLOOKUP(V$6,'8. Uncertainty Results'!$B$306:$N$318,12,FALSE)</f>
        <v>-2950.7553119690597</v>
      </c>
      <c r="X28" s="39">
        <f>VLOOKUP(V$6,'8. Uncertainty Results'!$B$377:$N$389,12,FALSE)</f>
        <v>-2837.0976761437537</v>
      </c>
      <c r="Y28" s="39">
        <f>VLOOKUP(V$6,'8. Uncertainty Results'!$B$447:$N$459,12,FALSE)</f>
        <v>-3060.4118587664275</v>
      </c>
      <c r="Z28" s="39">
        <f>VLOOKUP(Z$6,'8. Uncertainty Results'!$B$236:$N$248,12,FALSE)</f>
        <v>-105.36671806895161</v>
      </c>
      <c r="AA28" s="39">
        <f>VLOOKUP(Z$6,'8. Uncertainty Results'!$B$306:$N$318,12,FALSE)</f>
        <v>-59.591365984890302</v>
      </c>
      <c r="AB28" s="39">
        <f>VLOOKUP(Z$6,'8. Uncertainty Results'!$B$377:$N$389,12,FALSE)</f>
        <v>-58.069621630175796</v>
      </c>
      <c r="AC28" s="39">
        <f>VLOOKUP(Z$6,'8. Uncertainty Results'!$B$447:$N$459,12,FALSE)</f>
        <v>-61.062627945910947</v>
      </c>
      <c r="AD28" s="39">
        <f>VLOOKUP(AD$6,'8. Uncertainty Results'!$B$236:$N$248,12,FALSE)</f>
        <v>2815.794859241229</v>
      </c>
      <c r="AE28" s="39">
        <f>VLOOKUP(AD$6,'8. Uncertainty Results'!$B$306:$N$318,12,FALSE)</f>
        <v>3142.294322402081</v>
      </c>
      <c r="AF28" s="39">
        <f>VLOOKUP(AD$6,'8. Uncertainty Results'!$B$377:$N$389,12,FALSE)</f>
        <v>3159.0964808735275</v>
      </c>
      <c r="AG28" s="39">
        <f>VLOOKUP(AD$6,'8. Uncertainty Results'!$B$447:$N$459,12,FALSE)</f>
        <v>3122.1082524038657</v>
      </c>
      <c r="AH28" s="39">
        <f>VLOOKUP(AH$6,'8. Uncertainty Results'!$B$236:$N$248,12,FALSE)</f>
        <v>-559.99986729317811</v>
      </c>
      <c r="AI28" s="39">
        <f>VLOOKUP(AH$6,'8. Uncertainty Results'!$B$306:$N$318,12,FALSE)</f>
        <v>-611.2900244803651</v>
      </c>
      <c r="AJ28" s="39">
        <f>VLOOKUP(AH$6,'8. Uncertainty Results'!$B$377:$N$389,12,FALSE)</f>
        <v>-607.40947696852641</v>
      </c>
      <c r="AK28" s="39">
        <f>VLOOKUP(AH$6,'8. Uncertainty Results'!$B$447:$N$459,12,FALSE)</f>
        <v>-611.56872852133199</v>
      </c>
      <c r="AL28" s="39">
        <f>VLOOKUP(AL$6,'8. Uncertainty Results'!$B$236:$N$248,12,FALSE)</f>
        <v>9227.7168558058584</v>
      </c>
      <c r="AM28" s="39">
        <f>VLOOKUP(AL$6,'8. Uncertainty Results'!$B$306:$N$318,12,FALSE)</f>
        <v>8494.3052200355451</v>
      </c>
      <c r="AN28" s="39">
        <f>VLOOKUP(AL$6,'8. Uncertainty Results'!$B$377:$N$389,12,FALSE)</f>
        <v>8494.8059942206728</v>
      </c>
      <c r="AO28" s="39">
        <f>VLOOKUP(AL$6,'8. Uncertainty Results'!$B$447:$N$459,12,FALSE)</f>
        <v>8493.6721555576169</v>
      </c>
      <c r="AP28" s="39">
        <f>VLOOKUP(AP$6,'8. Uncertainty Results'!$B$236:$N$248,12,FALSE)</f>
        <v>804.58290185903002</v>
      </c>
      <c r="AQ28" s="39">
        <f>VLOOKUP(AP$6,'8. Uncertainty Results'!$B$306:$N$318,12,FALSE)</f>
        <v>874.69553488310135</v>
      </c>
      <c r="AR28" s="39">
        <f>VLOOKUP(AP$6,'8. Uncertainty Results'!$B$377:$N$389,12,FALSE)</f>
        <v>879.03240199628476</v>
      </c>
      <c r="AS28" s="39">
        <f>VLOOKUP(AP$6,'8. Uncertainty Results'!$B$447:$N$459,12,FALSE)</f>
        <v>869.23763268903599</v>
      </c>
      <c r="AT28" s="39">
        <f>VLOOKUP(AT$6,'8. Uncertainty Results'!$B$236:$N$248,12,FALSE)</f>
        <v>-56.843922810513227</v>
      </c>
      <c r="AU28" s="39">
        <f>VLOOKUP(AT$6,'8. Uncertainty Results'!$B$306:$N$318,12,FALSE)</f>
        <v>-55.913223396550947</v>
      </c>
      <c r="AV28" s="39">
        <f>VLOOKUP(AT$6,'8. Uncertainty Results'!$B$377:$N$389,12,FALSE)</f>
        <v>-52.783890387639559</v>
      </c>
      <c r="AW28" s="39">
        <f>VLOOKUP(AT$6,'8. Uncertainty Results'!$B$447:$N$459,12,FALSE)</f>
        <v>-58.617157829617589</v>
      </c>
      <c r="AX28" s="39">
        <f>VLOOKUP(AX$6,'8. Uncertainty Results'!$B$236:$N$248,12,FALSE)</f>
        <v>813.25913192630151</v>
      </c>
      <c r="AY28" s="39">
        <f>VLOOKUP(AX$6,'8. Uncertainty Results'!$B$306:$N$318,12,FALSE)</f>
        <v>656.01525437810881</v>
      </c>
      <c r="AZ28" s="39">
        <f>VLOOKUP(AX$6,'8. Uncertainty Results'!$B$377:$N$389,12,FALSE)</f>
        <v>657.73263393525667</v>
      </c>
      <c r="BA28" s="39">
        <f>VLOOKUP(AX$6,'8. Uncertainty Results'!$B$447:$N$459,12,FALSE)</f>
        <v>654.02013703918828</v>
      </c>
    </row>
    <row r="29" spans="1:53" x14ac:dyDescent="0.2">
      <c r="A29" t="s">
        <v>398</v>
      </c>
      <c r="B29" s="39">
        <f>VLOOKUP(B$6,'8. Uncertainty Results'!$B$236:$N$248,13,FALSE)</f>
        <v>-328.38333269168447</v>
      </c>
      <c r="C29" s="39">
        <f>VLOOKUP(B$6,'8. Uncertainty Results'!$B$306:$N$318,13,FALSE)</f>
        <v>-149.94186267900042</v>
      </c>
      <c r="D29" s="39">
        <f>VLOOKUP(B$6,'8. Uncertainty Results'!$B$377:$N$389,13,FALSE)</f>
        <v>-148.218847131914</v>
      </c>
      <c r="E29" s="39">
        <f>VLOOKUP(B$6,'8. Uncertainty Results'!$B$447:$N$459,13,FALSE)</f>
        <v>-152.34362587933515</v>
      </c>
      <c r="F29" s="39">
        <f>VLOOKUP(F$6,'8. Uncertainty Results'!$B$236:$N$248,13,FALSE)</f>
        <v>44.505307077639486</v>
      </c>
      <c r="G29" s="39">
        <f>VLOOKUP(F$6,'8. Uncertainty Results'!$B$306:$N$318,13,FALSE)</f>
        <v>-103.71506296731951</v>
      </c>
      <c r="H29" s="39">
        <f>VLOOKUP(F$6,'8. Uncertainty Results'!$B$377:$N$389,13,FALSE)</f>
        <v>-83.406739502331646</v>
      </c>
      <c r="I29" s="39">
        <f>VLOOKUP(F$6,'8. Uncertainty Results'!$B$447:$N$459,13,FALSE)</f>
        <v>-125.92818946371264</v>
      </c>
      <c r="J29" s="39">
        <f>VLOOKUP(J$6,'8. Uncertainty Results'!$B$236:$N$248,13,FALSE)</f>
        <v>251.8998185691876</v>
      </c>
      <c r="K29" s="39">
        <f>VLOOKUP(J$6,'8. Uncertainty Results'!$B$306:$N$318,13,FALSE)</f>
        <v>93.205243789422383</v>
      </c>
      <c r="L29" s="39">
        <f>VLOOKUP(J$6,'8. Uncertainty Results'!$B$377:$N$389,13,FALSE)</f>
        <v>112.72197369617939</v>
      </c>
      <c r="M29" s="39">
        <f>VLOOKUP(J$6,'8. Uncertainty Results'!$B$447:$N$459,13,FALSE)</f>
        <v>69.17939714734608</v>
      </c>
      <c r="N29" s="39">
        <f>VLOOKUP(N$6,'8. Uncertainty Results'!$B$236:$N$248,13,FALSE)</f>
        <v>-2690.727163958667</v>
      </c>
      <c r="O29" s="39">
        <f>VLOOKUP(N$6,'8. Uncertainty Results'!$B$306:$N$318,13,FALSE)</f>
        <v>-3286.8149824548918</v>
      </c>
      <c r="P29" s="39">
        <f>VLOOKUP(N$6,'8. Uncertainty Results'!$B$377:$N$389,13,FALSE)</f>
        <v>-3278.5988991393069</v>
      </c>
      <c r="Q29" s="39">
        <f>VLOOKUP(N$6,'8. Uncertainty Results'!$B$447:$N$459,13,FALSE)</f>
        <v>-3327.5922036790125</v>
      </c>
      <c r="R29" s="39">
        <f>VLOOKUP(R$6,'8. Uncertainty Results'!$B$236:$N$248,13,FALSE)</f>
        <v>-240.63639999961322</v>
      </c>
      <c r="S29" s="39">
        <f>VLOOKUP(R$6,'8. Uncertainty Results'!$B$306:$N$318,13,FALSE)</f>
        <v>-79.809692391376259</v>
      </c>
      <c r="T29" s="39">
        <f>VLOOKUP(R$6,'8. Uncertainty Results'!$B$377:$N$389,13,FALSE)</f>
        <v>-76.809428528997671</v>
      </c>
      <c r="U29" s="39">
        <f>VLOOKUP(R$6,'8. Uncertainty Results'!$B$447:$N$459,13,FALSE)</f>
        <v>-83.276613450732071</v>
      </c>
      <c r="V29" s="39">
        <f>VLOOKUP(V$6,'8. Uncertainty Results'!$B$236:$N$248,13,FALSE)</f>
        <v>-3133.3435984373873</v>
      </c>
      <c r="W29" s="39">
        <f>VLOOKUP(V$6,'8. Uncertainty Results'!$B$306:$N$318,13,FALSE)</f>
        <v>-3954.4061374076559</v>
      </c>
      <c r="X29" s="39">
        <f>VLOOKUP(V$6,'8. Uncertainty Results'!$B$377:$N$389,13,FALSE)</f>
        <v>-3844.118738547395</v>
      </c>
      <c r="Y29" s="39">
        <f>VLOOKUP(V$6,'8. Uncertainty Results'!$B$447:$N$459,13,FALSE)</f>
        <v>-4085.3592562803369</v>
      </c>
      <c r="Z29" s="39">
        <f>VLOOKUP(Z$6,'8. Uncertainty Results'!$B$236:$N$248,13,FALSE)</f>
        <v>-216.81766738430014</v>
      </c>
      <c r="AA29" s="39">
        <f>VLOOKUP(Z$6,'8. Uncertainty Results'!$B$306:$N$318,13,FALSE)</f>
        <v>-85.978711591728484</v>
      </c>
      <c r="AB29" s="39">
        <f>VLOOKUP(Z$6,'8. Uncertainty Results'!$B$377:$N$389,13,FALSE)</f>
        <v>-83.983667633904005</v>
      </c>
      <c r="AC29" s="39">
        <f>VLOOKUP(Z$6,'8. Uncertainty Results'!$B$447:$N$459,13,FALSE)</f>
        <v>-87.732522494065464</v>
      </c>
      <c r="AD29" s="39">
        <f>VLOOKUP(AD$6,'8. Uncertainty Results'!$B$236:$N$248,13,FALSE)</f>
        <v>3896.3319638218181</v>
      </c>
      <c r="AE29" s="39">
        <f>VLOOKUP(AD$6,'8. Uncertainty Results'!$B$306:$N$318,13,FALSE)</f>
        <v>4909.4335200267178</v>
      </c>
      <c r="AF29" s="39">
        <f>VLOOKUP(AD$6,'8. Uncertainty Results'!$B$377:$N$389,13,FALSE)</f>
        <v>4929.2149580902214</v>
      </c>
      <c r="AG29" s="39">
        <f>VLOOKUP(AD$6,'8. Uncertainty Results'!$B$447:$N$459,13,FALSE)</f>
        <v>4883.9599885844909</v>
      </c>
      <c r="AH29" s="39">
        <f>VLOOKUP(AH$6,'8. Uncertainty Results'!$B$236:$N$248,13,FALSE)</f>
        <v>-818.13817081602303</v>
      </c>
      <c r="AI29" s="39">
        <f>VLOOKUP(AH$6,'8. Uncertainty Results'!$B$306:$N$318,13,FALSE)</f>
        <v>-724.40121278658273</v>
      </c>
      <c r="AJ29" s="39">
        <f>VLOOKUP(AH$6,'8. Uncertainty Results'!$B$377:$N$389,13,FALSE)</f>
        <v>-720.24269686438049</v>
      </c>
      <c r="AK29" s="39">
        <f>VLOOKUP(AH$6,'8. Uncertainty Results'!$B$447:$N$459,13,FALSE)</f>
        <v>-723.10554653878887</v>
      </c>
      <c r="AL29" s="39">
        <f>VLOOKUP(AL$6,'8. Uncertainty Results'!$B$236:$N$248,13,FALSE)</f>
        <v>12921.209376291668</v>
      </c>
      <c r="AM29" s="39">
        <f>VLOOKUP(AL$6,'8. Uncertainty Results'!$B$306:$N$318,13,FALSE)</f>
        <v>11752.227196975509</v>
      </c>
      <c r="AN29" s="39">
        <f>VLOOKUP(AL$6,'8. Uncertainty Results'!$B$377:$N$389,13,FALSE)</f>
        <v>11752.775685445295</v>
      </c>
      <c r="AO29" s="39">
        <f>VLOOKUP(AL$6,'8. Uncertainty Results'!$B$447:$N$459,13,FALSE)</f>
        <v>11751.350784554237</v>
      </c>
      <c r="AP29" s="39">
        <f>VLOOKUP(AP$6,'8. Uncertainty Results'!$B$236:$N$248,13,FALSE)</f>
        <v>1076.5684745792562</v>
      </c>
      <c r="AQ29" s="39">
        <f>VLOOKUP(AP$6,'8. Uncertainty Results'!$B$306:$N$318,13,FALSE)</f>
        <v>1322.0066497993546</v>
      </c>
      <c r="AR29" s="39">
        <f>VLOOKUP(AP$6,'8. Uncertainty Results'!$B$377:$N$389,13,FALSE)</f>
        <v>1326.7998549824581</v>
      </c>
      <c r="AS29" s="39">
        <f>VLOOKUP(AP$6,'8. Uncertainty Results'!$B$447:$N$459,13,FALSE)</f>
        <v>1315.4458832816103</v>
      </c>
      <c r="AT29" s="39">
        <f>VLOOKUP(AT$6,'8. Uncertainty Results'!$B$236:$N$248,13,FALSE)</f>
        <v>-105.72520727069394</v>
      </c>
      <c r="AU29" s="39">
        <f>VLOOKUP(AT$6,'8. Uncertainty Results'!$B$306:$N$318,13,FALSE)</f>
        <v>-71.799925469295317</v>
      </c>
      <c r="AV29" s="39">
        <f>VLOOKUP(AT$6,'8. Uncertainty Results'!$B$377:$N$389,13,FALSE)</f>
        <v>-68.471259435026013</v>
      </c>
      <c r="AW29" s="39">
        <f>VLOOKUP(AT$6,'8. Uncertainty Results'!$B$447:$N$459,13,FALSE)</f>
        <v>-75.675876804128109</v>
      </c>
      <c r="AX29" s="39">
        <f>VLOOKUP(AX$6,'8. Uncertainty Results'!$B$236:$N$248,13,FALSE)</f>
        <v>1240.7029175813802</v>
      </c>
      <c r="AY29" s="39">
        <f>VLOOKUP(AX$6,'8. Uncertainty Results'!$B$306:$N$318,13,FALSE)</f>
        <v>954.23402824900847</v>
      </c>
      <c r="AZ29" s="39">
        <f>VLOOKUP(AX$6,'8. Uncertainty Results'!$B$377:$N$389,13,FALSE)</f>
        <v>956.1304335005002</v>
      </c>
      <c r="BA29" s="39">
        <f>VLOOKUP(AX$6,'8. Uncertainty Results'!$B$447:$N$459,13,FALSE)</f>
        <v>952.04118326637536</v>
      </c>
    </row>
    <row r="31" spans="1:53" x14ac:dyDescent="0.2">
      <c r="A31" t="s">
        <v>541</v>
      </c>
    </row>
    <row r="33" spans="1:53" x14ac:dyDescent="0.2">
      <c r="B33" s="474" t="s">
        <v>539</v>
      </c>
      <c r="C33" s="474"/>
      <c r="D33" s="474"/>
      <c r="E33" s="474"/>
      <c r="F33" s="474" t="s">
        <v>417</v>
      </c>
      <c r="G33" s="474"/>
      <c r="H33" s="474"/>
      <c r="I33" s="474"/>
      <c r="J33" s="474" t="s">
        <v>418</v>
      </c>
      <c r="K33" s="474"/>
      <c r="L33" s="474"/>
      <c r="M33" s="474"/>
      <c r="N33" s="474" t="s">
        <v>419</v>
      </c>
      <c r="O33" s="474"/>
      <c r="P33" s="474"/>
      <c r="Q33" s="474"/>
      <c r="R33" s="474" t="s">
        <v>420</v>
      </c>
      <c r="S33" s="474"/>
      <c r="T33" s="474"/>
      <c r="U33" s="474"/>
      <c r="V33" s="474" t="s">
        <v>421</v>
      </c>
      <c r="W33" s="474"/>
      <c r="X33" s="474"/>
      <c r="Y33" s="474"/>
      <c r="Z33" s="474" t="s">
        <v>422</v>
      </c>
      <c r="AA33" s="474"/>
      <c r="AB33" s="474"/>
      <c r="AC33" s="474"/>
      <c r="AD33" s="474" t="s">
        <v>423</v>
      </c>
      <c r="AE33" s="474"/>
      <c r="AF33" s="474"/>
      <c r="AG33" s="474"/>
      <c r="AH33" s="474" t="s">
        <v>424</v>
      </c>
      <c r="AI33" s="474"/>
      <c r="AJ33" s="474"/>
      <c r="AK33" s="474"/>
      <c r="AL33" s="474" t="s">
        <v>425</v>
      </c>
      <c r="AM33" s="474"/>
      <c r="AN33" s="474"/>
      <c r="AO33" s="474"/>
      <c r="AP33" s="474" t="s">
        <v>426</v>
      </c>
      <c r="AQ33" s="474"/>
      <c r="AR33" s="474"/>
      <c r="AS33" s="474"/>
      <c r="AT33" s="474" t="s">
        <v>427</v>
      </c>
      <c r="AU33" s="474"/>
      <c r="AV33" s="474"/>
      <c r="AW33" s="474"/>
    </row>
    <row r="34" spans="1:53" x14ac:dyDescent="0.2">
      <c r="B34" t="s">
        <v>482</v>
      </c>
      <c r="C34" t="s">
        <v>483</v>
      </c>
      <c r="D34" t="s">
        <v>484</v>
      </c>
      <c r="E34" t="s">
        <v>485</v>
      </c>
      <c r="F34" t="s">
        <v>482</v>
      </c>
      <c r="G34" t="s">
        <v>483</v>
      </c>
      <c r="H34" t="s">
        <v>484</v>
      </c>
      <c r="I34" t="s">
        <v>485</v>
      </c>
      <c r="J34" t="s">
        <v>482</v>
      </c>
      <c r="K34" t="s">
        <v>483</v>
      </c>
      <c r="L34" t="s">
        <v>484</v>
      </c>
      <c r="M34" t="s">
        <v>485</v>
      </c>
      <c r="N34" t="s">
        <v>482</v>
      </c>
      <c r="O34" t="s">
        <v>483</v>
      </c>
      <c r="P34" t="s">
        <v>484</v>
      </c>
      <c r="Q34" t="s">
        <v>485</v>
      </c>
      <c r="R34" t="s">
        <v>482</v>
      </c>
      <c r="S34" t="s">
        <v>483</v>
      </c>
      <c r="T34" t="s">
        <v>484</v>
      </c>
      <c r="U34" t="s">
        <v>485</v>
      </c>
      <c r="V34" t="s">
        <v>482</v>
      </c>
      <c r="W34" t="s">
        <v>483</v>
      </c>
      <c r="X34" t="s">
        <v>484</v>
      </c>
      <c r="Y34" t="s">
        <v>485</v>
      </c>
      <c r="Z34" t="s">
        <v>482</v>
      </c>
      <c r="AA34" t="s">
        <v>483</v>
      </c>
      <c r="AB34" t="s">
        <v>484</v>
      </c>
      <c r="AC34" t="s">
        <v>485</v>
      </c>
      <c r="AD34" t="s">
        <v>482</v>
      </c>
      <c r="AE34" t="s">
        <v>483</v>
      </c>
      <c r="AF34" t="s">
        <v>484</v>
      </c>
      <c r="AG34" t="s">
        <v>485</v>
      </c>
      <c r="AH34" t="s">
        <v>482</v>
      </c>
      <c r="AI34" t="s">
        <v>483</v>
      </c>
      <c r="AJ34" t="s">
        <v>484</v>
      </c>
      <c r="AK34" t="s">
        <v>485</v>
      </c>
      <c r="AL34" t="s">
        <v>482</v>
      </c>
      <c r="AM34" t="s">
        <v>483</v>
      </c>
      <c r="AN34" t="s">
        <v>484</v>
      </c>
      <c r="AO34" t="s">
        <v>485</v>
      </c>
      <c r="AP34" t="s">
        <v>482</v>
      </c>
      <c r="AQ34" t="s">
        <v>483</v>
      </c>
      <c r="AR34" t="s">
        <v>484</v>
      </c>
      <c r="AS34" t="s">
        <v>485</v>
      </c>
      <c r="AT34" t="s">
        <v>482</v>
      </c>
      <c r="AU34" t="s">
        <v>483</v>
      </c>
      <c r="AV34" t="s">
        <v>484</v>
      </c>
      <c r="AW34" t="s">
        <v>485</v>
      </c>
    </row>
    <row r="35" spans="1:53" x14ac:dyDescent="0.2">
      <c r="A35" t="s">
        <v>396</v>
      </c>
      <c r="B35" s="39" cm="1">
        <f t="array" ref="B35:E37">N27:Q29</f>
        <v>-662.25347664771846</v>
      </c>
      <c r="C35">
        <v>-913.04362963827236</v>
      </c>
      <c r="D35">
        <v>-914.18483819820108</v>
      </c>
      <c r="E35">
        <v>-920.7834461346481</v>
      </c>
      <c r="F35" s="39" cm="1">
        <f t="array" ref="F35:I37">AH27:AK29</f>
        <v>-390.1933483739441</v>
      </c>
      <c r="G35">
        <v>-497.88727073316818</v>
      </c>
      <c r="H35">
        <v>-494.16330049525743</v>
      </c>
      <c r="I35">
        <v>-494.68865474047209</v>
      </c>
      <c r="J35" s="39" cm="1">
        <f t="array" ref="J35:M37">F27:I29</f>
        <v>-54.191197708581235</v>
      </c>
      <c r="K35">
        <v>-101.2490515571224</v>
      </c>
      <c r="L35">
        <v>-87.741845550298791</v>
      </c>
      <c r="M35">
        <v>-116.77395693741491</v>
      </c>
      <c r="N35" s="39" cm="1">
        <f t="array" ref="N35:Q37">B27:E29</f>
        <v>-73.483352214961656</v>
      </c>
      <c r="O35">
        <v>-65.992798312844712</v>
      </c>
      <c r="P35">
        <v>-64.790452566095439</v>
      </c>
      <c r="Q35">
        <v>-66.843546737956018</v>
      </c>
      <c r="R35" s="39" cm="1">
        <f t="array" ref="R35:U37">Z27:AC29</f>
        <v>-48.672758210294035</v>
      </c>
      <c r="S35">
        <v>-48.922056045739183</v>
      </c>
      <c r="T35">
        <v>-48.215927753534515</v>
      </c>
      <c r="U35">
        <v>-50.211490956212614</v>
      </c>
      <c r="V35" s="39" cm="1">
        <f t="array" ref="V35:Y37">R27:U29</f>
        <v>-56.771635836416642</v>
      </c>
      <c r="W35">
        <v>-54.412320129632754</v>
      </c>
      <c r="X35">
        <v>-54.053682018250669</v>
      </c>
      <c r="Y35">
        <v>-57.113178793371368</v>
      </c>
      <c r="Z35" s="39" cm="1">
        <f t="array" ref="Z35:AC37">AT27:AW29</f>
        <v>-26.025397458979214</v>
      </c>
      <c r="AA35">
        <v>-36.159576976067463</v>
      </c>
      <c r="AB35">
        <v>-33.05022454387084</v>
      </c>
      <c r="AC35">
        <v>-38.957361913760479</v>
      </c>
      <c r="AD35" s="39" cm="1">
        <f t="array" ref="AD35:AG37">J27:M29</f>
        <v>4.0631582711333376</v>
      </c>
      <c r="AE35">
        <v>-55.953491692463103</v>
      </c>
      <c r="AF35">
        <v>-41.899169461790528</v>
      </c>
      <c r="AG35">
        <v>-70.805252124498324</v>
      </c>
      <c r="AH35" s="39" cm="1">
        <f t="array" ref="AH35:AK37">AX27:BA29</f>
        <v>437.38949253278093</v>
      </c>
      <c r="AI35">
        <v>417.2320020172711</v>
      </c>
      <c r="AJ35">
        <v>418.80766557198928</v>
      </c>
      <c r="AK35">
        <v>415.62309412866256</v>
      </c>
      <c r="AL35" s="39" cm="1">
        <f t="array" ref="AL35:AO37">AP27:AS29</f>
        <v>524.16619224344356</v>
      </c>
      <c r="AM35">
        <v>530.6124769697833</v>
      </c>
      <c r="AN35">
        <v>534.47996246421428</v>
      </c>
      <c r="AO35">
        <v>526.06751420552655</v>
      </c>
      <c r="AP35" s="39" cm="1">
        <f t="array" ref="AP35:AS37">AD27:AG29</f>
        <v>1672.8530424899768</v>
      </c>
      <c r="AQ35">
        <v>1701.6329202785871</v>
      </c>
      <c r="AR35">
        <v>1714.6972229262303</v>
      </c>
      <c r="AS35">
        <v>1685.5844099631731</v>
      </c>
      <c r="AT35" s="39" cm="1">
        <f t="array" ref="AT35:AW37">AL27:AO29</f>
        <v>6251.3816483044429</v>
      </c>
      <c r="AU35">
        <v>5806.0200962106255</v>
      </c>
      <c r="AV35">
        <v>5806.7601078761754</v>
      </c>
      <c r="AW35">
        <v>5805.6331401825983</v>
      </c>
    </row>
    <row r="36" spans="1:53" x14ac:dyDescent="0.2">
      <c r="A36" t="s">
        <v>397</v>
      </c>
      <c r="B36">
        <v>-1558.2116363251034</v>
      </c>
      <c r="C36">
        <v>-1905.418547853918</v>
      </c>
      <c r="D36">
        <v>-1905.5295001669829</v>
      </c>
      <c r="E36">
        <v>-1949.361879775111</v>
      </c>
      <c r="F36">
        <v>-559.99986729317811</v>
      </c>
      <c r="G36">
        <v>-611.2900244803651</v>
      </c>
      <c r="H36">
        <v>-607.40947696852641</v>
      </c>
      <c r="I36">
        <v>-611.56872852133199</v>
      </c>
      <c r="J36">
        <v>-17.034221328854418</v>
      </c>
      <c r="K36">
        <v>-99.571350308205282</v>
      </c>
      <c r="L36">
        <v>-82.987907006172748</v>
      </c>
      <c r="M36">
        <v>-117.77903239897991</v>
      </c>
      <c r="N36">
        <v>-164.59386630736279</v>
      </c>
      <c r="O36">
        <v>-96.509332488009719</v>
      </c>
      <c r="P36">
        <v>-95.260501612144481</v>
      </c>
      <c r="Q36">
        <v>-98.598282711550439</v>
      </c>
      <c r="R36">
        <v>-105.36671806895161</v>
      </c>
      <c r="S36">
        <v>-59.591365984890302</v>
      </c>
      <c r="T36">
        <v>-58.069621630175796</v>
      </c>
      <c r="U36">
        <v>-61.062627945910947</v>
      </c>
      <c r="V36">
        <v>-128.34803324248821</v>
      </c>
      <c r="W36">
        <v>-68.777171071335744</v>
      </c>
      <c r="X36">
        <v>-67.327948887441437</v>
      </c>
      <c r="Y36">
        <v>-71.3184076218825</v>
      </c>
      <c r="Z36">
        <v>-56.843922810513227</v>
      </c>
      <c r="AA36">
        <v>-55.913223396550947</v>
      </c>
      <c r="AB36">
        <v>-52.783890387639559</v>
      </c>
      <c r="AC36">
        <v>-58.617157829617589</v>
      </c>
      <c r="AD36">
        <v>104.44833741087278</v>
      </c>
      <c r="AE36">
        <v>2.553152189464158</v>
      </c>
      <c r="AF36">
        <v>19.854561871754715</v>
      </c>
      <c r="AG36">
        <v>-16.227222298433436</v>
      </c>
      <c r="AH36">
        <v>813.25913192630151</v>
      </c>
      <c r="AI36">
        <v>656.01525437810881</v>
      </c>
      <c r="AJ36">
        <v>657.73263393525667</v>
      </c>
      <c r="AK36">
        <v>654.02013703918828</v>
      </c>
      <c r="AL36">
        <v>804.58290185903002</v>
      </c>
      <c r="AM36">
        <v>874.69553488310135</v>
      </c>
      <c r="AN36">
        <v>879.03240199628476</v>
      </c>
      <c r="AO36">
        <v>869.23763268903599</v>
      </c>
      <c r="AP36">
        <v>2815.794859241229</v>
      </c>
      <c r="AQ36">
        <v>3142.294322402081</v>
      </c>
      <c r="AR36">
        <v>3159.0964808735275</v>
      </c>
      <c r="AS36">
        <v>3122.1082524038657</v>
      </c>
      <c r="AT36">
        <v>9227.7168558058584</v>
      </c>
      <c r="AU36">
        <v>8494.3052200355451</v>
      </c>
      <c r="AV36">
        <v>8494.8059942206728</v>
      </c>
      <c r="AW36">
        <v>8493.6721555576169</v>
      </c>
    </row>
    <row r="37" spans="1:53" x14ac:dyDescent="0.2">
      <c r="A37" t="s">
        <v>398</v>
      </c>
      <c r="B37">
        <v>-2690.727163958667</v>
      </c>
      <c r="C37">
        <v>-3286.8149824548918</v>
      </c>
      <c r="D37">
        <v>-3278.5988991393069</v>
      </c>
      <c r="E37">
        <v>-3327.5922036790125</v>
      </c>
      <c r="F37">
        <v>-818.13817081602303</v>
      </c>
      <c r="G37">
        <v>-724.40121278658273</v>
      </c>
      <c r="H37">
        <v>-720.24269686438049</v>
      </c>
      <c r="I37">
        <v>-723.10554653878887</v>
      </c>
      <c r="J37">
        <v>44.505307077639486</v>
      </c>
      <c r="K37">
        <v>-103.71506296731951</v>
      </c>
      <c r="L37">
        <v>-83.406739502331646</v>
      </c>
      <c r="M37">
        <v>-125.92818946371264</v>
      </c>
      <c r="N37">
        <v>-328.38333269168447</v>
      </c>
      <c r="O37">
        <v>-149.94186267900042</v>
      </c>
      <c r="P37">
        <v>-148.218847131914</v>
      </c>
      <c r="Q37">
        <v>-152.34362587933515</v>
      </c>
      <c r="R37">
        <v>-216.81766738430014</v>
      </c>
      <c r="S37">
        <v>-85.978711591728484</v>
      </c>
      <c r="T37">
        <v>-83.983667633904005</v>
      </c>
      <c r="U37">
        <v>-87.732522494065464</v>
      </c>
      <c r="V37">
        <v>-240.63639999961322</v>
      </c>
      <c r="W37">
        <v>-79.809692391376259</v>
      </c>
      <c r="X37">
        <v>-76.809428528997671</v>
      </c>
      <c r="Y37">
        <v>-83.276613450732071</v>
      </c>
      <c r="Z37">
        <v>-105.72520727069394</v>
      </c>
      <c r="AA37">
        <v>-71.799925469295317</v>
      </c>
      <c r="AB37">
        <v>-68.471259435026013</v>
      </c>
      <c r="AC37">
        <v>-75.675876804128109</v>
      </c>
      <c r="AD37">
        <v>251.8998185691876</v>
      </c>
      <c r="AE37">
        <v>93.205243789422383</v>
      </c>
      <c r="AF37">
        <v>112.72197369617939</v>
      </c>
      <c r="AG37">
        <v>69.17939714734608</v>
      </c>
      <c r="AH37">
        <v>1240.7029175813802</v>
      </c>
      <c r="AI37">
        <v>954.23402824900847</v>
      </c>
      <c r="AJ37">
        <v>956.1304335005002</v>
      </c>
      <c r="AK37">
        <v>952.04118326637536</v>
      </c>
      <c r="AL37">
        <v>1076.5684745792562</v>
      </c>
      <c r="AM37">
        <v>1322.0066497993546</v>
      </c>
      <c r="AN37">
        <v>1326.7998549824581</v>
      </c>
      <c r="AO37">
        <v>1315.4458832816103</v>
      </c>
      <c r="AP37">
        <v>3896.3319638218181</v>
      </c>
      <c r="AQ37">
        <v>4909.4335200267178</v>
      </c>
      <c r="AR37">
        <v>4929.2149580902214</v>
      </c>
      <c r="AS37">
        <v>4883.9599885844909</v>
      </c>
      <c r="AT37">
        <v>12921.209376291668</v>
      </c>
      <c r="AU37">
        <v>11752.227196975509</v>
      </c>
      <c r="AV37">
        <v>11752.775685445295</v>
      </c>
      <c r="AW37">
        <v>11751.350784554237</v>
      </c>
    </row>
    <row r="40" spans="1:53" x14ac:dyDescent="0.2">
      <c r="A40" s="32" t="s">
        <v>545</v>
      </c>
    </row>
    <row r="42" spans="1:53" x14ac:dyDescent="0.2">
      <c r="A42" t="s">
        <v>540</v>
      </c>
    </row>
    <row r="43" spans="1:53" x14ac:dyDescent="0.2">
      <c r="B43" s="474" t="s">
        <v>419</v>
      </c>
      <c r="C43" s="474"/>
      <c r="D43" s="474"/>
      <c r="E43" s="474"/>
      <c r="F43" s="474" t="s">
        <v>418</v>
      </c>
      <c r="G43" s="474"/>
      <c r="H43" s="474"/>
      <c r="I43" s="474"/>
      <c r="J43" s="474" t="s">
        <v>423</v>
      </c>
      <c r="K43" s="474"/>
      <c r="L43" s="474"/>
      <c r="M43" s="474"/>
      <c r="N43" s="474" t="s">
        <v>539</v>
      </c>
      <c r="O43" s="474"/>
      <c r="P43" s="474"/>
      <c r="Q43" s="474"/>
      <c r="R43" s="474" t="s">
        <v>421</v>
      </c>
      <c r="S43" s="474"/>
      <c r="T43" s="474"/>
      <c r="U43" s="474"/>
      <c r="V43" s="474" t="s">
        <v>416</v>
      </c>
      <c r="W43" s="474"/>
      <c r="X43" s="474"/>
      <c r="Y43" s="474"/>
      <c r="Z43" s="474" t="s">
        <v>420</v>
      </c>
      <c r="AA43" s="474"/>
      <c r="AB43" s="474"/>
      <c r="AC43" s="474"/>
      <c r="AD43" s="474" t="s">
        <v>426</v>
      </c>
      <c r="AE43" s="474"/>
      <c r="AF43" s="474"/>
      <c r="AG43" s="474"/>
      <c r="AH43" s="474" t="s">
        <v>417</v>
      </c>
      <c r="AI43" s="474"/>
      <c r="AJ43" s="474"/>
      <c r="AK43" s="474"/>
      <c r="AL43" s="474" t="s">
        <v>427</v>
      </c>
      <c r="AM43" s="474"/>
      <c r="AN43" s="474"/>
      <c r="AO43" s="474"/>
      <c r="AP43" s="474" t="s">
        <v>425</v>
      </c>
      <c r="AQ43" s="474"/>
      <c r="AR43" s="474"/>
      <c r="AS43" s="474"/>
      <c r="AT43" s="474" t="s">
        <v>422</v>
      </c>
      <c r="AU43" s="474"/>
      <c r="AV43" s="474"/>
      <c r="AW43" s="474"/>
      <c r="AX43" s="474" t="s">
        <v>424</v>
      </c>
      <c r="AY43" s="474"/>
      <c r="AZ43" s="474"/>
      <c r="BA43" s="474"/>
    </row>
    <row r="44" spans="1:53" x14ac:dyDescent="0.2">
      <c r="B44" s="474">
        <v>16060011</v>
      </c>
      <c r="C44" s="474"/>
      <c r="D44" s="474"/>
      <c r="E44" s="474"/>
      <c r="F44" s="474">
        <v>15030202</v>
      </c>
      <c r="G44" s="474"/>
      <c r="H44" s="474"/>
      <c r="I44" s="474"/>
      <c r="J44" s="474">
        <v>15030201</v>
      </c>
      <c r="K44" s="474"/>
      <c r="L44" s="474"/>
      <c r="M44" s="474"/>
      <c r="N44" s="474">
        <v>18100204</v>
      </c>
      <c r="O44" s="474"/>
      <c r="P44" s="474"/>
      <c r="Q44" s="474"/>
      <c r="R44" s="474">
        <v>16060013</v>
      </c>
      <c r="S44" s="474"/>
      <c r="T44" s="474"/>
      <c r="U44" s="474"/>
      <c r="V44" s="474">
        <v>18090208</v>
      </c>
      <c r="W44" s="474"/>
      <c r="X44" s="474"/>
      <c r="Y44" s="474"/>
      <c r="Z44" s="474">
        <v>16060003</v>
      </c>
      <c r="AA44" s="474"/>
      <c r="AB44" s="474"/>
      <c r="AC44" s="474"/>
      <c r="AD44" s="474">
        <v>3050105</v>
      </c>
      <c r="AE44" s="474"/>
      <c r="AF44" s="474"/>
      <c r="AG44" s="474"/>
      <c r="AH44" s="474">
        <v>16040201</v>
      </c>
      <c r="AI44" s="474"/>
      <c r="AJ44" s="474"/>
      <c r="AK44" s="474"/>
      <c r="AL44" s="474">
        <v>14030005</v>
      </c>
      <c r="AM44" s="474"/>
      <c r="AN44" s="474"/>
      <c r="AO44" s="474"/>
      <c r="AP44" s="474">
        <v>3050102</v>
      </c>
      <c r="AQ44" s="474"/>
      <c r="AR44" s="474"/>
      <c r="AS44" s="474"/>
      <c r="AT44" s="474">
        <v>16060010</v>
      </c>
      <c r="AU44" s="474"/>
      <c r="AV44" s="474"/>
      <c r="AW44" s="474"/>
      <c r="AX44" s="474">
        <v>11140205</v>
      </c>
      <c r="AY44" s="474"/>
      <c r="AZ44" s="474"/>
      <c r="BA44" s="474"/>
    </row>
    <row r="45" spans="1:53" x14ac:dyDescent="0.2">
      <c r="B45" t="s">
        <v>462</v>
      </c>
      <c r="C45" t="s">
        <v>463</v>
      </c>
      <c r="D45" t="s">
        <v>464</v>
      </c>
      <c r="E45" t="s">
        <v>465</v>
      </c>
      <c r="F45" t="s">
        <v>462</v>
      </c>
      <c r="G45" t="s">
        <v>463</v>
      </c>
      <c r="H45" t="s">
        <v>464</v>
      </c>
      <c r="I45" t="s">
        <v>465</v>
      </c>
      <c r="J45" t="s">
        <v>462</v>
      </c>
      <c r="K45" t="s">
        <v>463</v>
      </c>
      <c r="L45" t="s">
        <v>464</v>
      </c>
      <c r="M45" t="s">
        <v>465</v>
      </c>
      <c r="N45" t="s">
        <v>462</v>
      </c>
      <c r="O45" t="s">
        <v>463</v>
      </c>
      <c r="P45" t="s">
        <v>464</v>
      </c>
      <c r="Q45" t="s">
        <v>465</v>
      </c>
      <c r="R45" t="s">
        <v>462</v>
      </c>
      <c r="S45" t="s">
        <v>463</v>
      </c>
      <c r="T45" t="s">
        <v>464</v>
      </c>
      <c r="U45" t="s">
        <v>465</v>
      </c>
      <c r="V45" t="s">
        <v>462</v>
      </c>
      <c r="W45" t="s">
        <v>463</v>
      </c>
      <c r="X45" t="s">
        <v>464</v>
      </c>
      <c r="Y45" t="s">
        <v>465</v>
      </c>
      <c r="Z45" t="s">
        <v>462</v>
      </c>
      <c r="AA45" t="s">
        <v>463</v>
      </c>
      <c r="AB45" t="s">
        <v>464</v>
      </c>
      <c r="AC45" t="s">
        <v>465</v>
      </c>
      <c r="AD45" t="s">
        <v>462</v>
      </c>
      <c r="AE45" t="s">
        <v>463</v>
      </c>
      <c r="AF45" t="s">
        <v>464</v>
      </c>
      <c r="AG45" t="s">
        <v>465</v>
      </c>
      <c r="AH45" t="s">
        <v>462</v>
      </c>
      <c r="AI45" t="s">
        <v>463</v>
      </c>
      <c r="AJ45" t="s">
        <v>464</v>
      </c>
      <c r="AK45" t="s">
        <v>465</v>
      </c>
      <c r="AL45" t="s">
        <v>462</v>
      </c>
      <c r="AM45" t="s">
        <v>463</v>
      </c>
      <c r="AN45" t="s">
        <v>464</v>
      </c>
      <c r="AO45" t="s">
        <v>465</v>
      </c>
      <c r="AP45" t="s">
        <v>462</v>
      </c>
      <c r="AQ45" t="s">
        <v>463</v>
      </c>
      <c r="AR45" t="s">
        <v>464</v>
      </c>
      <c r="AS45" t="s">
        <v>465</v>
      </c>
      <c r="AT45" t="s">
        <v>462</v>
      </c>
      <c r="AU45" t="s">
        <v>463</v>
      </c>
      <c r="AV45" t="s">
        <v>464</v>
      </c>
      <c r="AW45" t="s">
        <v>465</v>
      </c>
      <c r="AX45" t="s">
        <v>462</v>
      </c>
      <c r="AY45" t="s">
        <v>463</v>
      </c>
      <c r="AZ45" t="s">
        <v>464</v>
      </c>
      <c r="BA45" t="s">
        <v>465</v>
      </c>
    </row>
    <row r="46" spans="1:53" x14ac:dyDescent="0.2">
      <c r="A46" t="s">
        <v>396</v>
      </c>
      <c r="B46" s="39">
        <f>VLOOKUP(B$6,'8. Uncertainty Results'!$B$249:$N$261,11,FALSE)</f>
        <v>-153.46171985636806</v>
      </c>
      <c r="C46" s="39">
        <f>VLOOKUP(B$6,'8. Uncertainty Results'!$B$319:$N$331,11,FALSE)</f>
        <v>-5.0238041116980234</v>
      </c>
      <c r="D46" s="39">
        <f>VLOOKUP(B$6,'8. Uncertainty Results'!$B$390:$N$402,11,FALSE)</f>
        <v>-3.7999945692169703</v>
      </c>
      <c r="E46" s="39">
        <f>VLOOKUP(B$6,'8. Uncertainty Results'!$B$460:$N$472,11,FALSE)</f>
        <v>-6.7084378328787615</v>
      </c>
      <c r="F46" s="39">
        <f>VLOOKUP(F$6,'8. Uncertainty Results'!$B$249:$N$261,11,FALSE)</f>
        <v>-298.5032133414436</v>
      </c>
      <c r="G46" s="39">
        <f>VLOOKUP(F$6,'8. Uncertainty Results'!$B$319:$N$331,11,FALSE)</f>
        <v>-84.169978983109132</v>
      </c>
      <c r="H46" s="39">
        <f>VLOOKUP(F$6,'8. Uncertainty Results'!$B$390:$N$402,11,FALSE)</f>
        <v>-72.128540863043611</v>
      </c>
      <c r="I46" s="39">
        <f>VLOOKUP(F$6,'8. Uncertainty Results'!$B$460:$N$472,11,FALSE)</f>
        <v>-99.350946618793472</v>
      </c>
      <c r="J46" s="39">
        <f>VLOOKUP(J$6,'8. Uncertainty Results'!$B$249:$N$261,11,FALSE)</f>
        <v>-261.05350029855089</v>
      </c>
      <c r="K46" s="39">
        <f>VLOOKUP(J$6,'8. Uncertainty Results'!$B$319:$N$331,11,FALSE)</f>
        <v>-47.323082617814983</v>
      </c>
      <c r="L46" s="39">
        <f>VLOOKUP(J$6,'8. Uncertainty Results'!$B$390:$N$402,11,FALSE)</f>
        <v>-34.859245656488163</v>
      </c>
      <c r="M46" s="39">
        <f>VLOOKUP(J$6,'8. Uncertainty Results'!$B$460:$N$472,11,FALSE)</f>
        <v>-61.521340843897093</v>
      </c>
      <c r="N46" s="39">
        <f>VLOOKUP(N$6,'8. Uncertainty Results'!$B$249:$N$261,11,FALSE)</f>
        <v>-5183.7001240275576</v>
      </c>
      <c r="O46" s="39">
        <f>VLOOKUP(N$6,'8. Uncertainty Results'!$B$319:$N$331,11,FALSE)</f>
        <v>-107.68807970564576</v>
      </c>
      <c r="P46" s="39">
        <f>VLOOKUP(N$6,'8. Uncertainty Results'!$B$390:$N$402,11,FALSE)</f>
        <v>-82.399214443333278</v>
      </c>
      <c r="Q46" s="39">
        <f>VLOOKUP(N$6,'8. Uncertainty Results'!$B$460:$N$472,11,FALSE)</f>
        <v>-102.2425135754889</v>
      </c>
      <c r="R46" s="39">
        <f>VLOOKUP(R$6,'8. Uncertainty Results'!$B$249:$N$261,11,FALSE)</f>
        <v>-139.84281638131284</v>
      </c>
      <c r="S46" s="39">
        <f>VLOOKUP(R$6,'8. Uncertainty Results'!$B$319:$N$331,11,FALSE)</f>
        <v>7.8255950836504278</v>
      </c>
      <c r="T46" s="39">
        <f>VLOOKUP(R$6,'8. Uncertainty Results'!$B$390:$N$402,11,FALSE)</f>
        <v>9.3729583790763584</v>
      </c>
      <c r="U46" s="39">
        <f>VLOOKUP(R$6,'8. Uncertainty Results'!$B$460:$N$472,11,FALSE)</f>
        <v>6.5263517529376065</v>
      </c>
      <c r="V46" s="39">
        <f>VLOOKUP(V$6,'8. Uncertainty Results'!$B$249:$N$261,11,FALSE)</f>
        <v>-2613.0799963840104</v>
      </c>
      <c r="W46" s="39">
        <f>VLOOKUP(V$6,'8. Uncertainty Results'!$B$319:$N$331,11,FALSE)</f>
        <v>-668.11038944205768</v>
      </c>
      <c r="X46" s="39">
        <f>VLOOKUP(V$6,'8. Uncertainty Results'!$B$390:$N$402,11,FALSE)</f>
        <v>-583.34658098992304</v>
      </c>
      <c r="Y46" s="39">
        <f>VLOOKUP(V$6,'8. Uncertainty Results'!$B$460:$N$472,11,FALSE)</f>
        <v>-760.10664488449311</v>
      </c>
      <c r="Z46" s="39">
        <f>VLOOKUP(Z$6,'8. Uncertainty Results'!$B$249:$N$261,11,FALSE)</f>
        <v>-114.23099937028776</v>
      </c>
      <c r="AA46" s="39">
        <f>VLOOKUP(Z$6,'8. Uncertainty Results'!$B$319:$N$331,11,FALSE)</f>
        <v>-2.5605050016104656</v>
      </c>
      <c r="AB46" s="39">
        <f>VLOOKUP(Z$6,'8. Uncertainty Results'!$B$390:$N$402,11,FALSE)</f>
        <v>-1.6867344202283974</v>
      </c>
      <c r="AC46" s="39">
        <f>VLOOKUP(Z$6,'8. Uncertainty Results'!$B$460:$N$472,11,FALSE)</f>
        <v>-3.6427334938919955</v>
      </c>
      <c r="AD46" s="39">
        <f>VLOOKUP(AD$6,'8. Uncertainty Results'!$B$249:$N$261,11,FALSE)</f>
        <v>1911.6562594499551</v>
      </c>
      <c r="AE46" s="39">
        <f>VLOOKUP(AD$6,'8. Uncertainty Results'!$B$319:$N$331,11,FALSE)</f>
        <v>1813.0291348507983</v>
      </c>
      <c r="AF46" s="39">
        <f>VLOOKUP(AD$6,'8. Uncertainty Results'!$B$390:$N$402,11,FALSE)</f>
        <v>1825.6953190249781</v>
      </c>
      <c r="AG46" s="39">
        <f>VLOOKUP(AD$6,'8. Uncertainty Results'!$B$460:$N$472,11,FALSE)</f>
        <v>1797.3350507236944</v>
      </c>
      <c r="AH46" s="39">
        <f>VLOOKUP(AH$6,'8. Uncertainty Results'!$B$249:$N$261,11,FALSE)</f>
        <v>-686.10817424818981</v>
      </c>
      <c r="AI46" s="39">
        <f>VLOOKUP(AH$6,'8. Uncertainty Results'!$B$319:$N$331,11,FALSE)</f>
        <v>-163.76862732834783</v>
      </c>
      <c r="AJ46" s="39">
        <f>VLOOKUP(AH$6,'8. Uncertainty Results'!$B$390:$N$402,11,FALSE)</f>
        <v>-160.89635651292116</v>
      </c>
      <c r="AK46" s="39">
        <f>VLOOKUP(AH$6,'8. Uncertainty Results'!$B$460:$N$472,11,FALSE)</f>
        <v>-163.53817931489294</v>
      </c>
      <c r="AL46" s="39">
        <f>VLOOKUP(AL$6,'8. Uncertainty Results'!$B$249:$N$261,11,FALSE)</f>
        <v>5645.7251871392009</v>
      </c>
      <c r="AM46" s="39">
        <f>VLOOKUP(AL$6,'8. Uncertainty Results'!$B$319:$N$331,11,FALSE)</f>
        <v>4124.0985769252993</v>
      </c>
      <c r="AN46" s="39">
        <f>VLOOKUP(AL$6,'8. Uncertainty Results'!$B$390:$N$402,11,FALSE)</f>
        <v>4124.8101392840235</v>
      </c>
      <c r="AO46" s="39">
        <f>VLOOKUP(AL$6,'8. Uncertainty Results'!$B$460:$N$472,11,FALSE)</f>
        <v>4123.6100688351116</v>
      </c>
      <c r="AP46" s="39">
        <f>VLOOKUP(AP$6,'8. Uncertainty Results'!$B$249:$N$261,11,FALSE)</f>
        <v>548.11277197281584</v>
      </c>
      <c r="AQ46" s="39">
        <f>VLOOKUP(AP$6,'8. Uncertainty Results'!$B$319:$N$331,11,FALSE)</f>
        <v>524.72400886025798</v>
      </c>
      <c r="AR46" s="39">
        <f>VLOOKUP(AP$6,'8. Uncertainty Results'!$B$390:$N$402,11,FALSE)</f>
        <v>528.15139298754491</v>
      </c>
      <c r="AS46" s="39">
        <f>VLOOKUP(AP$6,'8. Uncertainty Results'!$B$460:$N$472,11,FALSE)</f>
        <v>520.35514865678158</v>
      </c>
      <c r="AT46" s="39">
        <f>VLOOKUP(AT$6,'8. Uncertainty Results'!$B$249:$N$261,11,FALSE)</f>
        <v>-89.507057150584558</v>
      </c>
      <c r="AU46" s="39">
        <f>VLOOKUP(AT$6,'8. Uncertainty Results'!$B$319:$N$331,11,FALSE)</f>
        <v>16.487392729500108</v>
      </c>
      <c r="AV46" s="39">
        <f>VLOOKUP(AT$6,'8. Uncertainty Results'!$B$390:$N$402,11,FALSE)</f>
        <v>18.783039662144368</v>
      </c>
      <c r="AW46" s="39">
        <f>VLOOKUP(AT$6,'8. Uncertainty Results'!$B$460:$N$472,11,FALSE)</f>
        <v>13.914655703499692</v>
      </c>
      <c r="AX46" s="39">
        <f>VLOOKUP(AX$6,'8. Uncertainty Results'!$B$249:$N$261,11,FALSE)</f>
        <v>446.15803362946286</v>
      </c>
      <c r="AY46" s="39">
        <f>VLOOKUP(AX$6,'8. Uncertainty Results'!$B$319:$N$331,11,FALSE)</f>
        <v>386.04056877595173</v>
      </c>
      <c r="AZ46" s="39">
        <f>VLOOKUP(AX$6,'8. Uncertainty Results'!$B$390:$N$402,11,FALSE)</f>
        <v>387.45669399118668</v>
      </c>
      <c r="BA46" s="39">
        <f>VLOOKUP(AX$6,'8. Uncertainty Results'!$B$460:$N$472,11,FALSE)</f>
        <v>384.27584567144578</v>
      </c>
    </row>
    <row r="47" spans="1:53" x14ac:dyDescent="0.2">
      <c r="A47" t="s">
        <v>397</v>
      </c>
      <c r="B47" s="39">
        <f>VLOOKUP(B$6,'8. Uncertainty Results'!$B$249:$N$261,12,FALSE)</f>
        <v>-321.89829083499848</v>
      </c>
      <c r="C47" s="39">
        <f>VLOOKUP(B$6,'8. Uncertainty Results'!$B$319:$N$331,12,FALSE)</f>
        <v>-5.8366643577618156</v>
      </c>
      <c r="D47" s="39">
        <f>VLOOKUP(B$6,'8. Uncertainty Results'!$B$390:$N$402,12,FALSE)</f>
        <v>-4.3682131951347714</v>
      </c>
      <c r="E47" s="39">
        <f>VLOOKUP(B$6,'8. Uncertainty Results'!$B$460:$N$472,12,FALSE)</f>
        <v>-7.7919413146287617</v>
      </c>
      <c r="F47" s="39">
        <f>VLOOKUP(F$6,'8. Uncertainty Results'!$B$249:$N$261,12,FALSE)</f>
        <v>-773.87716634693743</v>
      </c>
      <c r="G47" s="39">
        <f>VLOOKUP(F$6,'8. Uncertainty Results'!$B$319:$N$331,12,FALSE)</f>
        <v>-87.719703308224652</v>
      </c>
      <c r="H47" s="39">
        <f>VLOOKUP(F$6,'8. Uncertainty Results'!$B$390:$N$402,12,FALSE)</f>
        <v>-72.744237531007201</v>
      </c>
      <c r="I47" s="39">
        <f>VLOOKUP(F$6,'8. Uncertainty Results'!$B$460:$N$472,12,FALSE)</f>
        <v>-106.18606366771294</v>
      </c>
      <c r="J47" s="39">
        <f>VLOOKUP(J$6,'8. Uncertainty Results'!$B$249:$N$261,12,FALSE)</f>
        <v>-682.83949256699066</v>
      </c>
      <c r="K47" s="39">
        <f>VLOOKUP(J$6,'8. Uncertainty Results'!$B$319:$N$331,12,FALSE)</f>
        <v>-10.882516371500101</v>
      </c>
      <c r="L47" s="39">
        <f>VLOOKUP(J$6,'8. Uncertainty Results'!$B$390:$N$402,12,FALSE)</f>
        <v>4.744374551073677</v>
      </c>
      <c r="M47" s="39">
        <f>VLOOKUP(J$6,'8. Uncertainty Results'!$B$460:$N$472,12,FALSE)</f>
        <v>-28.709827021502157</v>
      </c>
      <c r="N47" s="39">
        <f>VLOOKUP(N$6,'8. Uncertainty Results'!$B$249:$N$261,12,FALSE)</f>
        <v>-11691.572450232547</v>
      </c>
      <c r="O47" s="39">
        <f>VLOOKUP(N$6,'8. Uncertainty Results'!$B$319:$N$331,12,FALSE)</f>
        <v>-614.83004507206772</v>
      </c>
      <c r="P47" s="39">
        <f>VLOOKUP(N$6,'8. Uncertainty Results'!$B$390:$N$402,12,FALSE)</f>
        <v>-597.85398836085005</v>
      </c>
      <c r="Q47" s="39">
        <f>VLOOKUP(N$6,'8. Uncertainty Results'!$B$460:$N$472,12,FALSE)</f>
        <v>-623.88164247305872</v>
      </c>
      <c r="R47" s="39">
        <f>VLOOKUP(R$6,'8. Uncertainty Results'!$B$249:$N$261,12,FALSE)</f>
        <v>-296.74916274003925</v>
      </c>
      <c r="S47" s="39">
        <f>VLOOKUP(R$6,'8. Uncertainty Results'!$B$319:$N$331,12,FALSE)</f>
        <v>25.8508876032157</v>
      </c>
      <c r="T47" s="39">
        <f>VLOOKUP(R$6,'8. Uncertainty Results'!$B$390:$N$402,12,FALSE)</f>
        <v>27.480552505670435</v>
      </c>
      <c r="U47" s="39">
        <f>VLOOKUP(R$6,'8. Uncertainty Results'!$B$460:$N$472,12,FALSE)</f>
        <v>24.037124091218665</v>
      </c>
      <c r="V47" s="39">
        <f>VLOOKUP(V$6,'8. Uncertainty Results'!$B$249:$N$261,12,FALSE)</f>
        <v>-4668.9105816230194</v>
      </c>
      <c r="W47" s="39">
        <f>VLOOKUP(V$6,'8. Uncertainty Results'!$B$319:$N$331,12,FALSE)</f>
        <v>-815.44290528848705</v>
      </c>
      <c r="X47" s="39">
        <f>VLOOKUP(V$6,'8. Uncertainty Results'!$B$390:$N$402,12,FALSE)</f>
        <v>-721.5103810378165</v>
      </c>
      <c r="Y47" s="39">
        <f>VLOOKUP(V$6,'8. Uncertainty Results'!$B$460:$N$472,12,FALSE)</f>
        <v>-922.26479326453148</v>
      </c>
      <c r="Z47" s="39">
        <f>VLOOKUP(Z$6,'8. Uncertainty Results'!$B$249:$N$261,12,FALSE)</f>
        <v>-234.16832232321809</v>
      </c>
      <c r="AA47" s="39">
        <f>VLOOKUP(Z$6,'8. Uncertainty Results'!$B$319:$N$331,12,FALSE)</f>
        <v>11.545154578143318</v>
      </c>
      <c r="AB47" s="39">
        <f>VLOOKUP(Z$6,'8. Uncertainty Results'!$B$390:$N$402,12,FALSE)</f>
        <v>12.526628268670343</v>
      </c>
      <c r="AC47" s="39">
        <f>VLOOKUP(Z$6,'8. Uncertainty Results'!$B$460:$N$472,12,FALSE)</f>
        <v>10.352464036712675</v>
      </c>
      <c r="AD47" s="39">
        <f>VLOOKUP(AD$6,'8. Uncertainty Results'!$B$249:$N$261,12,FALSE)</f>
        <v>2956.1629186594851</v>
      </c>
      <c r="AE47" s="39">
        <f>VLOOKUP(AD$6,'8. Uncertainty Results'!$B$319:$N$331,12,FALSE)</f>
        <v>2872.5929075011718</v>
      </c>
      <c r="AF47" s="39">
        <f>VLOOKUP(AD$6,'8. Uncertainty Results'!$B$390:$N$402,12,FALSE)</f>
        <v>2888.5978226796783</v>
      </c>
      <c r="AG47" s="39">
        <f>VLOOKUP(AD$6,'8. Uncertainty Results'!$B$460:$N$472,12,FALSE)</f>
        <v>2852.3144438553031</v>
      </c>
      <c r="AH47" s="39">
        <f>VLOOKUP(AH$6,'8. Uncertainty Results'!$B$249:$N$261,12,FALSE)</f>
        <v>-1005.1144444694057</v>
      </c>
      <c r="AI47" s="39">
        <f>VLOOKUP(AH$6,'8. Uncertainty Results'!$B$319:$N$331,12,FALSE)</f>
        <v>-164.90142585528443</v>
      </c>
      <c r="AJ47" s="39">
        <f>VLOOKUP(AH$6,'8. Uncertainty Results'!$B$390:$N$402,12,FALSE)</f>
        <v>-162.96960682493165</v>
      </c>
      <c r="AK47" s="39">
        <f>VLOOKUP(AH$6,'8. Uncertainty Results'!$B$460:$N$472,12,FALSE)</f>
        <v>-166.05751633820014</v>
      </c>
      <c r="AL47" s="39">
        <f>VLOOKUP(AL$6,'8. Uncertainty Results'!$B$249:$N$261,12,FALSE)</f>
        <v>9671.2862286351865</v>
      </c>
      <c r="AM47" s="39">
        <f>VLOOKUP(AL$6,'8. Uncertainty Results'!$B$319:$N$331,12,FALSE)</f>
        <v>6745.1960684034066</v>
      </c>
      <c r="AN47" s="39">
        <f>VLOOKUP(AL$6,'8. Uncertainty Results'!$B$390:$N$402,12,FALSE)</f>
        <v>6745.9544356717097</v>
      </c>
      <c r="AO47" s="39">
        <f>VLOOKUP(AL$6,'8. Uncertainty Results'!$B$460:$N$472,12,FALSE)</f>
        <v>6744.5672002694937</v>
      </c>
      <c r="AP47" s="39">
        <f>VLOOKUP(AP$6,'8. Uncertainty Results'!$B$249:$N$261,12,FALSE)</f>
        <v>848.47634124991407</v>
      </c>
      <c r="AQ47" s="39">
        <f>VLOOKUP(AP$6,'8. Uncertainty Results'!$B$319:$N$331,12,FALSE)</f>
        <v>809.1792926207595</v>
      </c>
      <c r="AR47" s="39">
        <f>VLOOKUP(AP$6,'8. Uncertainty Results'!$B$390:$N$402,12,FALSE)</f>
        <v>813.2764336811947</v>
      </c>
      <c r="AS47" s="39">
        <f>VLOOKUP(AP$6,'8. Uncertainty Results'!$B$460:$N$472,12,FALSE)</f>
        <v>803.73235397533779</v>
      </c>
      <c r="AT47" s="39">
        <f>VLOOKUP(AT$6,'8. Uncertainty Results'!$B$249:$N$261,12,FALSE)</f>
        <v>-193.82725498569431</v>
      </c>
      <c r="AU47" s="39">
        <f>VLOOKUP(AT$6,'8. Uncertainty Results'!$B$319:$N$331,12,FALSE)</f>
        <v>30.149779222216484</v>
      </c>
      <c r="AV47" s="39">
        <f>VLOOKUP(AT$6,'8. Uncertainty Results'!$B$390:$N$402,12,FALSE)</f>
        <v>32.962539504996933</v>
      </c>
      <c r="AW47" s="39">
        <f>VLOOKUP(AT$6,'8. Uncertainty Results'!$B$460:$N$472,12,FALSE)</f>
        <v>26.607583540579824</v>
      </c>
      <c r="AX47" s="39">
        <f>VLOOKUP(AX$6,'8. Uncertainty Results'!$B$249:$N$261,12,FALSE)</f>
        <v>819.96956371264525</v>
      </c>
      <c r="AY47" s="39">
        <f>VLOOKUP(AX$6,'8. Uncertainty Results'!$B$319:$N$331,12,FALSE)</f>
        <v>720.60734500816477</v>
      </c>
      <c r="AZ47" s="39">
        <f>VLOOKUP(AX$6,'8. Uncertainty Results'!$B$390:$N$402,12,FALSE)</f>
        <v>722.42843876066433</v>
      </c>
      <c r="BA47" s="39">
        <f>VLOOKUP(AX$6,'8. Uncertainty Results'!$B$460:$N$472,12,FALSE)</f>
        <v>718.38231035015076</v>
      </c>
    </row>
    <row r="48" spans="1:53" x14ac:dyDescent="0.2">
      <c r="A48" t="s">
        <v>398</v>
      </c>
      <c r="B48" s="39">
        <f>VLOOKUP(B$6,'8. Uncertainty Results'!$B$249:$N$261,13,FALSE)</f>
        <v>-614.18324982264141</v>
      </c>
      <c r="C48" s="39">
        <f>VLOOKUP(B$6,'8. Uncertainty Results'!$B$319:$N$331,13,FALSE)</f>
        <v>-19.187782555003515</v>
      </c>
      <c r="D48" s="39">
        <f>VLOOKUP(B$6,'8. Uncertainty Results'!$B$390:$N$402,13,FALSE)</f>
        <v>-17.178777605506582</v>
      </c>
      <c r="E48" s="39">
        <f>VLOOKUP(B$6,'8. Uncertainty Results'!$B$460:$N$472,13,FALSE)</f>
        <v>-21.365174106325711</v>
      </c>
      <c r="F48" s="39">
        <f>VLOOKUP(F$6,'8. Uncertainty Results'!$B$249:$N$261,13,FALSE)</f>
        <v>-1538.245666816116</v>
      </c>
      <c r="G48" s="39">
        <f>VLOOKUP(F$6,'8. Uncertainty Results'!$B$319:$N$331,13,FALSE)</f>
        <v>-96.559452064661315</v>
      </c>
      <c r="H48" s="39">
        <f>VLOOKUP(F$6,'8. Uncertainty Results'!$B$390:$N$402,13,FALSE)</f>
        <v>-78.240468751578149</v>
      </c>
      <c r="I48" s="39">
        <f>VLOOKUP(F$6,'8. Uncertainty Results'!$B$460:$N$472,13,FALSE)</f>
        <v>-118.65761014942456</v>
      </c>
      <c r="J48" s="39">
        <f>VLOOKUP(J$6,'8. Uncertainty Results'!$B$249:$N$261,13,FALSE)</f>
        <v>-1382.3900653468606</v>
      </c>
      <c r="K48" s="39">
        <f>VLOOKUP(J$6,'8. Uncertainty Results'!$B$319:$N$331,13,FALSE)</f>
        <v>43.036607964604315</v>
      </c>
      <c r="L48" s="39">
        <f>VLOOKUP(J$6,'8. Uncertainty Results'!$B$390:$N$402,13,FALSE)</f>
        <v>61.333632198037982</v>
      </c>
      <c r="M48" s="39">
        <f>VLOOKUP(J$6,'8. Uncertainty Results'!$B$460:$N$472,13,FALSE)</f>
        <v>20.372287350092805</v>
      </c>
      <c r="N48" s="39">
        <f>VLOOKUP(N$6,'8. Uncertainty Results'!$B$249:$N$261,13,FALSE)</f>
        <v>-21408.401909212596</v>
      </c>
      <c r="O48" s="39">
        <f>VLOOKUP(N$6,'8. Uncertainty Results'!$B$319:$N$331,13,FALSE)</f>
        <v>-1255.4227996035656</v>
      </c>
      <c r="P48" s="39">
        <f>VLOOKUP(N$6,'8. Uncertainty Results'!$B$390:$N$402,13,FALSE)</f>
        <v>-1260.0841181131084</v>
      </c>
      <c r="Q48" s="39">
        <f>VLOOKUP(N$6,'8. Uncertainty Results'!$B$460:$N$472,13,FALSE)</f>
        <v>-1292.9565250593687</v>
      </c>
      <c r="R48" s="39">
        <f>VLOOKUP(R$6,'8. Uncertainty Results'!$B$249:$N$261,13,FALSE)</f>
        <v>-541.20957701885914</v>
      </c>
      <c r="S48" s="39">
        <f>VLOOKUP(R$6,'8. Uncertainty Results'!$B$319:$N$331,13,FALSE)</f>
        <v>55.217641906532748</v>
      </c>
      <c r="T48" s="39">
        <f>VLOOKUP(R$6,'8. Uncertainty Results'!$B$390:$N$402,13,FALSE)</f>
        <v>57.019478516346574</v>
      </c>
      <c r="U48" s="39">
        <f>VLOOKUP(R$6,'8. Uncertainty Results'!$B$460:$N$472,13,FALSE)</f>
        <v>53.093759918541608</v>
      </c>
      <c r="V48" s="39">
        <f>VLOOKUP(V$6,'8. Uncertainty Results'!$B$249:$N$261,13,FALSE)</f>
        <v>-7772.9397980428666</v>
      </c>
      <c r="W48" s="39">
        <f>VLOOKUP(V$6,'8. Uncertainty Results'!$B$319:$N$331,13,FALSE)</f>
        <v>-981.72345220533589</v>
      </c>
      <c r="X48" s="39">
        <f>VLOOKUP(V$6,'8. Uncertainty Results'!$B$390:$N$402,13,FALSE)</f>
        <v>-881.7264746911552</v>
      </c>
      <c r="Y48" s="39">
        <f>VLOOKUP(V$6,'8. Uncertainty Results'!$B$460:$N$472,13,FALSE)</f>
        <v>-1106.7739496669674</v>
      </c>
      <c r="Z48" s="39">
        <f>VLOOKUP(Z$6,'8. Uncertainty Results'!$B$249:$N$261,13,FALSE)</f>
        <v>-444.69540699820993</v>
      </c>
      <c r="AA48" s="39">
        <f>VLOOKUP(Z$6,'8. Uncertainty Results'!$B$319:$N$331,13,FALSE)</f>
        <v>17.149826939855764</v>
      </c>
      <c r="AB48" s="39">
        <f>VLOOKUP(Z$6,'8. Uncertainty Results'!$B$390:$N$402,13,FALSE)</f>
        <v>18.481119943816758</v>
      </c>
      <c r="AC48" s="39">
        <f>VLOOKUP(Z$6,'8. Uncertainty Results'!$B$460:$N$472,13,FALSE)</f>
        <v>15.518357037569565</v>
      </c>
      <c r="AD48" s="39">
        <f>VLOOKUP(AD$6,'8. Uncertainty Results'!$B$249:$N$261,13,FALSE)</f>
        <v>4448.6127943944884</v>
      </c>
      <c r="AE48" s="39">
        <f>VLOOKUP(AD$6,'8. Uncertainty Results'!$B$319:$N$331,13,FALSE)</f>
        <v>3799.1545022844061</v>
      </c>
      <c r="AF48" s="39">
        <f>VLOOKUP(AD$6,'8. Uncertainty Results'!$B$390:$N$402,13,FALSE)</f>
        <v>3818.5371436910727</v>
      </c>
      <c r="AG48" s="39">
        <f>VLOOKUP(AD$6,'8. Uncertainty Results'!$B$460:$N$472,13,FALSE)</f>
        <v>3773.3092791280992</v>
      </c>
      <c r="AH48" s="39">
        <f>VLOOKUP(AH$6,'8. Uncertainty Results'!$B$249:$N$261,13,FALSE)</f>
        <v>-1495.3028254303526</v>
      </c>
      <c r="AI48" s="39">
        <f>VLOOKUP(AH$6,'8. Uncertainty Results'!$B$319:$N$331,13,FALSE)</f>
        <v>-169.38825348707252</v>
      </c>
      <c r="AJ48" s="39">
        <f>VLOOKUP(AH$6,'8. Uncertainty Results'!$B$390:$N$402,13,FALSE)</f>
        <v>-169.60563427742431</v>
      </c>
      <c r="AK48" s="39">
        <f>VLOOKUP(AH$6,'8. Uncertainty Results'!$B$460:$N$472,13,FALSE)</f>
        <v>-170.58479455900897</v>
      </c>
      <c r="AL48" s="39">
        <f>VLOOKUP(AL$6,'8. Uncertainty Results'!$B$249:$N$261,13,FALSE)</f>
        <v>14393.836292668751</v>
      </c>
      <c r="AM48" s="39">
        <f>VLOOKUP(AL$6,'8. Uncertainty Results'!$B$319:$N$331,13,FALSE)</f>
        <v>9334.4070224277348</v>
      </c>
      <c r="AN48" s="39">
        <f>VLOOKUP(AL$6,'8. Uncertainty Results'!$B$390:$N$402,13,FALSE)</f>
        <v>9335.1483718869786</v>
      </c>
      <c r="AO48" s="39">
        <f>VLOOKUP(AL$6,'8. Uncertainty Results'!$B$460:$N$472,13,FALSE)</f>
        <v>9333.5609778343496</v>
      </c>
      <c r="AP48" s="39">
        <f>VLOOKUP(AP$6,'8. Uncertainty Results'!$B$249:$N$261,13,FALSE)</f>
        <v>1287.3882732948894</v>
      </c>
      <c r="AQ48" s="39">
        <f>VLOOKUP(AP$6,'8. Uncertainty Results'!$B$319:$N$331,13,FALSE)</f>
        <v>1074.3994059460401</v>
      </c>
      <c r="AR48" s="39">
        <f>VLOOKUP(AP$6,'8. Uncertainty Results'!$B$390:$N$402,13,FALSE)</f>
        <v>1079.2968395586192</v>
      </c>
      <c r="AS48" s="39">
        <f>VLOOKUP(AP$6,'8. Uncertainty Results'!$B$460:$N$472,13,FALSE)</f>
        <v>1067.5927825731596</v>
      </c>
      <c r="AT48" s="39">
        <f>VLOOKUP(AT$6,'8. Uncertainty Results'!$B$249:$N$261,13,FALSE)</f>
        <v>-364.5290961526631</v>
      </c>
      <c r="AU48" s="39">
        <f>VLOOKUP(AT$6,'8. Uncertainty Results'!$B$319:$N$331,13,FALSE)</f>
        <v>52.149499779574569</v>
      </c>
      <c r="AV48" s="39">
        <f>VLOOKUP(AT$6,'8. Uncertainty Results'!$B$390:$N$402,13,FALSE)</f>
        <v>55.580324617733091</v>
      </c>
      <c r="AW48" s="39">
        <f>VLOOKUP(AT$6,'8. Uncertainty Results'!$B$460:$N$472,13,FALSE)</f>
        <v>47.804440892375531</v>
      </c>
      <c r="AX48" s="39">
        <f>VLOOKUP(AX$6,'8. Uncertainty Results'!$B$249:$N$261,13,FALSE)</f>
        <v>1362.8716240560652</v>
      </c>
      <c r="AY48" s="39">
        <f>VLOOKUP(AX$6,'8. Uncertainty Results'!$B$319:$N$331,13,FALSE)</f>
        <v>1213.1330558452787</v>
      </c>
      <c r="AZ48" s="39">
        <f>VLOOKUP(AX$6,'8. Uncertainty Results'!$B$390:$N$402,13,FALSE)</f>
        <v>1215.2489467576818</v>
      </c>
      <c r="BA48" s="39">
        <f>VLOOKUP(AX$6,'8. Uncertainty Results'!$B$460:$N$472,13,FALSE)</f>
        <v>1210.405090685259</v>
      </c>
    </row>
    <row r="50" spans="1:53" x14ac:dyDescent="0.2">
      <c r="A50" t="s">
        <v>541</v>
      </c>
    </row>
    <row r="52" spans="1:53" x14ac:dyDescent="0.2">
      <c r="B52" s="474" t="s">
        <v>539</v>
      </c>
      <c r="C52" s="474"/>
      <c r="D52" s="474"/>
      <c r="E52" s="474"/>
      <c r="F52" s="474" t="s">
        <v>417</v>
      </c>
      <c r="G52" s="474"/>
      <c r="H52" s="474"/>
      <c r="I52" s="474"/>
      <c r="J52" s="474" t="s">
        <v>418</v>
      </c>
      <c r="K52" s="474"/>
      <c r="L52" s="474"/>
      <c r="M52" s="474"/>
      <c r="N52" s="474" t="s">
        <v>419</v>
      </c>
      <c r="O52" s="474"/>
      <c r="P52" s="474"/>
      <c r="Q52" s="474"/>
      <c r="R52" s="474" t="s">
        <v>420</v>
      </c>
      <c r="S52" s="474"/>
      <c r="T52" s="474"/>
      <c r="U52" s="474"/>
      <c r="V52" s="474" t="s">
        <v>421</v>
      </c>
      <c r="W52" s="474"/>
      <c r="X52" s="474"/>
      <c r="Y52" s="474"/>
      <c r="Z52" s="474" t="s">
        <v>422</v>
      </c>
      <c r="AA52" s="474"/>
      <c r="AB52" s="474"/>
      <c r="AC52" s="474"/>
      <c r="AD52" s="474" t="s">
        <v>423</v>
      </c>
      <c r="AE52" s="474"/>
      <c r="AF52" s="474"/>
      <c r="AG52" s="474"/>
      <c r="AH52" s="474" t="s">
        <v>424</v>
      </c>
      <c r="AI52" s="474"/>
      <c r="AJ52" s="474"/>
      <c r="AK52" s="474"/>
      <c r="AL52" s="474" t="s">
        <v>425</v>
      </c>
      <c r="AM52" s="474"/>
      <c r="AN52" s="474"/>
      <c r="AO52" s="474"/>
      <c r="AP52" s="474" t="s">
        <v>426</v>
      </c>
      <c r="AQ52" s="474"/>
      <c r="AR52" s="474"/>
      <c r="AS52" s="474"/>
      <c r="AT52" s="474" t="s">
        <v>427</v>
      </c>
      <c r="AU52" s="474"/>
      <c r="AV52" s="474"/>
      <c r="AW52" s="474"/>
    </row>
    <row r="53" spans="1:53" x14ac:dyDescent="0.2">
      <c r="B53" t="s">
        <v>482</v>
      </c>
      <c r="C53" t="s">
        <v>483</v>
      </c>
      <c r="D53" t="s">
        <v>484</v>
      </c>
      <c r="E53" t="s">
        <v>485</v>
      </c>
      <c r="F53" t="s">
        <v>482</v>
      </c>
      <c r="G53" t="s">
        <v>483</v>
      </c>
      <c r="H53" t="s">
        <v>484</v>
      </c>
      <c r="I53" t="s">
        <v>485</v>
      </c>
      <c r="J53" t="s">
        <v>482</v>
      </c>
      <c r="K53" t="s">
        <v>483</v>
      </c>
      <c r="L53" t="s">
        <v>484</v>
      </c>
      <c r="M53" t="s">
        <v>485</v>
      </c>
      <c r="N53" t="s">
        <v>482</v>
      </c>
      <c r="O53" t="s">
        <v>483</v>
      </c>
      <c r="P53" t="s">
        <v>484</v>
      </c>
      <c r="Q53" t="s">
        <v>485</v>
      </c>
      <c r="R53" t="s">
        <v>482</v>
      </c>
      <c r="S53" t="s">
        <v>483</v>
      </c>
      <c r="T53" t="s">
        <v>484</v>
      </c>
      <c r="U53" t="s">
        <v>485</v>
      </c>
      <c r="V53" t="s">
        <v>482</v>
      </c>
      <c r="W53" t="s">
        <v>483</v>
      </c>
      <c r="X53" t="s">
        <v>484</v>
      </c>
      <c r="Y53" t="s">
        <v>485</v>
      </c>
      <c r="Z53" t="s">
        <v>482</v>
      </c>
      <c r="AA53" t="s">
        <v>483</v>
      </c>
      <c r="AB53" t="s">
        <v>484</v>
      </c>
      <c r="AC53" t="s">
        <v>485</v>
      </c>
      <c r="AD53" t="s">
        <v>482</v>
      </c>
      <c r="AE53" t="s">
        <v>483</v>
      </c>
      <c r="AF53" t="s">
        <v>484</v>
      </c>
      <c r="AG53" t="s">
        <v>485</v>
      </c>
      <c r="AH53" t="s">
        <v>482</v>
      </c>
      <c r="AI53" t="s">
        <v>483</v>
      </c>
      <c r="AJ53" t="s">
        <v>484</v>
      </c>
      <c r="AK53" t="s">
        <v>485</v>
      </c>
      <c r="AL53" t="s">
        <v>482</v>
      </c>
      <c r="AM53" t="s">
        <v>483</v>
      </c>
      <c r="AN53" t="s">
        <v>484</v>
      </c>
      <c r="AO53" t="s">
        <v>485</v>
      </c>
      <c r="AP53" t="s">
        <v>482</v>
      </c>
      <c r="AQ53" t="s">
        <v>483</v>
      </c>
      <c r="AR53" t="s">
        <v>484</v>
      </c>
      <c r="AS53" t="s">
        <v>485</v>
      </c>
      <c r="AT53" t="s">
        <v>482</v>
      </c>
      <c r="AU53" t="s">
        <v>483</v>
      </c>
      <c r="AV53" t="s">
        <v>484</v>
      </c>
      <c r="AW53" t="s">
        <v>485</v>
      </c>
    </row>
    <row r="54" spans="1:53" x14ac:dyDescent="0.2">
      <c r="A54" t="s">
        <v>396</v>
      </c>
      <c r="B54" s="39" cm="1">
        <f t="array" ref="B54:E56">N46:Q48</f>
        <v>-5183.7001240275576</v>
      </c>
      <c r="C54">
        <v>-107.68807970564576</v>
      </c>
      <c r="D54">
        <v>-82.399214443333278</v>
      </c>
      <c r="E54">
        <v>-102.2425135754889</v>
      </c>
      <c r="F54" s="39" cm="1">
        <f t="array" ref="F54:I56">AH46:AK48</f>
        <v>-686.10817424818981</v>
      </c>
      <c r="G54">
        <v>-163.76862732834783</v>
      </c>
      <c r="H54">
        <v>-160.89635651292116</v>
      </c>
      <c r="I54">
        <v>-163.53817931489294</v>
      </c>
      <c r="J54" s="39" cm="1">
        <f t="array" ref="J54:M56">F46:I48</f>
        <v>-298.5032133414436</v>
      </c>
      <c r="K54">
        <v>-84.169978983109132</v>
      </c>
      <c r="L54">
        <v>-72.128540863043611</v>
      </c>
      <c r="M54">
        <v>-99.350946618793472</v>
      </c>
      <c r="N54" s="39" cm="1">
        <f t="array" ref="N54:Q56">B46:E48</f>
        <v>-153.46171985636806</v>
      </c>
      <c r="O54">
        <v>-5.0238041116980234</v>
      </c>
      <c r="P54">
        <v>-3.7999945692169703</v>
      </c>
      <c r="Q54">
        <v>-6.7084378328787615</v>
      </c>
      <c r="R54" s="39" cm="1">
        <f t="array" ref="R54:U56">Z46:AC48</f>
        <v>-114.23099937028776</v>
      </c>
      <c r="S54">
        <v>-2.5605050016104656</v>
      </c>
      <c r="T54">
        <v>-1.6867344202283974</v>
      </c>
      <c r="U54">
        <v>-3.6427334938919955</v>
      </c>
      <c r="V54" s="39" cm="1">
        <f t="array" ref="V54:Y56">R46:U48</f>
        <v>-139.84281638131284</v>
      </c>
      <c r="W54">
        <v>7.8255950836504278</v>
      </c>
      <c r="X54">
        <v>9.3729583790763584</v>
      </c>
      <c r="Y54">
        <v>6.5263517529376065</v>
      </c>
      <c r="Z54" s="39" cm="1">
        <f t="array" ref="Z54:AC56">AT46:AW48</f>
        <v>-89.507057150584558</v>
      </c>
      <c r="AA54">
        <v>16.487392729500108</v>
      </c>
      <c r="AB54">
        <v>18.783039662144368</v>
      </c>
      <c r="AC54">
        <v>13.914655703499692</v>
      </c>
      <c r="AD54" s="39" cm="1">
        <f t="array" ref="AD54:AG56">J46:M48</f>
        <v>-261.05350029855089</v>
      </c>
      <c r="AE54">
        <v>-47.323082617814983</v>
      </c>
      <c r="AF54">
        <v>-34.859245656488163</v>
      </c>
      <c r="AG54">
        <v>-61.521340843897093</v>
      </c>
      <c r="AH54" s="39" cm="1">
        <f t="array" ref="AH54:AK56">AX46:BA48</f>
        <v>446.15803362946286</v>
      </c>
      <c r="AI54">
        <v>386.04056877595173</v>
      </c>
      <c r="AJ54">
        <v>387.45669399118668</v>
      </c>
      <c r="AK54">
        <v>384.27584567144578</v>
      </c>
      <c r="AL54" s="39" cm="1">
        <f t="array" ref="AL54:AO56">AP46:AS48</f>
        <v>548.11277197281584</v>
      </c>
      <c r="AM54">
        <v>524.72400886025798</v>
      </c>
      <c r="AN54">
        <v>528.15139298754491</v>
      </c>
      <c r="AO54">
        <v>520.35514865678158</v>
      </c>
      <c r="AP54" s="39" cm="1">
        <f t="array" ref="AP54:AS56">AD46:AG48</f>
        <v>1911.6562594499551</v>
      </c>
      <c r="AQ54">
        <v>1813.0291348507983</v>
      </c>
      <c r="AR54">
        <v>1825.6953190249781</v>
      </c>
      <c r="AS54">
        <v>1797.3350507236944</v>
      </c>
      <c r="AT54" s="39" cm="1">
        <f t="array" ref="AT54:AW56">AL46:AO48</f>
        <v>5645.7251871392009</v>
      </c>
      <c r="AU54">
        <v>4124.0985769252993</v>
      </c>
      <c r="AV54">
        <v>4124.8101392840235</v>
      </c>
      <c r="AW54">
        <v>4123.6100688351116</v>
      </c>
    </row>
    <row r="55" spans="1:53" x14ac:dyDescent="0.2">
      <c r="A55" t="s">
        <v>397</v>
      </c>
      <c r="B55">
        <v>-11691.572450232547</v>
      </c>
      <c r="C55">
        <v>-614.83004507206772</v>
      </c>
      <c r="D55">
        <v>-597.85398836085005</v>
      </c>
      <c r="E55">
        <v>-623.88164247305872</v>
      </c>
      <c r="F55">
        <v>-1005.1144444694057</v>
      </c>
      <c r="G55">
        <v>-164.90142585528443</v>
      </c>
      <c r="H55">
        <v>-162.96960682493165</v>
      </c>
      <c r="I55">
        <v>-166.05751633820014</v>
      </c>
      <c r="J55">
        <v>-773.87716634693743</v>
      </c>
      <c r="K55">
        <v>-87.719703308224652</v>
      </c>
      <c r="L55">
        <v>-72.744237531007201</v>
      </c>
      <c r="M55">
        <v>-106.18606366771294</v>
      </c>
      <c r="N55">
        <v>-321.89829083499848</v>
      </c>
      <c r="O55">
        <v>-5.8366643577618156</v>
      </c>
      <c r="P55">
        <v>-4.3682131951347714</v>
      </c>
      <c r="Q55">
        <v>-7.7919413146287617</v>
      </c>
      <c r="R55">
        <v>-234.16832232321809</v>
      </c>
      <c r="S55">
        <v>11.545154578143318</v>
      </c>
      <c r="T55">
        <v>12.526628268670343</v>
      </c>
      <c r="U55">
        <v>10.352464036712675</v>
      </c>
      <c r="V55">
        <v>-296.74916274003925</v>
      </c>
      <c r="W55">
        <v>25.8508876032157</v>
      </c>
      <c r="X55">
        <v>27.480552505670435</v>
      </c>
      <c r="Y55">
        <v>24.037124091218665</v>
      </c>
      <c r="Z55">
        <v>-193.82725498569431</v>
      </c>
      <c r="AA55">
        <v>30.149779222216484</v>
      </c>
      <c r="AB55">
        <v>32.962539504996933</v>
      </c>
      <c r="AC55">
        <v>26.607583540579824</v>
      </c>
      <c r="AD55">
        <v>-682.83949256699066</v>
      </c>
      <c r="AE55">
        <v>-10.882516371500101</v>
      </c>
      <c r="AF55">
        <v>4.744374551073677</v>
      </c>
      <c r="AG55">
        <v>-28.709827021502157</v>
      </c>
      <c r="AH55">
        <v>819.96956371264525</v>
      </c>
      <c r="AI55">
        <v>720.60734500816477</v>
      </c>
      <c r="AJ55">
        <v>722.42843876066433</v>
      </c>
      <c r="AK55">
        <v>718.38231035015076</v>
      </c>
      <c r="AL55">
        <v>848.47634124991407</v>
      </c>
      <c r="AM55">
        <v>809.1792926207595</v>
      </c>
      <c r="AN55">
        <v>813.2764336811947</v>
      </c>
      <c r="AO55">
        <v>803.73235397533779</v>
      </c>
      <c r="AP55">
        <v>2956.1629186594851</v>
      </c>
      <c r="AQ55">
        <v>2872.5929075011718</v>
      </c>
      <c r="AR55">
        <v>2888.5978226796783</v>
      </c>
      <c r="AS55">
        <v>2852.3144438553031</v>
      </c>
      <c r="AT55">
        <v>9671.2862286351865</v>
      </c>
      <c r="AU55">
        <v>6745.1960684034066</v>
      </c>
      <c r="AV55">
        <v>6745.9544356717097</v>
      </c>
      <c r="AW55">
        <v>6744.5672002694937</v>
      </c>
    </row>
    <row r="56" spans="1:53" x14ac:dyDescent="0.2">
      <c r="A56" t="s">
        <v>398</v>
      </c>
      <c r="B56">
        <v>-21408.401909212596</v>
      </c>
      <c r="C56">
        <v>-1255.4227996035656</v>
      </c>
      <c r="D56">
        <v>-1260.0841181131084</v>
      </c>
      <c r="E56">
        <v>-1292.9565250593687</v>
      </c>
      <c r="F56">
        <v>-1495.3028254303526</v>
      </c>
      <c r="G56">
        <v>-169.38825348707252</v>
      </c>
      <c r="H56">
        <v>-169.60563427742431</v>
      </c>
      <c r="I56">
        <v>-170.58479455900897</v>
      </c>
      <c r="J56">
        <v>-1538.245666816116</v>
      </c>
      <c r="K56">
        <v>-96.559452064661315</v>
      </c>
      <c r="L56">
        <v>-78.240468751578149</v>
      </c>
      <c r="M56">
        <v>-118.65761014942456</v>
      </c>
      <c r="N56">
        <v>-614.18324982264141</v>
      </c>
      <c r="O56">
        <v>-19.187782555003515</v>
      </c>
      <c r="P56">
        <v>-17.178777605506582</v>
      </c>
      <c r="Q56">
        <v>-21.365174106325711</v>
      </c>
      <c r="R56">
        <v>-444.69540699820993</v>
      </c>
      <c r="S56">
        <v>17.149826939855764</v>
      </c>
      <c r="T56">
        <v>18.481119943816758</v>
      </c>
      <c r="U56">
        <v>15.518357037569565</v>
      </c>
      <c r="V56">
        <v>-541.20957701885914</v>
      </c>
      <c r="W56">
        <v>55.217641906532748</v>
      </c>
      <c r="X56">
        <v>57.019478516346574</v>
      </c>
      <c r="Y56">
        <v>53.093759918541608</v>
      </c>
      <c r="Z56">
        <v>-364.5290961526631</v>
      </c>
      <c r="AA56">
        <v>52.149499779574569</v>
      </c>
      <c r="AB56">
        <v>55.580324617733091</v>
      </c>
      <c r="AC56">
        <v>47.804440892375531</v>
      </c>
      <c r="AD56">
        <v>-1382.3900653468606</v>
      </c>
      <c r="AE56">
        <v>43.036607964604315</v>
      </c>
      <c r="AF56">
        <v>61.333632198037982</v>
      </c>
      <c r="AG56">
        <v>20.372287350092805</v>
      </c>
      <c r="AH56">
        <v>1362.8716240560652</v>
      </c>
      <c r="AI56">
        <v>1213.1330558452787</v>
      </c>
      <c r="AJ56">
        <v>1215.2489467576818</v>
      </c>
      <c r="AK56">
        <v>1210.405090685259</v>
      </c>
      <c r="AL56">
        <v>1287.3882732948894</v>
      </c>
      <c r="AM56">
        <v>1074.3994059460401</v>
      </c>
      <c r="AN56">
        <v>1079.2968395586192</v>
      </c>
      <c r="AO56">
        <v>1067.5927825731596</v>
      </c>
      <c r="AP56">
        <v>4448.6127943944884</v>
      </c>
      <c r="AQ56">
        <v>3799.1545022844061</v>
      </c>
      <c r="AR56">
        <v>3818.5371436910727</v>
      </c>
      <c r="AS56">
        <v>3773.3092791280992</v>
      </c>
      <c r="AT56">
        <v>14393.836292668751</v>
      </c>
      <c r="AU56">
        <v>9334.4070224277348</v>
      </c>
      <c r="AV56">
        <v>9335.1483718869786</v>
      </c>
      <c r="AW56">
        <v>9333.5609778343496</v>
      </c>
    </row>
    <row r="59" spans="1:53" x14ac:dyDescent="0.2">
      <c r="A59" s="32" t="s">
        <v>546</v>
      </c>
    </row>
    <row r="61" spans="1:53" x14ac:dyDescent="0.2">
      <c r="A61" t="s">
        <v>540</v>
      </c>
    </row>
    <row r="62" spans="1:53" x14ac:dyDescent="0.2">
      <c r="B62" s="474" t="s">
        <v>419</v>
      </c>
      <c r="C62" s="474"/>
      <c r="D62" s="474"/>
      <c r="E62" s="474"/>
      <c r="F62" s="474" t="s">
        <v>418</v>
      </c>
      <c r="G62" s="474"/>
      <c r="H62" s="474"/>
      <c r="I62" s="474"/>
      <c r="J62" s="474" t="s">
        <v>423</v>
      </c>
      <c r="K62" s="474"/>
      <c r="L62" s="474"/>
      <c r="M62" s="474"/>
      <c r="N62" s="474" t="s">
        <v>539</v>
      </c>
      <c r="O62" s="474"/>
      <c r="P62" s="474"/>
      <c r="Q62" s="474"/>
      <c r="R62" s="474" t="s">
        <v>421</v>
      </c>
      <c r="S62" s="474"/>
      <c r="T62" s="474"/>
      <c r="U62" s="474"/>
      <c r="V62" s="474" t="s">
        <v>416</v>
      </c>
      <c r="W62" s="474"/>
      <c r="X62" s="474"/>
      <c r="Y62" s="474"/>
      <c r="Z62" s="474" t="s">
        <v>420</v>
      </c>
      <c r="AA62" s="474"/>
      <c r="AB62" s="474"/>
      <c r="AC62" s="474"/>
      <c r="AD62" s="474" t="s">
        <v>426</v>
      </c>
      <c r="AE62" s="474"/>
      <c r="AF62" s="474"/>
      <c r="AG62" s="474"/>
      <c r="AH62" s="474" t="s">
        <v>417</v>
      </c>
      <c r="AI62" s="474"/>
      <c r="AJ62" s="474"/>
      <c r="AK62" s="474"/>
      <c r="AL62" s="474" t="s">
        <v>427</v>
      </c>
      <c r="AM62" s="474"/>
      <c r="AN62" s="474"/>
      <c r="AO62" s="474"/>
      <c r="AP62" s="474" t="s">
        <v>425</v>
      </c>
      <c r="AQ62" s="474"/>
      <c r="AR62" s="474"/>
      <c r="AS62" s="474"/>
      <c r="AT62" s="474" t="s">
        <v>422</v>
      </c>
      <c r="AU62" s="474"/>
      <c r="AV62" s="474"/>
      <c r="AW62" s="474"/>
      <c r="AX62" s="474" t="s">
        <v>424</v>
      </c>
      <c r="AY62" s="474"/>
      <c r="AZ62" s="474"/>
      <c r="BA62" s="474"/>
    </row>
    <row r="63" spans="1:53" x14ac:dyDescent="0.2">
      <c r="B63" s="474">
        <v>16060011</v>
      </c>
      <c r="C63" s="474"/>
      <c r="D63" s="474"/>
      <c r="E63" s="474"/>
      <c r="F63" s="474">
        <v>15030202</v>
      </c>
      <c r="G63" s="474"/>
      <c r="H63" s="474"/>
      <c r="I63" s="474"/>
      <c r="J63" s="474">
        <v>15030201</v>
      </c>
      <c r="K63" s="474"/>
      <c r="L63" s="474"/>
      <c r="M63" s="474"/>
      <c r="N63" s="474">
        <v>18100204</v>
      </c>
      <c r="O63" s="474"/>
      <c r="P63" s="474"/>
      <c r="Q63" s="474"/>
      <c r="R63" s="474">
        <v>16060013</v>
      </c>
      <c r="S63" s="474"/>
      <c r="T63" s="474"/>
      <c r="U63" s="474"/>
      <c r="V63" s="474">
        <v>18090208</v>
      </c>
      <c r="W63" s="474"/>
      <c r="X63" s="474"/>
      <c r="Y63" s="474"/>
      <c r="Z63" s="474">
        <v>16060003</v>
      </c>
      <c r="AA63" s="474"/>
      <c r="AB63" s="474"/>
      <c r="AC63" s="474"/>
      <c r="AD63" s="474">
        <v>3050105</v>
      </c>
      <c r="AE63" s="474"/>
      <c r="AF63" s="474"/>
      <c r="AG63" s="474"/>
      <c r="AH63" s="474">
        <v>16040201</v>
      </c>
      <c r="AI63" s="474"/>
      <c r="AJ63" s="474"/>
      <c r="AK63" s="474"/>
      <c r="AL63" s="474">
        <v>14030005</v>
      </c>
      <c r="AM63" s="474"/>
      <c r="AN63" s="474"/>
      <c r="AO63" s="474"/>
      <c r="AP63" s="474">
        <v>3050102</v>
      </c>
      <c r="AQ63" s="474"/>
      <c r="AR63" s="474"/>
      <c r="AS63" s="474"/>
      <c r="AT63" s="474">
        <v>16060010</v>
      </c>
      <c r="AU63" s="474"/>
      <c r="AV63" s="474"/>
      <c r="AW63" s="474"/>
      <c r="AX63" s="474">
        <v>11140205</v>
      </c>
      <c r="AY63" s="474"/>
      <c r="AZ63" s="474"/>
      <c r="BA63" s="474"/>
    </row>
    <row r="64" spans="1:53" x14ac:dyDescent="0.2">
      <c r="B64" t="s">
        <v>462</v>
      </c>
      <c r="C64" t="s">
        <v>463</v>
      </c>
      <c r="D64" t="s">
        <v>464</v>
      </c>
      <c r="E64" t="s">
        <v>465</v>
      </c>
      <c r="F64" t="s">
        <v>462</v>
      </c>
      <c r="G64" t="s">
        <v>463</v>
      </c>
      <c r="H64" t="s">
        <v>464</v>
      </c>
      <c r="I64" t="s">
        <v>465</v>
      </c>
      <c r="J64" t="s">
        <v>462</v>
      </c>
      <c r="K64" t="s">
        <v>463</v>
      </c>
      <c r="L64" t="s">
        <v>464</v>
      </c>
      <c r="M64" t="s">
        <v>465</v>
      </c>
      <c r="N64" t="s">
        <v>462</v>
      </c>
      <c r="O64" t="s">
        <v>463</v>
      </c>
      <c r="P64" t="s">
        <v>464</v>
      </c>
      <c r="Q64" t="s">
        <v>465</v>
      </c>
      <c r="R64" t="s">
        <v>462</v>
      </c>
      <c r="S64" t="s">
        <v>463</v>
      </c>
      <c r="T64" t="s">
        <v>464</v>
      </c>
      <c r="U64" t="s">
        <v>465</v>
      </c>
      <c r="V64" t="s">
        <v>462</v>
      </c>
      <c r="W64" t="s">
        <v>463</v>
      </c>
      <c r="X64" t="s">
        <v>464</v>
      </c>
      <c r="Y64" t="s">
        <v>465</v>
      </c>
      <c r="Z64" t="s">
        <v>462</v>
      </c>
      <c r="AA64" t="s">
        <v>463</v>
      </c>
      <c r="AB64" t="s">
        <v>464</v>
      </c>
      <c r="AC64" t="s">
        <v>465</v>
      </c>
      <c r="AD64" t="s">
        <v>462</v>
      </c>
      <c r="AE64" t="s">
        <v>463</v>
      </c>
      <c r="AF64" t="s">
        <v>464</v>
      </c>
      <c r="AG64" t="s">
        <v>465</v>
      </c>
      <c r="AH64" t="s">
        <v>462</v>
      </c>
      <c r="AI64" t="s">
        <v>463</v>
      </c>
      <c r="AJ64" t="s">
        <v>464</v>
      </c>
      <c r="AK64" t="s">
        <v>465</v>
      </c>
      <c r="AL64" t="s">
        <v>462</v>
      </c>
      <c r="AM64" t="s">
        <v>463</v>
      </c>
      <c r="AN64" t="s">
        <v>464</v>
      </c>
      <c r="AO64" t="s">
        <v>465</v>
      </c>
      <c r="AP64" t="s">
        <v>462</v>
      </c>
      <c r="AQ64" t="s">
        <v>463</v>
      </c>
      <c r="AR64" t="s">
        <v>464</v>
      </c>
      <c r="AS64" t="s">
        <v>465</v>
      </c>
      <c r="AT64" t="s">
        <v>462</v>
      </c>
      <c r="AU64" t="s">
        <v>463</v>
      </c>
      <c r="AV64" t="s">
        <v>464</v>
      </c>
      <c r="AW64" t="s">
        <v>465</v>
      </c>
      <c r="AX64" t="s">
        <v>462</v>
      </c>
      <c r="AY64" t="s">
        <v>463</v>
      </c>
      <c r="AZ64" t="s">
        <v>464</v>
      </c>
      <c r="BA64" t="s">
        <v>465</v>
      </c>
    </row>
    <row r="65" spans="1:53" x14ac:dyDescent="0.2">
      <c r="A65" t="s">
        <v>396</v>
      </c>
      <c r="B65" s="39">
        <f>VLOOKUP(B$6,'8. Uncertainty Results'!$B$262:$N$274,11,FALSE)</f>
        <v>-44.119840661799046</v>
      </c>
      <c r="C65" s="39">
        <f>VLOOKUP(B$6,'8. Uncertainty Results'!$B$332:$N$344,11,FALSE)</f>
        <v>-53.676865870094673</v>
      </c>
      <c r="D65" s="39">
        <f>VLOOKUP(B$6,'8. Uncertainty Results'!$B$403:$N$415,11,FALSE)</f>
        <v>-52.550203829150092</v>
      </c>
      <c r="E65" s="39">
        <f>VLOOKUP(B$6,'8. Uncertainty Results'!$B$473:$N$485,11,FALSE)</f>
        <v>-55.129985314451865</v>
      </c>
      <c r="F65" s="39">
        <f>VLOOKUP(F$6,'8. Uncertainty Results'!$B$262:$N$274,11,FALSE)</f>
        <v>-79.059811418247293</v>
      </c>
      <c r="G65" s="39">
        <f>VLOOKUP(F$6,'8. Uncertainty Results'!$B$332:$N$344,11,FALSE)</f>
        <v>-82.107277361013814</v>
      </c>
      <c r="H65" s="39">
        <f>VLOOKUP(F$6,'8. Uncertainty Results'!$B$403:$N$415,11,FALSE)</f>
        <v>-69.250318511240863</v>
      </c>
      <c r="I65" s="39">
        <f>VLOOKUP(F$6,'8. Uncertainty Results'!$B$473:$N$485,11,FALSE)</f>
        <v>-95.05463372019716</v>
      </c>
      <c r="J65" s="39">
        <f>VLOOKUP(J$6,'8. Uncertainty Results'!$B$262:$N$274,11,FALSE)</f>
        <v>-36.286693304436838</v>
      </c>
      <c r="K65" s="39">
        <f>VLOOKUP(J$6,'8. Uncertainty Results'!$B$332:$N$344,11,FALSE)</f>
        <v>-36.000754281312744</v>
      </c>
      <c r="L65" s="39">
        <f>VLOOKUP(J$6,'8. Uncertainty Results'!$B$403:$N$415,11,FALSE)</f>
        <v>-23.786955035439917</v>
      </c>
      <c r="M65" s="39">
        <f>VLOOKUP(J$6,'8. Uncertainty Results'!$B$473:$N$485,11,FALSE)</f>
        <v>-50.263053832080487</v>
      </c>
      <c r="N65" s="39">
        <f>VLOOKUP(N$6,'8. Uncertainty Results'!$B$262:$N$274,11,FALSE)</f>
        <v>-1226.5662133862468</v>
      </c>
      <c r="O65" s="39">
        <f>VLOOKUP(N$6,'8. Uncertainty Results'!$B$332:$N$344,11,FALSE)</f>
        <v>-1623.0031609170444</v>
      </c>
      <c r="P65" s="39">
        <f>VLOOKUP(N$6,'8. Uncertainty Results'!$B$403:$N$415,11,FALSE)</f>
        <v>-1605.4506471027526</v>
      </c>
      <c r="Q65" s="39">
        <f>VLOOKUP(N$6,'8. Uncertainty Results'!$B$473:$N$485,11,FALSE)</f>
        <v>-1638.2808362045841</v>
      </c>
      <c r="R65" s="39">
        <f>VLOOKUP(R$6,'8. Uncertainty Results'!$B$262:$N$274,11,FALSE)</f>
        <v>-34.442905356594494</v>
      </c>
      <c r="S65" s="39">
        <f>VLOOKUP(R$6,'8. Uncertainty Results'!$B$332:$N$344,11,FALSE)</f>
        <v>-41.066258418604662</v>
      </c>
      <c r="T65" s="39">
        <f>VLOOKUP(R$6,'8. Uncertainty Results'!$B$403:$N$415,11,FALSE)</f>
        <v>-40.487400874195785</v>
      </c>
      <c r="U65" s="39">
        <f>VLOOKUP(R$6,'8. Uncertainty Results'!$B$473:$N$485,11,FALSE)</f>
        <v>-42.703687682754762</v>
      </c>
      <c r="V65" s="39">
        <f>VLOOKUP(V$6,'8. Uncertainty Results'!$B$262:$N$274,11,FALSE)</f>
        <v>-1086.7051151235053</v>
      </c>
      <c r="W65" s="39">
        <f>VLOOKUP(V$6,'8. Uncertainty Results'!$B$332:$N$344,11,FALSE)</f>
        <v>-1345.2104417661867</v>
      </c>
      <c r="X65" s="39">
        <f>VLOOKUP(V$6,'8. Uncertainty Results'!$B$403:$N$415,11,FALSE)</f>
        <v>-1254.2940357145615</v>
      </c>
      <c r="Y65" s="39">
        <f>VLOOKUP(V$6,'8. Uncertainty Results'!$B$473:$N$485,11,FALSE)</f>
        <v>-1437.0082676894272</v>
      </c>
      <c r="Z65" s="39">
        <f>VLOOKUP(Z$6,'8. Uncertainty Results'!$B$262:$N$274,11,FALSE)</f>
        <v>-31.366440451297567</v>
      </c>
      <c r="AA65" s="39">
        <f>VLOOKUP(Z$6,'8. Uncertainty Results'!$B$332:$N$344,11,FALSE)</f>
        <v>-34.842634543740516</v>
      </c>
      <c r="AB65" s="39">
        <f>VLOOKUP(Z$6,'8. Uncertainty Results'!$B$403:$N$415,11,FALSE)</f>
        <v>-33.840839209301734</v>
      </c>
      <c r="AC65" s="39">
        <f>VLOOKUP(Z$6,'8. Uncertainty Results'!$B$473:$N$485,11,FALSE)</f>
        <v>-35.694749875459422</v>
      </c>
      <c r="AD65" s="39">
        <f>VLOOKUP(AD$6,'8. Uncertainty Results'!$B$262:$N$274,11,FALSE)</f>
        <v>2224.542286259471</v>
      </c>
      <c r="AE65" s="39">
        <f>VLOOKUP(AD$6,'8. Uncertainty Results'!$B$332:$N$344,11,FALSE)</f>
        <v>2665.1429632767959</v>
      </c>
      <c r="AF65" s="39">
        <f>VLOOKUP(AD$6,'8. Uncertainty Results'!$B$403:$N$415,11,FALSE)</f>
        <v>2678.205491620723</v>
      </c>
      <c r="AG65" s="39">
        <f>VLOOKUP(AD$6,'8. Uncertainty Results'!$B$473:$N$485,11,FALSE)</f>
        <v>2649.8974183464247</v>
      </c>
      <c r="AH65" s="39">
        <f>VLOOKUP(AH$6,'8. Uncertainty Results'!$B$262:$N$274,11,FALSE)</f>
        <v>-202.77457434572239</v>
      </c>
      <c r="AI65" s="39">
        <f>VLOOKUP(AH$6,'8. Uncertainty Results'!$B$332:$N$344,11,FALSE)</f>
        <v>-443.76596923653864</v>
      </c>
      <c r="AJ65" s="39">
        <f>VLOOKUP(AH$6,'8. Uncertainty Results'!$B$403:$N$415,11,FALSE)</f>
        <v>-446.68265702202547</v>
      </c>
      <c r="AK65" s="39">
        <f>VLOOKUP(AH$6,'8. Uncertainty Results'!$B$473:$N$485,11,FALSE)</f>
        <v>-445.86117048905743</v>
      </c>
      <c r="AL65" s="39">
        <f>VLOOKUP(AL$6,'8. Uncertainty Results'!$B$262:$N$274,11,FALSE)</f>
        <v>7485.454415640007</v>
      </c>
      <c r="AM65" s="39">
        <f>VLOOKUP(AL$6,'8. Uncertainty Results'!$B$332:$N$344,11,FALSE)</f>
        <v>9610.9025611045327</v>
      </c>
      <c r="AN65" s="39">
        <f>VLOOKUP(AL$6,'8. Uncertainty Results'!$B$403:$N$415,11,FALSE)</f>
        <v>9611.3818643169616</v>
      </c>
      <c r="AO65" s="39">
        <f>VLOOKUP(AL$6,'8. Uncertainty Results'!$B$473:$N$485,11,FALSE)</f>
        <v>9610.222208443809</v>
      </c>
      <c r="AP65" s="39">
        <f>VLOOKUP(AP$6,'8. Uncertainty Results'!$B$262:$N$274,11,FALSE)</f>
        <v>574.3251012278713</v>
      </c>
      <c r="AQ65" s="39">
        <f>VLOOKUP(AP$6,'8. Uncertainty Results'!$B$332:$N$344,11,FALSE)</f>
        <v>703.12455537960375</v>
      </c>
      <c r="AR65" s="39">
        <f>VLOOKUP(AP$6,'8. Uncertainty Results'!$B$403:$N$415,11,FALSE)</f>
        <v>706.7954863360294</v>
      </c>
      <c r="AS65" s="39">
        <f>VLOOKUP(AP$6,'8. Uncertainty Results'!$B$473:$N$485,11,FALSE)</f>
        <v>698.86416503608132</v>
      </c>
      <c r="AT65" s="39">
        <f>VLOOKUP(AT$6,'8. Uncertainty Results'!$B$262:$N$274,11,FALSE)</f>
        <v>-7.664190808400015</v>
      </c>
      <c r="AU65" s="39">
        <f>VLOOKUP(AT$6,'8. Uncertainty Results'!$B$332:$N$344,11,FALSE)</f>
        <v>-9.5358234820609162</v>
      </c>
      <c r="AV65" s="39">
        <f>VLOOKUP(AT$6,'8. Uncertainty Results'!$B$403:$N$415,11,FALSE)</f>
        <v>-7.3922151729675614</v>
      </c>
      <c r="AW65" s="39">
        <f>VLOOKUP(AT$6,'8. Uncertainty Results'!$B$473:$N$485,11,FALSE)</f>
        <v>-12.644521967145524</v>
      </c>
      <c r="AX65" s="39">
        <f>VLOOKUP(AX$6,'8. Uncertainty Results'!$B$262:$N$274,11,FALSE)</f>
        <v>536.349677389156</v>
      </c>
      <c r="AY65" s="39">
        <f>VLOOKUP(AX$6,'8. Uncertainty Results'!$B$332:$N$344,11,FALSE)</f>
        <v>726.85775213645184</v>
      </c>
      <c r="AZ65" s="39">
        <f>VLOOKUP(AX$6,'8. Uncertainty Results'!$B$403:$N$415,11,FALSE)</f>
        <v>728.21354008803758</v>
      </c>
      <c r="BA65" s="39">
        <f>VLOOKUP(AX$6,'8. Uncertainty Results'!$B$473:$N$485,11,FALSE)</f>
        <v>725.36107611275634</v>
      </c>
    </row>
    <row r="66" spans="1:53" x14ac:dyDescent="0.2">
      <c r="A66" t="s">
        <v>397</v>
      </c>
      <c r="B66" s="39">
        <f>VLOOKUP(B$6,'8. Uncertainty Results'!$B$262:$N$274,12,FALSE)</f>
        <v>-76.217236835659463</v>
      </c>
      <c r="C66" s="39">
        <f>VLOOKUP(B$6,'8. Uncertainty Results'!$B$332:$N$344,12,FALSE)</f>
        <v>-66.997913159445346</v>
      </c>
      <c r="D66" s="39">
        <f>VLOOKUP(B$6,'8. Uncertainty Results'!$B$403:$N$415,12,FALSE)</f>
        <v>-65.724522414919207</v>
      </c>
      <c r="E66" s="39">
        <f>VLOOKUP(B$6,'8. Uncertainty Results'!$B$473:$N$4852,12,FALSE)</f>
        <v>-69.014138352795214</v>
      </c>
      <c r="F66" s="39">
        <f>VLOOKUP(F$6,'8. Uncertainty Results'!$B$262:$N$274,12,FALSE)</f>
        <v>-62.104043502890917</v>
      </c>
      <c r="G66" s="39">
        <f>VLOOKUP(F$6,'8. Uncertainty Results'!$B$332:$N$344,12,FALSE)</f>
        <v>-81.457616293532681</v>
      </c>
      <c r="H66" s="39">
        <f>VLOOKUP(F$6,'8. Uncertainty Results'!$B$403:$N$415,12,FALSE)</f>
        <v>-66.256942050270993</v>
      </c>
      <c r="I66" s="39">
        <f>VLOOKUP(F$6,'8. Uncertainty Results'!$B$473:$N$4852,12,FALSE)</f>
        <v>-99.567389382401416</v>
      </c>
      <c r="J66" s="39">
        <f>VLOOKUP(J$6,'8. Uncertainty Results'!$B$262:$N$274,12,FALSE)</f>
        <v>23.185626861697916</v>
      </c>
      <c r="K66" s="39">
        <f>VLOOKUP(J$6,'8. Uncertainty Results'!$B$332:$N$344,12,FALSE)</f>
        <v>20.060427998979588</v>
      </c>
      <c r="L66" s="39">
        <f>VLOOKUP(J$6,'8. Uncertainty Results'!$B$403:$N$415,12,FALSE)</f>
        <v>35.789245737873408</v>
      </c>
      <c r="M66" s="39">
        <f>VLOOKUP(J$6,'8. Uncertainty Results'!$B$473:$N$4852,12,FALSE)</f>
        <v>1.9967010130838465</v>
      </c>
      <c r="N66" s="39">
        <f>VLOOKUP(N$6,'8. Uncertainty Results'!$B$262:$N$274,12,FALSE)</f>
        <v>-2210.6462910402033</v>
      </c>
      <c r="O66" s="39">
        <f>VLOOKUP(N$6,'8. Uncertainty Results'!$B$332:$N$344,12,FALSE)</f>
        <v>-2796.8770477628509</v>
      </c>
      <c r="P66" s="39">
        <f>VLOOKUP(N$6,'8. Uncertainty Results'!$B$403:$N$415,12,FALSE)</f>
        <v>-2772.9327721205168</v>
      </c>
      <c r="Q66" s="39">
        <f>VLOOKUP(N$6,'8. Uncertainty Results'!$B$473:$N$4852,12,FALSE)</f>
        <v>-2785.648989775153</v>
      </c>
      <c r="R66" s="39">
        <f>VLOOKUP(R$6,'8. Uncertainty Results'!$B$262:$N$274,12,FALSE)</f>
        <v>-50.321651076197064</v>
      </c>
      <c r="S66" s="39">
        <f>VLOOKUP(R$6,'8. Uncertainty Results'!$B$332:$N$344,12,FALSE)</f>
        <v>-37.472470699284024</v>
      </c>
      <c r="T66" s="39">
        <f>VLOOKUP(R$6,'8. Uncertainty Results'!$B$403:$N$415,12,FALSE)</f>
        <v>-35.98524676482991</v>
      </c>
      <c r="U66" s="39">
        <f>VLOOKUP(R$6,'8. Uncertainty Results'!$B$473:$N$4852,12,FALSE)</f>
        <v>-39.177655558586466</v>
      </c>
      <c r="V66" s="39">
        <f>VLOOKUP(V$6,'8. Uncertainty Results'!$B$262:$N$274,12,FALSE)</f>
        <v>-1385.8642665901111</v>
      </c>
      <c r="W66" s="39">
        <f>VLOOKUP(V$6,'8. Uncertainty Results'!$B$332:$N$344,12,FALSE)</f>
        <v>-1931.5329248612218</v>
      </c>
      <c r="X66" s="39">
        <f>VLOOKUP(V$6,'8. Uncertainty Results'!$B$403:$N$415,12,FALSE)</f>
        <v>-1828.5726451219832</v>
      </c>
      <c r="Y66" s="39">
        <f>VLOOKUP(V$6,'8. Uncertainty Results'!$B$473:$N$4852,12,FALSE)</f>
        <v>-2030.9059530531813</v>
      </c>
      <c r="Z66" s="39">
        <f>VLOOKUP(Z$6,'8. Uncertainty Results'!$B$262:$N$274,12,FALSE)</f>
        <v>-42.821135190302456</v>
      </c>
      <c r="AA66" s="39">
        <f>VLOOKUP(Z$6,'8. Uncertainty Results'!$B$332:$N$344,12,FALSE)</f>
        <v>-26.546224078199153</v>
      </c>
      <c r="AB66" s="39">
        <f>VLOOKUP(Z$6,'8. Uncertainty Results'!$B$403:$N$415,12,FALSE)</f>
        <v>-25.197565633561982</v>
      </c>
      <c r="AC66" s="39">
        <f>VLOOKUP(Z$6,'8. Uncertainty Results'!$B$473:$N$4852,12,FALSE)</f>
        <v>-27.770279927080963</v>
      </c>
      <c r="AD66" s="39">
        <f>VLOOKUP(AD$6,'8. Uncertainty Results'!$B$262:$N$274,12,FALSE)</f>
        <v>3107.688367595113</v>
      </c>
      <c r="AE66" s="39">
        <f>VLOOKUP(AD$6,'8. Uncertainty Results'!$B$332:$N$344,12,FALSE)</f>
        <v>3447.0066249167389</v>
      </c>
      <c r="AF66" s="39">
        <f>VLOOKUP(AD$6,'8. Uncertainty Results'!$B$403:$N$415,12,FALSE)</f>
        <v>3463.1229568338022</v>
      </c>
      <c r="AG66" s="39">
        <f>VLOOKUP(AD$6,'8. Uncertainty Results'!$B$473:$N$4852,12,FALSE)</f>
        <v>3426.7401300739584</v>
      </c>
      <c r="AH66" s="39">
        <f>VLOOKUP(AH$6,'8. Uncertainty Results'!$B$262:$N$274,12,FALSE)</f>
        <v>-207.53034627349433</v>
      </c>
      <c r="AI66" s="39">
        <f>VLOOKUP(AH$6,'8. Uncertainty Results'!$B$332:$N$344,12,FALSE)</f>
        <v>-534.36303264448577</v>
      </c>
      <c r="AJ66" s="39">
        <f>VLOOKUP(AH$6,'8. Uncertainty Results'!$B$403:$N$415,12,FALSE)</f>
        <v>-534.92364102962699</v>
      </c>
      <c r="AK66" s="39">
        <f>VLOOKUP(AH$6,'8. Uncertainty Results'!$B$473:$N$4852,12,FALSE)</f>
        <v>-536.50893431082159</v>
      </c>
      <c r="AL66" s="39">
        <f>VLOOKUP(AL$6,'8. Uncertainty Results'!$B$262:$N$274,12,FALSE)</f>
        <v>10552.564126187777</v>
      </c>
      <c r="AM66" s="39">
        <f>VLOOKUP(AL$6,'8. Uncertainty Results'!$B$332:$N$344,12,FALSE)</f>
        <v>14061.878670119298</v>
      </c>
      <c r="AN66" s="39">
        <f>VLOOKUP(AL$6,'8. Uncertainty Results'!$B$403:$N$415,12,FALSE)</f>
        <v>14062.48383237585</v>
      </c>
      <c r="AO66" s="39">
        <f>VLOOKUP(AL$6,'8. Uncertainty Results'!$B$473:$N$4852,12,FALSE)</f>
        <v>14061.167583951557</v>
      </c>
      <c r="AP66" s="39">
        <f>VLOOKUP(AP$6,'8. Uncertainty Results'!$B$262:$N$274,12,FALSE)</f>
        <v>824.78463721395667</v>
      </c>
      <c r="AQ66" s="39">
        <f>VLOOKUP(AP$6,'8. Uncertainty Results'!$B$332:$N$344,12,FALSE)</f>
        <v>941.59942597689815</v>
      </c>
      <c r="AR66" s="39">
        <f>VLOOKUP(AP$6,'8. Uncertainty Results'!$B$403:$N$415,12,FALSE)</f>
        <v>945.6337274160062</v>
      </c>
      <c r="AS66" s="39">
        <f>VLOOKUP(AP$6,'8. Uncertainty Results'!$B$473:$N$4852,12,FALSE)</f>
        <v>936.06620501826217</v>
      </c>
      <c r="AT66" s="39">
        <f>VLOOKUP(AT$6,'8. Uncertainty Results'!$B$262:$N$274,12,FALSE)</f>
        <v>4.2505276739767099</v>
      </c>
      <c r="AU66" s="39">
        <f>VLOOKUP(AT$6,'8. Uncertainty Results'!$B$332:$N$344,12,FALSE)</f>
        <v>1.0885119184983285</v>
      </c>
      <c r="AV66" s="39">
        <f>VLOOKUP(AT$6,'8. Uncertainty Results'!$B$403:$N$415,12,FALSE)</f>
        <v>3.7485927029601092</v>
      </c>
      <c r="AW66" s="39">
        <f>VLOOKUP(AT$6,'8. Uncertainty Results'!$B$473:$N$4852,12,FALSE)</f>
        <v>-2.7978222835976769</v>
      </c>
      <c r="AX66" s="39">
        <f>VLOOKUP(AX$6,'8. Uncertainty Results'!$B$262:$N$274,12,FALSE)</f>
        <v>834.48858404797511</v>
      </c>
      <c r="AY66" s="39">
        <f>VLOOKUP(AX$6,'8. Uncertainty Results'!$B$332:$N$344,12,FALSE)</f>
        <v>1015.515793771241</v>
      </c>
      <c r="AZ66" s="39">
        <f>VLOOKUP(AX$6,'8. Uncertainty Results'!$B$403:$N$415,12,FALSE)</f>
        <v>1017.0166140668567</v>
      </c>
      <c r="BA66" s="39">
        <f>VLOOKUP(AX$6,'8. Uncertainty Results'!$B$473:$N$4852,12,FALSE)</f>
        <v>1013.5875428968309</v>
      </c>
    </row>
    <row r="67" spans="1:53" x14ac:dyDescent="0.2">
      <c r="A67" t="s">
        <v>398</v>
      </c>
      <c r="B67" s="39">
        <f>VLOOKUP(B$6,'8. Uncertainty Results'!$B$262:$N$274,13,FALSE)</f>
        <v>-137.20411757778021</v>
      </c>
      <c r="C67" s="39">
        <f>VLOOKUP(B$6,'8. Uncertainty Results'!$B$332:$N$344,13,FALSE)</f>
        <v>-89.608051131210061</v>
      </c>
      <c r="D67" s="39">
        <f>VLOOKUP(B$6,'8. Uncertainty Results'!$B$403:$N$415,13,FALSE)</f>
        <v>-88.610751228543478</v>
      </c>
      <c r="E67" s="39">
        <f>VLOOKUP(B$6,'8. Uncertainty Results'!$B$473:$N$485,13,FALSE)</f>
        <v>-92.045461026266054</v>
      </c>
      <c r="F67" s="39">
        <f>VLOOKUP(F$6,'8. Uncertainty Results'!$B$262:$N$274,13,FALSE)</f>
        <v>-42.685049613326953</v>
      </c>
      <c r="G67" s="39">
        <f>VLOOKUP(F$6,'8. Uncertainty Results'!$B$332:$N$344,13,FALSE)</f>
        <v>-82.465980175446589</v>
      </c>
      <c r="H67" s="39">
        <f>VLOOKUP(F$6,'8. Uncertainty Results'!$B$403:$N$415,13,FALSE)</f>
        <v>-64.702508086842712</v>
      </c>
      <c r="I67" s="39">
        <f>VLOOKUP(F$6,'8. Uncertainty Results'!$B$473:$N$485,13,FALSE)</f>
        <v>-105.10110202355538</v>
      </c>
      <c r="J67" s="39">
        <f>VLOOKUP(J$6,'8. Uncertainty Results'!$B$262:$N$274,13,FALSE)</f>
        <v>102.89889704730548</v>
      </c>
      <c r="K67" s="39">
        <f>VLOOKUP(J$6,'8. Uncertainty Results'!$B$332:$N$344,13,FALSE)</f>
        <v>87.173769596343291</v>
      </c>
      <c r="L67" s="39">
        <f>VLOOKUP(J$6,'8. Uncertainty Results'!$B$403:$N$415,13,FALSE)</f>
        <v>105.98615041988219</v>
      </c>
      <c r="M67" s="39">
        <f>VLOOKUP(J$6,'8. Uncertainty Results'!$B$473:$N$485,13,FALSE)</f>
        <v>63.848774690430965</v>
      </c>
      <c r="N67" s="39">
        <f>VLOOKUP(N$6,'8. Uncertainty Results'!$B$262:$N$274,13,FALSE)</f>
        <v>-3174.2502557411558</v>
      </c>
      <c r="O67" s="39">
        <f>VLOOKUP(N$6,'8. Uncertainty Results'!$B$332:$N$344,13,FALSE)</f>
        <v>-4073.0664524920485</v>
      </c>
      <c r="P67" s="39">
        <f>VLOOKUP(N$6,'8. Uncertainty Results'!$B$403:$N$415,13,FALSE)</f>
        <v>-4074.2166914828322</v>
      </c>
      <c r="Q67" s="39">
        <f>VLOOKUP(N$6,'8. Uncertainty Results'!$B$473:$N$485,13,FALSE)</f>
        <v>-4078.6983662682824</v>
      </c>
      <c r="R67" s="39">
        <f>VLOOKUP(R$6,'8. Uncertainty Results'!$B$262:$N$274,13,FALSE)</f>
        <v>-76.155538338756742</v>
      </c>
      <c r="S67" s="39">
        <f>VLOOKUP(R$6,'8. Uncertainty Results'!$B$332:$N$344,13,FALSE)</f>
        <v>-23.385806348031409</v>
      </c>
      <c r="T67" s="39">
        <f>VLOOKUP(R$6,'8. Uncertainty Results'!$B$403:$N$415,13,FALSE)</f>
        <v>-21.84513940794071</v>
      </c>
      <c r="U67" s="39">
        <f>VLOOKUP(R$6,'8. Uncertainty Results'!$B$473:$N$485,13,FALSE)</f>
        <v>-25.554287422401348</v>
      </c>
      <c r="V67" s="39">
        <f>VLOOKUP(V$6,'8. Uncertainty Results'!$B$262:$N$274,13,FALSE)</f>
        <v>-1795.2823055102951</v>
      </c>
      <c r="W67" s="39">
        <f>VLOOKUP(V$6,'8. Uncertainty Results'!$B$332:$N$344,13,FALSE)</f>
        <v>-2799.0830631834278</v>
      </c>
      <c r="X67" s="39">
        <f>VLOOKUP(V$6,'8. Uncertainty Results'!$B$403:$N$415,13,FALSE)</f>
        <v>-2671.2124478730716</v>
      </c>
      <c r="Y67" s="39">
        <f>VLOOKUP(V$6,'8. Uncertainty Results'!$B$473:$N$485,13,FALSE)</f>
        <v>-2904.9207694323609</v>
      </c>
      <c r="Z67" s="39">
        <f>VLOOKUP(Z$6,'8. Uncertainty Results'!$B$262:$N$274,13,FALSE)</f>
        <v>-79.255508149926044</v>
      </c>
      <c r="AA67" s="39">
        <f>VLOOKUP(Z$6,'8. Uncertainty Results'!$B$332:$N$344,13,FALSE)</f>
        <v>-23.227613147280795</v>
      </c>
      <c r="AB67" s="39">
        <f>VLOOKUP(Z$6,'8. Uncertainty Results'!$B$403:$N$415,13,FALSE)</f>
        <v>-21.699849370531307</v>
      </c>
      <c r="AC67" s="39">
        <f>VLOOKUP(Z$6,'8. Uncertainty Results'!$B$473:$N$485,13,FALSE)</f>
        <v>-24.722844562065671</v>
      </c>
      <c r="AD67" s="39">
        <f>VLOOKUP(AD$6,'8. Uncertainty Results'!$B$262:$N$274,13,FALSE)</f>
        <v>3906.6387850170031</v>
      </c>
      <c r="AE67" s="39">
        <f>VLOOKUP(AD$6,'8. Uncertainty Results'!$B$332:$N$344,13,FALSE)</f>
        <v>4377.835424943928</v>
      </c>
      <c r="AF67" s="39">
        <f>VLOOKUP(AD$6,'8. Uncertainty Results'!$B$403:$N$415,13,FALSE)</f>
        <v>4397.2140580024297</v>
      </c>
      <c r="AG67" s="39">
        <f>VLOOKUP(AD$6,'8. Uncertainty Results'!$B$473:$N$485,13,FALSE)</f>
        <v>4351.6490929700303</v>
      </c>
      <c r="AH67" s="39">
        <f>VLOOKUP(AH$6,'8. Uncertainty Results'!$B$262:$N$274,13,FALSE)</f>
        <v>-212.98182918122518</v>
      </c>
      <c r="AI67" s="39">
        <f>VLOOKUP(AH$6,'8. Uncertainty Results'!$B$332:$N$344,13,FALSE)</f>
        <v>-644.15917428093849</v>
      </c>
      <c r="AJ67" s="39">
        <f>VLOOKUP(AH$6,'8. Uncertainty Results'!$B$403:$N$415,13,FALSE)</f>
        <v>-647.42801371896473</v>
      </c>
      <c r="AK67" s="39">
        <f>VLOOKUP(AH$6,'8. Uncertainty Results'!$B$473:$N$485,13,FALSE)</f>
        <v>-649.55184886777215</v>
      </c>
      <c r="AL67" s="39">
        <f>VLOOKUP(AL$6,'8. Uncertainty Results'!$B$262:$N$274,13,FALSE)</f>
        <v>14563.778082290444</v>
      </c>
      <c r="AM67" s="39">
        <f>VLOOKUP(AL$6,'8. Uncertainty Results'!$B$332:$N$344,13,FALSE)</f>
        <v>19341.507883285656</v>
      </c>
      <c r="AN67" s="39">
        <f>VLOOKUP(AL$6,'8. Uncertainty Results'!$B$403:$N$415,13,FALSE)</f>
        <v>19342.198753767319</v>
      </c>
      <c r="AO67" s="39">
        <f>VLOOKUP(AL$6,'8. Uncertainty Results'!$B$473:$N$485,13,FALSE)</f>
        <v>19340.699198674873</v>
      </c>
      <c r="AP67" s="39">
        <f>VLOOKUP(AP$6,'8. Uncertainty Results'!$B$262:$N$274,13,FALSE)</f>
        <v>1025.922403920425</v>
      </c>
      <c r="AQ67" s="39">
        <f>VLOOKUP(AP$6,'8. Uncertainty Results'!$B$332:$N$344,13,FALSE)</f>
        <v>1224.6659739902966</v>
      </c>
      <c r="AR67" s="39">
        <f>VLOOKUP(AP$6,'8. Uncertainty Results'!$B$403:$N$415,13,FALSE)</f>
        <v>1229.2377418919236</v>
      </c>
      <c r="AS67" s="39">
        <f>VLOOKUP(AP$6,'8. Uncertainty Results'!$B$473:$N$485,13,FALSE)</f>
        <v>1217.3914008804136</v>
      </c>
      <c r="AT67" s="39">
        <f>VLOOKUP(AT$6,'8. Uncertainty Results'!$B$262:$N$274,13,FALSE)</f>
        <v>28.355852988400748</v>
      </c>
      <c r="AU67" s="39">
        <f>VLOOKUP(AT$6,'8. Uncertainty Results'!$B$332:$N$344,13,FALSE)</f>
        <v>24.278209410986104</v>
      </c>
      <c r="AV67" s="39">
        <f>VLOOKUP(AT$6,'8. Uncertainty Results'!$B$403:$N$415,13,FALSE)</f>
        <v>27.625334791445646</v>
      </c>
      <c r="AW67" s="39">
        <f>VLOOKUP(AT$6,'8. Uncertainty Results'!$B$473:$N$485,13,FALSE)</f>
        <v>19.706162052015344</v>
      </c>
      <c r="AX67" s="39">
        <f>VLOOKUP(AX$6,'8. Uncertainty Results'!$B$262:$N$274,13,FALSE)</f>
        <v>1110.4204219919375</v>
      </c>
      <c r="AY67" s="39">
        <f>VLOOKUP(AX$6,'8. Uncertainty Results'!$B$332:$N$344,13,FALSE)</f>
        <v>1366.4480500062684</v>
      </c>
      <c r="AZ67" s="39">
        <f>VLOOKUP(AX$6,'8. Uncertainty Results'!$B$403:$N$415,13,FALSE)</f>
        <v>1368.1398785583613</v>
      </c>
      <c r="BA67" s="39">
        <f>VLOOKUP(AX$6,'8. Uncertainty Results'!$B$473:$N$485,13,FALSE)</f>
        <v>1364.0637394663543</v>
      </c>
    </row>
    <row r="69" spans="1:53" x14ac:dyDescent="0.2">
      <c r="A69" t="s">
        <v>541</v>
      </c>
    </row>
    <row r="71" spans="1:53" x14ac:dyDescent="0.2">
      <c r="B71" s="474" t="s">
        <v>539</v>
      </c>
      <c r="C71" s="474"/>
      <c r="D71" s="474"/>
      <c r="E71" s="474"/>
      <c r="F71" s="474" t="s">
        <v>417</v>
      </c>
      <c r="G71" s="474"/>
      <c r="H71" s="474"/>
      <c r="I71" s="474"/>
      <c r="J71" s="474" t="s">
        <v>418</v>
      </c>
      <c r="K71" s="474"/>
      <c r="L71" s="474"/>
      <c r="M71" s="474"/>
      <c r="N71" s="474" t="s">
        <v>419</v>
      </c>
      <c r="O71" s="474"/>
      <c r="P71" s="474"/>
      <c r="Q71" s="474"/>
      <c r="R71" s="474" t="s">
        <v>420</v>
      </c>
      <c r="S71" s="474"/>
      <c r="T71" s="474"/>
      <c r="U71" s="474"/>
      <c r="V71" s="474" t="s">
        <v>421</v>
      </c>
      <c r="W71" s="474"/>
      <c r="X71" s="474"/>
      <c r="Y71" s="474"/>
      <c r="Z71" s="474" t="s">
        <v>422</v>
      </c>
      <c r="AA71" s="474"/>
      <c r="AB71" s="474"/>
      <c r="AC71" s="474"/>
      <c r="AD71" s="474" t="s">
        <v>423</v>
      </c>
      <c r="AE71" s="474"/>
      <c r="AF71" s="474"/>
      <c r="AG71" s="474"/>
      <c r="AH71" s="474" t="s">
        <v>424</v>
      </c>
      <c r="AI71" s="474"/>
      <c r="AJ71" s="474"/>
      <c r="AK71" s="474"/>
      <c r="AL71" s="474" t="s">
        <v>425</v>
      </c>
      <c r="AM71" s="474"/>
      <c r="AN71" s="474"/>
      <c r="AO71" s="474"/>
      <c r="AP71" s="474" t="s">
        <v>426</v>
      </c>
      <c r="AQ71" s="474"/>
      <c r="AR71" s="474"/>
      <c r="AS71" s="474"/>
      <c r="AT71" s="474" t="s">
        <v>427</v>
      </c>
      <c r="AU71" s="474"/>
      <c r="AV71" s="474"/>
      <c r="AW71" s="474"/>
    </row>
    <row r="72" spans="1:53" x14ac:dyDescent="0.2">
      <c r="B72" t="s">
        <v>482</v>
      </c>
      <c r="C72" t="s">
        <v>483</v>
      </c>
      <c r="D72" t="s">
        <v>484</v>
      </c>
      <c r="E72" t="s">
        <v>485</v>
      </c>
      <c r="F72" t="s">
        <v>482</v>
      </c>
      <c r="G72" t="s">
        <v>483</v>
      </c>
      <c r="H72" t="s">
        <v>484</v>
      </c>
      <c r="I72" t="s">
        <v>485</v>
      </c>
      <c r="J72" t="s">
        <v>482</v>
      </c>
      <c r="K72" t="s">
        <v>483</v>
      </c>
      <c r="L72" t="s">
        <v>484</v>
      </c>
      <c r="M72" t="s">
        <v>485</v>
      </c>
      <c r="N72" t="s">
        <v>482</v>
      </c>
      <c r="O72" t="s">
        <v>483</v>
      </c>
      <c r="P72" t="s">
        <v>484</v>
      </c>
      <c r="Q72" t="s">
        <v>485</v>
      </c>
      <c r="R72" t="s">
        <v>482</v>
      </c>
      <c r="S72" t="s">
        <v>483</v>
      </c>
      <c r="T72" t="s">
        <v>484</v>
      </c>
      <c r="U72" t="s">
        <v>485</v>
      </c>
      <c r="V72" t="s">
        <v>482</v>
      </c>
      <c r="W72" t="s">
        <v>483</v>
      </c>
      <c r="X72" t="s">
        <v>484</v>
      </c>
      <c r="Y72" t="s">
        <v>485</v>
      </c>
      <c r="Z72" t="s">
        <v>482</v>
      </c>
      <c r="AA72" t="s">
        <v>483</v>
      </c>
      <c r="AB72" t="s">
        <v>484</v>
      </c>
      <c r="AC72" t="s">
        <v>485</v>
      </c>
      <c r="AD72" t="s">
        <v>482</v>
      </c>
      <c r="AE72" t="s">
        <v>483</v>
      </c>
      <c r="AF72" t="s">
        <v>484</v>
      </c>
      <c r="AG72" t="s">
        <v>485</v>
      </c>
      <c r="AH72" t="s">
        <v>482</v>
      </c>
      <c r="AI72" t="s">
        <v>483</v>
      </c>
      <c r="AJ72" t="s">
        <v>484</v>
      </c>
      <c r="AK72" t="s">
        <v>485</v>
      </c>
      <c r="AL72" t="s">
        <v>482</v>
      </c>
      <c r="AM72" t="s">
        <v>483</v>
      </c>
      <c r="AN72" t="s">
        <v>484</v>
      </c>
      <c r="AO72" t="s">
        <v>485</v>
      </c>
      <c r="AP72" t="s">
        <v>482</v>
      </c>
      <c r="AQ72" t="s">
        <v>483</v>
      </c>
      <c r="AR72" t="s">
        <v>484</v>
      </c>
      <c r="AS72" t="s">
        <v>485</v>
      </c>
      <c r="AT72" t="s">
        <v>482</v>
      </c>
      <c r="AU72" t="s">
        <v>483</v>
      </c>
      <c r="AV72" t="s">
        <v>484</v>
      </c>
      <c r="AW72" t="s">
        <v>485</v>
      </c>
    </row>
    <row r="73" spans="1:53" x14ac:dyDescent="0.2">
      <c r="A73" t="s">
        <v>396</v>
      </c>
      <c r="B73" s="39" cm="1">
        <f t="array" ref="B73:E75">N65:Q67</f>
        <v>-1226.5662133862468</v>
      </c>
      <c r="C73">
        <v>-1623.0031609170444</v>
      </c>
      <c r="D73">
        <v>-1605.4506471027526</v>
      </c>
      <c r="E73">
        <v>-1638.2808362045841</v>
      </c>
      <c r="F73" s="39" cm="1">
        <f t="array" ref="F73:I75">AH65:AK67</f>
        <v>-202.77457434572239</v>
      </c>
      <c r="G73">
        <v>-443.76596923653864</v>
      </c>
      <c r="H73">
        <v>-446.68265702202547</v>
      </c>
      <c r="I73">
        <v>-445.86117048905743</v>
      </c>
      <c r="J73" s="39" cm="1">
        <f t="array" ref="J73:M75">F65:I67</f>
        <v>-79.059811418247293</v>
      </c>
      <c r="K73">
        <v>-82.107277361013814</v>
      </c>
      <c r="L73">
        <v>-69.250318511240863</v>
      </c>
      <c r="M73">
        <v>-95.05463372019716</v>
      </c>
      <c r="N73" s="39" cm="1">
        <f t="array" ref="N73:Q75">B65:E67</f>
        <v>-44.119840661799046</v>
      </c>
      <c r="O73">
        <v>-53.676865870094673</v>
      </c>
      <c r="P73">
        <v>-52.550203829150092</v>
      </c>
      <c r="Q73">
        <v>-55.129985314451865</v>
      </c>
      <c r="R73" s="39" cm="1">
        <f t="array" ref="R73:U75">Z65:AC67</f>
        <v>-31.366440451297567</v>
      </c>
      <c r="S73">
        <v>-34.842634543740516</v>
      </c>
      <c r="T73">
        <v>-33.840839209301734</v>
      </c>
      <c r="U73">
        <v>-35.694749875459422</v>
      </c>
      <c r="V73" s="39" cm="1">
        <f t="array" ref="V73:Y75">R65:U67</f>
        <v>-34.442905356594494</v>
      </c>
      <c r="W73">
        <v>-41.066258418604662</v>
      </c>
      <c r="X73">
        <v>-40.487400874195785</v>
      </c>
      <c r="Y73">
        <v>-42.703687682754762</v>
      </c>
      <c r="Z73" s="39" cm="1">
        <f t="array" ref="Z73:AC75">AT65:AW67</f>
        <v>-7.664190808400015</v>
      </c>
      <c r="AA73">
        <v>-9.5358234820609162</v>
      </c>
      <c r="AB73">
        <v>-7.3922151729675614</v>
      </c>
      <c r="AC73">
        <v>-12.644521967145524</v>
      </c>
      <c r="AD73" s="39" cm="1">
        <f t="array" ref="AD73:AG75">J65:M67</f>
        <v>-36.286693304436838</v>
      </c>
      <c r="AE73">
        <v>-36.000754281312744</v>
      </c>
      <c r="AF73">
        <v>-23.786955035439917</v>
      </c>
      <c r="AG73">
        <v>-50.263053832080487</v>
      </c>
      <c r="AH73" s="39" cm="1">
        <f t="array" ref="AH73:AK75">AX65:BA67</f>
        <v>536.349677389156</v>
      </c>
      <c r="AI73">
        <v>726.85775213645184</v>
      </c>
      <c r="AJ73">
        <v>728.21354008803758</v>
      </c>
      <c r="AK73">
        <v>725.36107611275634</v>
      </c>
      <c r="AL73" s="39" cm="1">
        <f t="array" ref="AL73:AO75">AP65:AS67</f>
        <v>574.3251012278713</v>
      </c>
      <c r="AM73">
        <v>703.12455537960375</v>
      </c>
      <c r="AN73">
        <v>706.7954863360294</v>
      </c>
      <c r="AO73">
        <v>698.86416503608132</v>
      </c>
      <c r="AP73" s="39" cm="1">
        <f t="array" ref="AP73:AS75">AD65:AG67</f>
        <v>2224.542286259471</v>
      </c>
      <c r="AQ73">
        <v>2665.1429632767959</v>
      </c>
      <c r="AR73">
        <v>2678.205491620723</v>
      </c>
      <c r="AS73">
        <v>2649.8974183464247</v>
      </c>
      <c r="AT73" s="39" cm="1">
        <f t="array" ref="AT73:AW75">AL65:AO67</f>
        <v>7485.454415640007</v>
      </c>
      <c r="AU73">
        <v>9610.9025611045327</v>
      </c>
      <c r="AV73">
        <v>9611.3818643169616</v>
      </c>
      <c r="AW73">
        <v>9610.222208443809</v>
      </c>
    </row>
    <row r="74" spans="1:53" x14ac:dyDescent="0.2">
      <c r="A74" t="s">
        <v>397</v>
      </c>
      <c r="B74">
        <v>-2210.6462910402033</v>
      </c>
      <c r="C74">
        <v>-2796.8770477628509</v>
      </c>
      <c r="D74">
        <v>-2772.9327721205168</v>
      </c>
      <c r="E74">
        <v>-2785.648989775153</v>
      </c>
      <c r="F74">
        <v>-207.53034627349433</v>
      </c>
      <c r="G74">
        <v>-534.36303264448577</v>
      </c>
      <c r="H74">
        <v>-534.92364102962699</v>
      </c>
      <c r="I74">
        <v>-536.50893431082159</v>
      </c>
      <c r="J74">
        <v>-62.104043502890917</v>
      </c>
      <c r="K74">
        <v>-81.457616293532681</v>
      </c>
      <c r="L74">
        <v>-66.256942050270993</v>
      </c>
      <c r="M74">
        <v>-99.567389382401416</v>
      </c>
      <c r="N74">
        <v>-76.217236835659463</v>
      </c>
      <c r="O74">
        <v>-66.997913159445346</v>
      </c>
      <c r="P74">
        <v>-65.724522414919207</v>
      </c>
      <c r="Q74">
        <v>-69.014138352795214</v>
      </c>
      <c r="R74">
        <v>-42.821135190302456</v>
      </c>
      <c r="S74">
        <v>-26.546224078199153</v>
      </c>
      <c r="T74">
        <v>-25.197565633561982</v>
      </c>
      <c r="U74">
        <v>-27.770279927080963</v>
      </c>
      <c r="V74">
        <v>-50.321651076197064</v>
      </c>
      <c r="W74">
        <v>-37.472470699284024</v>
      </c>
      <c r="X74">
        <v>-35.98524676482991</v>
      </c>
      <c r="Y74">
        <v>-39.177655558586466</v>
      </c>
      <c r="Z74">
        <v>4.2505276739767099</v>
      </c>
      <c r="AA74">
        <v>1.0885119184983285</v>
      </c>
      <c r="AB74">
        <v>3.7485927029601092</v>
      </c>
      <c r="AC74">
        <v>-2.7978222835976769</v>
      </c>
      <c r="AD74">
        <v>23.185626861697916</v>
      </c>
      <c r="AE74">
        <v>20.060427998979588</v>
      </c>
      <c r="AF74">
        <v>35.789245737873408</v>
      </c>
      <c r="AG74">
        <v>1.9967010130838465</v>
      </c>
      <c r="AH74">
        <v>834.48858404797511</v>
      </c>
      <c r="AI74">
        <v>1015.515793771241</v>
      </c>
      <c r="AJ74">
        <v>1017.0166140668567</v>
      </c>
      <c r="AK74">
        <v>1013.5875428968309</v>
      </c>
      <c r="AL74">
        <v>824.78463721395667</v>
      </c>
      <c r="AM74">
        <v>941.59942597689815</v>
      </c>
      <c r="AN74">
        <v>945.6337274160062</v>
      </c>
      <c r="AO74">
        <v>936.06620501826217</v>
      </c>
      <c r="AP74">
        <v>3107.688367595113</v>
      </c>
      <c r="AQ74">
        <v>3447.0066249167389</v>
      </c>
      <c r="AR74">
        <v>3463.1229568338022</v>
      </c>
      <c r="AS74">
        <v>3426.7401300739584</v>
      </c>
      <c r="AT74">
        <v>10552.564126187777</v>
      </c>
      <c r="AU74">
        <v>14061.878670119298</v>
      </c>
      <c r="AV74">
        <v>14062.48383237585</v>
      </c>
      <c r="AW74">
        <v>14061.167583951557</v>
      </c>
    </row>
    <row r="75" spans="1:53" x14ac:dyDescent="0.2">
      <c r="A75" t="s">
        <v>398</v>
      </c>
      <c r="B75">
        <v>-3174.2502557411558</v>
      </c>
      <c r="C75">
        <v>-4073.0664524920485</v>
      </c>
      <c r="D75">
        <v>-4074.2166914828322</v>
      </c>
      <c r="E75">
        <v>-4078.6983662682824</v>
      </c>
      <c r="F75">
        <v>-212.98182918122518</v>
      </c>
      <c r="G75">
        <v>-644.15917428093849</v>
      </c>
      <c r="H75">
        <v>-647.42801371896473</v>
      </c>
      <c r="I75">
        <v>-649.55184886777215</v>
      </c>
      <c r="J75">
        <v>-42.685049613326953</v>
      </c>
      <c r="K75">
        <v>-82.465980175446589</v>
      </c>
      <c r="L75">
        <v>-64.702508086842712</v>
      </c>
      <c r="M75">
        <v>-105.10110202355538</v>
      </c>
      <c r="N75">
        <v>-137.20411757778021</v>
      </c>
      <c r="O75">
        <v>-89.608051131210061</v>
      </c>
      <c r="P75">
        <v>-88.610751228543478</v>
      </c>
      <c r="Q75">
        <v>-92.045461026266054</v>
      </c>
      <c r="R75">
        <v>-79.255508149926044</v>
      </c>
      <c r="S75">
        <v>-23.227613147280795</v>
      </c>
      <c r="T75">
        <v>-21.699849370531307</v>
      </c>
      <c r="U75">
        <v>-24.722844562065671</v>
      </c>
      <c r="V75">
        <v>-76.155538338756742</v>
      </c>
      <c r="W75">
        <v>-23.385806348031409</v>
      </c>
      <c r="X75">
        <v>-21.84513940794071</v>
      </c>
      <c r="Y75">
        <v>-25.554287422401348</v>
      </c>
      <c r="Z75">
        <v>28.355852988400748</v>
      </c>
      <c r="AA75">
        <v>24.278209410986104</v>
      </c>
      <c r="AB75">
        <v>27.625334791445646</v>
      </c>
      <c r="AC75">
        <v>19.706162052015344</v>
      </c>
      <c r="AD75">
        <v>102.89889704730548</v>
      </c>
      <c r="AE75">
        <v>87.173769596343291</v>
      </c>
      <c r="AF75">
        <v>105.98615041988219</v>
      </c>
      <c r="AG75">
        <v>63.848774690430965</v>
      </c>
      <c r="AH75">
        <v>1110.4204219919375</v>
      </c>
      <c r="AI75">
        <v>1366.4480500062684</v>
      </c>
      <c r="AJ75">
        <v>1368.1398785583613</v>
      </c>
      <c r="AK75">
        <v>1364.0637394663543</v>
      </c>
      <c r="AL75">
        <v>1025.922403920425</v>
      </c>
      <c r="AM75">
        <v>1224.6659739902966</v>
      </c>
      <c r="AN75">
        <v>1229.2377418919236</v>
      </c>
      <c r="AO75">
        <v>1217.3914008804136</v>
      </c>
      <c r="AP75">
        <v>3906.6387850170031</v>
      </c>
      <c r="AQ75">
        <v>4377.835424943928</v>
      </c>
      <c r="AR75">
        <v>4397.2140580024297</v>
      </c>
      <c r="AS75">
        <v>4351.6490929700303</v>
      </c>
      <c r="AT75">
        <v>14563.778082290444</v>
      </c>
      <c r="AU75">
        <v>19341.507883285656</v>
      </c>
      <c r="AV75">
        <v>19342.198753767319</v>
      </c>
      <c r="AW75">
        <v>19340.699198674873</v>
      </c>
    </row>
    <row r="78" spans="1:53" x14ac:dyDescent="0.2">
      <c r="A78" s="32" t="s">
        <v>547</v>
      </c>
    </row>
    <row r="80" spans="1:53" x14ac:dyDescent="0.2">
      <c r="A80" t="s">
        <v>540</v>
      </c>
    </row>
    <row r="81" spans="1:53" x14ac:dyDescent="0.2">
      <c r="B81" s="474" t="s">
        <v>419</v>
      </c>
      <c r="C81" s="474"/>
      <c r="D81" s="474"/>
      <c r="E81" s="474"/>
      <c r="F81" s="474" t="s">
        <v>418</v>
      </c>
      <c r="G81" s="474"/>
      <c r="H81" s="474"/>
      <c r="I81" s="474"/>
      <c r="J81" s="474" t="s">
        <v>423</v>
      </c>
      <c r="K81" s="474"/>
      <c r="L81" s="474"/>
      <c r="M81" s="474"/>
      <c r="N81" s="474" t="s">
        <v>539</v>
      </c>
      <c r="O81" s="474"/>
      <c r="P81" s="474"/>
      <c r="Q81" s="474"/>
      <c r="R81" s="474" t="s">
        <v>421</v>
      </c>
      <c r="S81" s="474"/>
      <c r="T81" s="474"/>
      <c r="U81" s="474"/>
      <c r="V81" s="474" t="s">
        <v>416</v>
      </c>
      <c r="W81" s="474"/>
      <c r="X81" s="474"/>
      <c r="Y81" s="474"/>
      <c r="Z81" s="474" t="s">
        <v>420</v>
      </c>
      <c r="AA81" s="474"/>
      <c r="AB81" s="474"/>
      <c r="AC81" s="474"/>
      <c r="AD81" s="474" t="s">
        <v>426</v>
      </c>
      <c r="AE81" s="474"/>
      <c r="AF81" s="474"/>
      <c r="AG81" s="474"/>
      <c r="AH81" s="474" t="s">
        <v>417</v>
      </c>
      <c r="AI81" s="474"/>
      <c r="AJ81" s="474"/>
      <c r="AK81" s="474"/>
      <c r="AL81" s="474" t="s">
        <v>427</v>
      </c>
      <c r="AM81" s="474"/>
      <c r="AN81" s="474"/>
      <c r="AO81" s="474"/>
      <c r="AP81" s="474" t="s">
        <v>425</v>
      </c>
      <c r="AQ81" s="474"/>
      <c r="AR81" s="474"/>
      <c r="AS81" s="474"/>
      <c r="AT81" s="474" t="s">
        <v>422</v>
      </c>
      <c r="AU81" s="474"/>
      <c r="AV81" s="474"/>
      <c r="AW81" s="474"/>
      <c r="AX81" s="474" t="s">
        <v>424</v>
      </c>
      <c r="AY81" s="474"/>
      <c r="AZ81" s="474"/>
      <c r="BA81" s="474"/>
    </row>
    <row r="82" spans="1:53" x14ac:dyDescent="0.2">
      <c r="B82" s="474">
        <v>16060011</v>
      </c>
      <c r="C82" s="474"/>
      <c r="D82" s="474"/>
      <c r="E82" s="474"/>
      <c r="F82" s="474">
        <v>15030202</v>
      </c>
      <c r="G82" s="474"/>
      <c r="H82" s="474"/>
      <c r="I82" s="474"/>
      <c r="J82" s="474">
        <v>15030201</v>
      </c>
      <c r="K82" s="474"/>
      <c r="L82" s="474"/>
      <c r="M82" s="474"/>
      <c r="N82" s="474">
        <v>18100204</v>
      </c>
      <c r="O82" s="474"/>
      <c r="P82" s="474"/>
      <c r="Q82" s="474"/>
      <c r="R82" s="474">
        <v>16060013</v>
      </c>
      <c r="S82" s="474"/>
      <c r="T82" s="474"/>
      <c r="U82" s="474"/>
      <c r="V82" s="474">
        <v>18090208</v>
      </c>
      <c r="W82" s="474"/>
      <c r="X82" s="474"/>
      <c r="Y82" s="474"/>
      <c r="Z82" s="474">
        <v>16060003</v>
      </c>
      <c r="AA82" s="474"/>
      <c r="AB82" s="474"/>
      <c r="AC82" s="474"/>
      <c r="AD82" s="474">
        <v>3050105</v>
      </c>
      <c r="AE82" s="474"/>
      <c r="AF82" s="474"/>
      <c r="AG82" s="474"/>
      <c r="AH82" s="474">
        <v>16040201</v>
      </c>
      <c r="AI82" s="474"/>
      <c r="AJ82" s="474"/>
      <c r="AK82" s="474"/>
      <c r="AL82" s="474">
        <v>14030005</v>
      </c>
      <c r="AM82" s="474"/>
      <c r="AN82" s="474"/>
      <c r="AO82" s="474"/>
      <c r="AP82" s="474">
        <v>3050102</v>
      </c>
      <c r="AQ82" s="474"/>
      <c r="AR82" s="474"/>
      <c r="AS82" s="474"/>
      <c r="AT82" s="474">
        <v>16060010</v>
      </c>
      <c r="AU82" s="474"/>
      <c r="AV82" s="474"/>
      <c r="AW82" s="474"/>
      <c r="AX82" s="474">
        <v>11140205</v>
      </c>
      <c r="AY82" s="474"/>
      <c r="AZ82" s="474"/>
      <c r="BA82" s="474"/>
    </row>
    <row r="83" spans="1:53" x14ac:dyDescent="0.2">
      <c r="B83" t="s">
        <v>462</v>
      </c>
      <c r="C83" t="s">
        <v>463</v>
      </c>
      <c r="D83" t="s">
        <v>464</v>
      </c>
      <c r="E83" t="s">
        <v>465</v>
      </c>
      <c r="F83" t="s">
        <v>462</v>
      </c>
      <c r="G83" t="s">
        <v>463</v>
      </c>
      <c r="H83" t="s">
        <v>464</v>
      </c>
      <c r="I83" t="s">
        <v>465</v>
      </c>
      <c r="J83" t="s">
        <v>462</v>
      </c>
      <c r="K83" t="s">
        <v>463</v>
      </c>
      <c r="L83" t="s">
        <v>464</v>
      </c>
      <c r="M83" t="s">
        <v>465</v>
      </c>
      <c r="N83" t="s">
        <v>462</v>
      </c>
      <c r="O83" t="s">
        <v>463</v>
      </c>
      <c r="P83" t="s">
        <v>464</v>
      </c>
      <c r="Q83" t="s">
        <v>465</v>
      </c>
      <c r="R83" t="s">
        <v>462</v>
      </c>
      <c r="S83" t="s">
        <v>463</v>
      </c>
      <c r="T83" t="s">
        <v>464</v>
      </c>
      <c r="U83" t="s">
        <v>465</v>
      </c>
      <c r="V83" t="s">
        <v>462</v>
      </c>
      <c r="W83" t="s">
        <v>463</v>
      </c>
      <c r="X83" t="s">
        <v>464</v>
      </c>
      <c r="Y83" t="s">
        <v>465</v>
      </c>
      <c r="Z83" t="s">
        <v>462</v>
      </c>
      <c r="AA83" t="s">
        <v>463</v>
      </c>
      <c r="AB83" t="s">
        <v>464</v>
      </c>
      <c r="AC83" t="s">
        <v>465</v>
      </c>
      <c r="AD83" t="s">
        <v>462</v>
      </c>
      <c r="AE83" t="s">
        <v>463</v>
      </c>
      <c r="AF83" t="s">
        <v>464</v>
      </c>
      <c r="AG83" t="s">
        <v>465</v>
      </c>
      <c r="AH83" t="s">
        <v>462</v>
      </c>
      <c r="AI83" t="s">
        <v>463</v>
      </c>
      <c r="AJ83" t="s">
        <v>464</v>
      </c>
      <c r="AK83" t="s">
        <v>465</v>
      </c>
      <c r="AL83" t="s">
        <v>462</v>
      </c>
      <c r="AM83" t="s">
        <v>463</v>
      </c>
      <c r="AN83" t="s">
        <v>464</v>
      </c>
      <c r="AO83" t="s">
        <v>465</v>
      </c>
      <c r="AP83" t="s">
        <v>462</v>
      </c>
      <c r="AQ83" t="s">
        <v>463</v>
      </c>
      <c r="AR83" t="s">
        <v>464</v>
      </c>
      <c r="AS83" t="s">
        <v>465</v>
      </c>
      <c r="AT83" t="s">
        <v>462</v>
      </c>
      <c r="AU83" t="s">
        <v>463</v>
      </c>
      <c r="AV83" t="s">
        <v>464</v>
      </c>
      <c r="AW83" t="s">
        <v>465</v>
      </c>
      <c r="AX83" t="s">
        <v>462</v>
      </c>
      <c r="AY83" t="s">
        <v>463</v>
      </c>
      <c r="AZ83" t="s">
        <v>464</v>
      </c>
      <c r="BA83" t="s">
        <v>465</v>
      </c>
    </row>
    <row r="84" spans="1:53" x14ac:dyDescent="0.2">
      <c r="A84" t="s">
        <v>396</v>
      </c>
      <c r="B84" s="39">
        <f>VLOOKUP(B$6,'8. Uncertainty Results'!$B$275:$N$287,11,FALSE)</f>
        <v>-103.68407102458544</v>
      </c>
      <c r="C84" s="39">
        <f>VLOOKUP(B$6,'8. Uncertainty Results'!$B$345:$N$357,11,FALSE)</f>
        <v>6.1683398023736125</v>
      </c>
      <c r="D84" s="39">
        <f>VLOOKUP(B$6,'8. Uncertainty Results'!$B$416:$N$428,11,FALSE)</f>
        <v>7.8470653363089617</v>
      </c>
      <c r="E84" s="39">
        <f>VLOOKUP(B$6,'8. Uncertainty Results'!$B$485:$N$498,11,FALSE)</f>
        <v>4.719714008910497</v>
      </c>
      <c r="F84" s="39">
        <f>VLOOKUP(F$6,'8. Uncertainty Results'!$B$275:$N$287,11,FALSE)</f>
        <v>-147.25108986251178</v>
      </c>
      <c r="G84" s="39">
        <f>VLOOKUP(F$6,'8. Uncertainty Results'!$B$345:$N$357,11,FALSE)</f>
        <v>-49.594972407450143</v>
      </c>
      <c r="H84" s="39">
        <f>VLOOKUP(F$6,'8. Uncertainty Results'!$B$416:$N$428,11,FALSE)</f>
        <v>-36.59041819189401</v>
      </c>
      <c r="I84" s="39">
        <f>VLOOKUP(F$6,'8. Uncertainty Results'!$B$485:$N$498,11,FALSE)</f>
        <v>-62.219617462871724</v>
      </c>
      <c r="J84" s="39">
        <f>VLOOKUP(J$6,'8. Uncertainty Results'!$B$275:$N$287,11,FALSE)</f>
        <v>-115.37523059474897</v>
      </c>
      <c r="K84" s="39">
        <f>VLOOKUP(J$6,'8. Uncertainty Results'!$B$345:$N$357,11,FALSE)</f>
        <v>2.4859853230573123</v>
      </c>
      <c r="L84" s="39">
        <f>VLOOKUP(J$6,'8. Uncertainty Results'!$B$416:$N$428,11,FALSE)</f>
        <v>14.774069722358451</v>
      </c>
      <c r="M84" s="39">
        <f>VLOOKUP(J$6,'8. Uncertainty Results'!$B$485:$N$498,11,FALSE)</f>
        <v>-10.563560409173142</v>
      </c>
      <c r="N84" s="39">
        <f>VLOOKUP(N$6,'8. Uncertainty Results'!$B$275:$N$287,11,FALSE)</f>
        <v>-699.79819304919909</v>
      </c>
      <c r="O84" s="39">
        <f>VLOOKUP(N$6,'8. Uncertainty Results'!$B$345:$N$357,11,FALSE)</f>
        <v>-419.69372372230879</v>
      </c>
      <c r="P84" s="39">
        <f>VLOOKUP(N$6,'8. Uncertainty Results'!$B$416:$N$428,11,FALSE)</f>
        <v>-401.09596620976652</v>
      </c>
      <c r="Q84" s="39">
        <f>VLOOKUP(N$6,'8. Uncertainty Results'!$B$485:$N$498,11,FALSE)</f>
        <v>-401.3541556570122</v>
      </c>
      <c r="R84" s="39">
        <f>VLOOKUP(R$6,'8. Uncertainty Results'!$B$275:$N$287,11,FALSE)</f>
        <v>-91.649170233514013</v>
      </c>
      <c r="S84" s="39">
        <f>VLOOKUP(R$6,'8. Uncertainty Results'!$B$345:$N$357,11,FALSE)</f>
        <v>14.773383713492176</v>
      </c>
      <c r="T84" s="39">
        <f>VLOOKUP(R$6,'8. Uncertainty Results'!$B$416:$N$428,11,FALSE)</f>
        <v>16.18762031886024</v>
      </c>
      <c r="U84" s="39">
        <f>VLOOKUP(R$6,'8. Uncertainty Results'!$B$485:$N$498,11,FALSE)</f>
        <v>13.287159477436155</v>
      </c>
      <c r="V84" s="39">
        <f>VLOOKUP(V$6,'8. Uncertainty Results'!$B$275:$N$287,11,FALSE)</f>
        <v>-1003.4267506869018</v>
      </c>
      <c r="W84" s="39">
        <f>VLOOKUP(V$6,'8. Uncertainty Results'!$B$345:$N$357,11,FALSE)</f>
        <v>-768.28471789271339</v>
      </c>
      <c r="X84" s="39">
        <f>VLOOKUP(V$6,'8. Uncertainty Results'!$B$416:$N$428,11,FALSE)</f>
        <v>-683.61251725844022</v>
      </c>
      <c r="Y84" s="39">
        <f>VLOOKUP(V$6,'8. Uncertainty Results'!$B$485:$N$498,11,FALSE)</f>
        <v>-859.80898830855745</v>
      </c>
      <c r="Z84" s="39">
        <f>VLOOKUP(Z$6,'8. Uncertainty Results'!$B$275:$N$287,11,FALSE)</f>
        <v>-64.300700727282162</v>
      </c>
      <c r="AA84" s="39">
        <f>VLOOKUP(Z$6,'8. Uncertainty Results'!$B$345:$N$357,11,FALSE)</f>
        <v>17.594651558635704</v>
      </c>
      <c r="AB84" s="39">
        <f>VLOOKUP(Z$6,'8. Uncertainty Results'!$B$416:$N$428,11,FALSE)</f>
        <v>18.438075954840556</v>
      </c>
      <c r="AC84" s="39">
        <f>VLOOKUP(Z$6,'8. Uncertainty Results'!$B$485:$N$498,11,FALSE)</f>
        <v>16.558920010211601</v>
      </c>
      <c r="AD84" s="39">
        <f>VLOOKUP(AD$6,'8. Uncertainty Results'!$B$275:$N$287,11,FALSE)</f>
        <v>2521.2529237130702</v>
      </c>
      <c r="AE84" s="39">
        <f>VLOOKUP(AD$6,'8. Uncertainty Results'!$B$345:$N$357,11,FALSE)</f>
        <v>2648.6894676309089</v>
      </c>
      <c r="AF84" s="39">
        <f>VLOOKUP(AD$6,'8. Uncertainty Results'!$B$416:$N$428,11,FALSE)</f>
        <v>2661.84673193035</v>
      </c>
      <c r="AG84" s="39">
        <f>VLOOKUP(AD$6,'8. Uncertainty Results'!$B$485:$N$498,11,FALSE)</f>
        <v>2633.022657631454</v>
      </c>
      <c r="AH84" s="39">
        <f>VLOOKUP(AH$6,'8. Uncertainty Results'!$B$275:$N$287,11,FALSE)</f>
        <v>-648.84308603678051</v>
      </c>
      <c r="AI84" s="39">
        <f>VLOOKUP(AH$6,'8. Uncertainty Results'!$B$345:$N$357,11,FALSE)</f>
        <v>-304.25489623305378</v>
      </c>
      <c r="AJ84" s="39">
        <f>VLOOKUP(AH$6,'8. Uncertainty Results'!$B$416:$N$428,11,FALSE)</f>
        <v>-299.97565611049288</v>
      </c>
      <c r="AK84" s="39">
        <f>VLOOKUP(AH$6,'8. Uncertainty Results'!$B$485:$N$498,11,FALSE)</f>
        <v>-301.46872342163573</v>
      </c>
      <c r="AL84" s="39">
        <f>VLOOKUP(AL$6,'8. Uncertainty Results'!$B$275:$N$287,11,FALSE)</f>
        <v>5323.3564232371937</v>
      </c>
      <c r="AM84" s="39">
        <f>VLOOKUP(AL$6,'8. Uncertainty Results'!$B$345:$N$357,11,FALSE)</f>
        <v>5826.7730574359157</v>
      </c>
      <c r="AN84" s="39">
        <f>VLOOKUP(AL$6,'8. Uncertainty Results'!$B$416:$N$428,11,FALSE)</f>
        <v>5827.0113172950978</v>
      </c>
      <c r="AO84" s="39">
        <f>VLOOKUP(AL$6,'8. Uncertainty Results'!$B$485:$N$498,11,FALSE)</f>
        <v>5826.1009655591342</v>
      </c>
      <c r="AP84" s="39">
        <f>VLOOKUP(AP$6,'8. Uncertainty Results'!$B$275:$N$287,11,FALSE)</f>
        <v>713.63168644323298</v>
      </c>
      <c r="AQ84" s="39">
        <f>VLOOKUP(AP$6,'8. Uncertainty Results'!$B$345:$N$357,11,FALSE)</f>
        <v>725.03485554386248</v>
      </c>
      <c r="AR84" s="39">
        <f>VLOOKUP(AP$6,'8. Uncertainty Results'!$B$416:$N$428,11,FALSE)</f>
        <v>728.94648460224369</v>
      </c>
      <c r="AS84" s="39">
        <f>VLOOKUP(AP$6,'8. Uncertainty Results'!$B$485:$N$498,11,FALSE)</f>
        <v>720.40228531718321</v>
      </c>
      <c r="AT84" s="39">
        <f>VLOOKUP(AT$6,'8. Uncertainty Results'!$B$275:$N$287,11,FALSE)</f>
        <v>-28.772144366256867</v>
      </c>
      <c r="AU84" s="39">
        <f>VLOOKUP(AT$6,'8. Uncertainty Results'!$B$345:$N$357,11,FALSE)</f>
        <v>19.530238486901556</v>
      </c>
      <c r="AV84" s="39">
        <f>VLOOKUP(AT$6,'8. Uncertainty Results'!$B$416:$N$428,11,FALSE)</f>
        <v>22.059280614898476</v>
      </c>
      <c r="AW84" s="39">
        <f>VLOOKUP(AT$6,'8. Uncertainty Results'!$B$485:$N$498,11,FALSE)</f>
        <v>17.151377494169783</v>
      </c>
      <c r="AX84" s="39">
        <f>VLOOKUP(AX$6,'8. Uncertainty Results'!$B$275:$N$287,11,FALSE)</f>
        <v>440.39269970053766</v>
      </c>
      <c r="AY84" s="39">
        <f>VLOOKUP(AX$6,'8. Uncertainty Results'!$B$345:$N$357,11,FALSE)</f>
        <v>491.29637745383661</v>
      </c>
      <c r="AZ84" s="39">
        <f>VLOOKUP(AX$6,'8. Uncertainty Results'!$B$416:$N$428,11,FALSE)</f>
        <v>492.60917810076006</v>
      </c>
      <c r="BA84" s="39">
        <f>VLOOKUP(AX$6,'8. Uncertainty Results'!$B$485:$N$498,11,FALSE)</f>
        <v>725.36107611275634</v>
      </c>
    </row>
    <row r="85" spans="1:53" x14ac:dyDescent="0.2">
      <c r="A85" t="s">
        <v>397</v>
      </c>
      <c r="B85" s="39">
        <f>VLOOKUP(B$6,'8. Uncertainty Results'!$B$275:$N$287,12,FALSE)</f>
        <v>-208.60409454751166</v>
      </c>
      <c r="C85" s="39">
        <f>VLOOKUP(B$6,'8. Uncertainty Results'!$B$345:$N$357,12,FALSE)</f>
        <v>36.021425865416127</v>
      </c>
      <c r="D85" s="39">
        <f>VLOOKUP(B$6,'8. Uncertainty Results'!$B$416:$N$428,12,FALSE)</f>
        <v>37.562949160352183</v>
      </c>
      <c r="E85" s="39">
        <f>VLOOKUP(B$6,'8. Uncertainty Results'!$B$485:$N$498,12,FALSE)</f>
        <v>33.952001546482713</v>
      </c>
      <c r="F85" s="39">
        <f>VLOOKUP(F$6,'8. Uncertainty Results'!$B$275:$N$287,12,FALSE)</f>
        <v>-188.47656133331321</v>
      </c>
      <c r="G85" s="39">
        <f>VLOOKUP(F$6,'8. Uncertainty Results'!$B$345:$N$357,12,FALSE)</f>
        <v>-18.792202972021478</v>
      </c>
      <c r="H85" s="39">
        <f>VLOOKUP(F$6,'8. Uncertainty Results'!$B$416:$N$428,12,FALSE)</f>
        <v>-2.3235761946775204</v>
      </c>
      <c r="I85" s="39">
        <f>VLOOKUP(F$6,'8. Uncertainty Results'!$B$485:$N$498,12,FALSE)</f>
        <v>-35.917147045622279</v>
      </c>
      <c r="J85" s="39">
        <f>VLOOKUP(J$6,'8. Uncertainty Results'!$B$275:$N$287,12,FALSE)</f>
        <v>-126.46716848337117</v>
      </c>
      <c r="K85" s="39">
        <f>VLOOKUP(J$6,'8. Uncertainty Results'!$B$345:$N$357,12,FALSE)</f>
        <v>114.33223482335926</v>
      </c>
      <c r="L85" s="39">
        <f>VLOOKUP(J$6,'8. Uncertainty Results'!$B$416:$N$428,12,FALSE)</f>
        <v>129.49107004201045</v>
      </c>
      <c r="M85" s="39">
        <f>VLOOKUP(J$6,'8. Uncertainty Results'!$B$485:$N$498,12,FALSE)</f>
        <v>96.618817829335214</v>
      </c>
      <c r="N85" s="39">
        <f>VLOOKUP(N$6,'8. Uncertainty Results'!$B$275:$N$287,12,FALSE)</f>
        <v>-1597.445185573697</v>
      </c>
      <c r="O85" s="39">
        <f>VLOOKUP(N$6,'8. Uncertainty Results'!$B$345:$N$357,12,FALSE)</f>
        <v>-1566.6780337102152</v>
      </c>
      <c r="P85" s="39">
        <f>VLOOKUP(N$6,'8. Uncertainty Results'!$B$416:$N$428,12,FALSE)</f>
        <v>-1515.9910284909645</v>
      </c>
      <c r="Q85" s="39">
        <f>VLOOKUP(N$6,'8. Uncertainty Results'!$B$485:$N$498,12,FALSE)</f>
        <v>-1566.4390358603027</v>
      </c>
      <c r="R85" s="39">
        <f>VLOOKUP(R$6,'8. Uncertainty Results'!$B$275:$N$287,12,FALSE)</f>
        <v>-184.70999517307476</v>
      </c>
      <c r="S85" s="39">
        <f>VLOOKUP(R$6,'8. Uncertainty Results'!$B$345:$N$357,12,FALSE)</f>
        <v>56.851658608155823</v>
      </c>
      <c r="T85" s="39">
        <f>VLOOKUP(R$6,'8. Uncertainty Results'!$B$416:$N$428,12,FALSE)</f>
        <v>58.752417415895614</v>
      </c>
      <c r="U85" s="39">
        <f>VLOOKUP(R$6,'8. Uncertainty Results'!$B$485:$N$498,12,FALSE)</f>
        <v>55.21766807486955</v>
      </c>
      <c r="V85" s="39">
        <f>VLOOKUP(V$6,'8. Uncertainty Results'!$B$275:$N$287,12,FALSE)</f>
        <v>-1453.8413289793662</v>
      </c>
      <c r="W85" s="39">
        <f>VLOOKUP(V$6,'8. Uncertainty Results'!$B$345:$N$357,12,FALSE)</f>
        <v>-1004.095184809607</v>
      </c>
      <c r="X85" s="39">
        <f>VLOOKUP(V$6,'8. Uncertainty Results'!$B$416:$N$428,12,FALSE)</f>
        <v>-918.72542941270171</v>
      </c>
      <c r="Y85" s="39">
        <f>VLOOKUP(V$6,'8. Uncertainty Results'!$B$485:$N$498,12,FALSE)</f>
        <v>-1122.526846192939</v>
      </c>
      <c r="Z85" s="39">
        <f>VLOOKUP(Z$6,'8. Uncertainty Results'!$B$275:$N$287,12,FALSE)</f>
        <v>-116.98434706000795</v>
      </c>
      <c r="AA85" s="39">
        <f>VLOOKUP(Z$6,'8. Uncertainty Results'!$B$345:$N$357,12,FALSE)</f>
        <v>81.355689790804149</v>
      </c>
      <c r="AB85" s="39">
        <f>VLOOKUP(Z$6,'8. Uncertainty Results'!$B$416:$N$428,12,FALSE)</f>
        <v>82.104887110268749</v>
      </c>
      <c r="AC85" s="39">
        <f>VLOOKUP(Z$6,'8. Uncertainty Results'!$B$485:$N$498,12,FALSE)</f>
        <v>80.472015415522264</v>
      </c>
      <c r="AD85" s="39">
        <f>VLOOKUP(AD$6,'8. Uncertainty Results'!$B$275:$N$287,12,FALSE)</f>
        <v>3363.2034296960442</v>
      </c>
      <c r="AE85" s="39">
        <f>VLOOKUP(AD$6,'8. Uncertainty Results'!$B$345:$N$357,12,FALSE)</f>
        <v>3587.1665175260418</v>
      </c>
      <c r="AF85" s="39">
        <f>VLOOKUP(AD$6,'8. Uncertainty Results'!$B$416:$N$428,12,FALSE)</f>
        <v>3603.6346274936345</v>
      </c>
      <c r="AG85" s="39">
        <f>VLOOKUP(AD$6,'8. Uncertainty Results'!$B$485:$N$498,12,FALSE)</f>
        <v>3566.5830878239526</v>
      </c>
      <c r="AH85" s="39">
        <f>VLOOKUP(AH$6,'8. Uncertainty Results'!$B$275:$N$287,12,FALSE)</f>
        <v>-1020.9646042901089</v>
      </c>
      <c r="AI85" s="39">
        <f>VLOOKUP(AH$6,'8. Uncertainty Results'!$B$345:$N$357,12,FALSE)</f>
        <v>-317.84431460456051</v>
      </c>
      <c r="AJ85" s="39">
        <f>VLOOKUP(AH$6,'8. Uncertainty Results'!$B$416:$N$428,12,FALSE)</f>
        <v>-317.12902242936099</v>
      </c>
      <c r="AK85" s="39">
        <f>VLOOKUP(AH$6,'8. Uncertainty Results'!$B$485:$N$498,12,FALSE)</f>
        <v>-315.40939794981477</v>
      </c>
      <c r="AL85" s="39">
        <f>VLOOKUP(AL$6,'8. Uncertainty Results'!$B$275:$N$287,12,FALSE)</f>
        <v>8749.7393807482204</v>
      </c>
      <c r="AM85" s="39">
        <f>VLOOKUP(AL$6,'8. Uncertainty Results'!$B$345:$N$357,12,FALSE)</f>
        <v>9465.401651850023</v>
      </c>
      <c r="AN85" s="39">
        <f>VLOOKUP(AL$6,'8. Uncertainty Results'!$B$416:$N$428,12,FALSE)</f>
        <v>9465.9755306490861</v>
      </c>
      <c r="AO85" s="39">
        <f>VLOOKUP(AL$6,'8. Uncertainty Results'!$B$485:$N$498,12,FALSE)</f>
        <v>9464.7432417531836</v>
      </c>
      <c r="AP85" s="39">
        <f>VLOOKUP(AP$6,'8. Uncertainty Results'!$B$275:$N$287,12,FALSE)</f>
        <v>947.79213114936476</v>
      </c>
      <c r="AQ85" s="39">
        <f>VLOOKUP(AP$6,'8. Uncertainty Results'!$B$345:$N$357,12,FALSE)</f>
        <v>966.78427659909858</v>
      </c>
      <c r="AR85" s="39">
        <f>VLOOKUP(AP$6,'8. Uncertainty Results'!$B$416:$N$428,12,FALSE)</f>
        <v>971.24374668534108</v>
      </c>
      <c r="AS85" s="39">
        <f>VLOOKUP(AP$6,'8. Uncertainty Results'!$B$485:$N$498,12,FALSE)</f>
        <v>960.93243798449294</v>
      </c>
      <c r="AT85" s="39">
        <f>VLOOKUP(AT$6,'8. Uncertainty Results'!$B$275:$N$287,12,FALSE)</f>
        <v>-63.798446358483261</v>
      </c>
      <c r="AU85" s="39">
        <f>VLOOKUP(AT$6,'8. Uncertainty Results'!$B$345:$N$357,12,FALSE)</f>
        <v>43.937396563479098</v>
      </c>
      <c r="AV85" s="39">
        <f>VLOOKUP(AT$6,'8. Uncertainty Results'!$B$416:$N$428,12,FALSE)</f>
        <v>46.861302219534743</v>
      </c>
      <c r="AW85" s="39">
        <f>VLOOKUP(AT$6,'8. Uncertainty Results'!$B$485:$N$498,12,FALSE)</f>
        <v>40.626602959238348</v>
      </c>
      <c r="AX85" s="39">
        <f>VLOOKUP(AX$6,'8. Uncertainty Results'!$B$275:$N$287,12,FALSE)</f>
        <v>787.93324306909767</v>
      </c>
      <c r="AY85" s="39">
        <f>VLOOKUP(AX$6,'8. Uncertainty Results'!$B$345:$N$357,12,FALSE)</f>
        <v>809.25842027225258</v>
      </c>
      <c r="AZ85" s="39">
        <f>VLOOKUP(AX$6,'8. Uncertainty Results'!$B$416:$N$428,12,FALSE)</f>
        <v>810.80843004047597</v>
      </c>
      <c r="BA85" s="39">
        <f>VLOOKUP(AX$6,'8. Uncertainty Results'!$B$485:$N$498,12,FALSE)</f>
        <v>1013.5875428968309</v>
      </c>
    </row>
    <row r="86" spans="1:53" x14ac:dyDescent="0.2">
      <c r="A86" t="s">
        <v>398</v>
      </c>
      <c r="B86" s="39">
        <f>VLOOKUP(B$6,'8. Uncertainty Results'!$B$275:$N$287,13,FALSE)</f>
        <v>-392.72374835979025</v>
      </c>
      <c r="C86" s="39">
        <f>VLOOKUP(B$6,'8. Uncertainty Results'!$B$345:$N$357,13,FALSE)</f>
        <v>73.009078419941432</v>
      </c>
      <c r="D86" s="39">
        <f>VLOOKUP(B$6,'8. Uncertainty Results'!$B$416:$N$428,13,FALSE)</f>
        <v>75.887813673364349</v>
      </c>
      <c r="E86" s="39">
        <f>VLOOKUP(B$6,'8. Uncertainty Results'!$B$485:$N$498,13,FALSE)</f>
        <v>71.222599894117167</v>
      </c>
      <c r="F86" s="39">
        <f>VLOOKUP(F$6,'8. Uncertainty Results'!$B$275:$N$287,13,FALSE)</f>
        <v>-252.91361700800434</v>
      </c>
      <c r="G86" s="39">
        <f>VLOOKUP(F$6,'8. Uncertainty Results'!$B$345:$N$357,13,FALSE)</f>
        <v>29.684613584582852</v>
      </c>
      <c r="H86" s="39">
        <f>VLOOKUP(F$6,'8. Uncertainty Results'!$B$416:$N$428,13,FALSE)</f>
        <v>48.625362573938034</v>
      </c>
      <c r="I86" s="39">
        <f>VLOOKUP(F$6,'8. Uncertainty Results'!$B$485:$N$498,13,FALSE)</f>
        <v>7.0882465777951467</v>
      </c>
      <c r="J86" s="39">
        <f>VLOOKUP(J$6,'8. Uncertainty Results'!$B$275:$N$287,13,FALSE)</f>
        <v>-139.04476406631682</v>
      </c>
      <c r="K86" s="39">
        <f>VLOOKUP(J$6,'8. Uncertainty Results'!$B$345:$N$357,13,FALSE)</f>
        <v>295.38314911849022</v>
      </c>
      <c r="L86" s="39">
        <f>VLOOKUP(J$6,'8. Uncertainty Results'!$B$416:$N$428,13,FALSE)</f>
        <v>313.62785926029937</v>
      </c>
      <c r="M86" s="39">
        <f>VLOOKUP(J$6,'8. Uncertainty Results'!$B$485:$N$498,13,FALSE)</f>
        <v>272.76198100087095</v>
      </c>
      <c r="N86" s="39">
        <f>VLOOKUP(N$6,'8. Uncertainty Results'!$B$275:$N$287,13,FALSE)</f>
        <v>-2744.4910346244042</v>
      </c>
      <c r="O86" s="39">
        <f>VLOOKUP(N$6,'8. Uncertainty Results'!$B$345:$N$357,13,FALSE)</f>
        <v>-3144.5210008809845</v>
      </c>
      <c r="P86" s="39">
        <f>VLOOKUP(N$6,'8. Uncertainty Results'!$B$416:$N$428,13,FALSE)</f>
        <v>-3096.2729028728199</v>
      </c>
      <c r="Q86" s="39">
        <f>VLOOKUP(N$6,'8. Uncertainty Results'!$B$485:$N$498,13,FALSE)</f>
        <v>-3118.9326438960852</v>
      </c>
      <c r="R86" s="39">
        <f>VLOOKUP(R$6,'8. Uncertainty Results'!$B$275:$N$287,13,FALSE)</f>
        <v>-333.59300606704005</v>
      </c>
      <c r="S86" s="39">
        <f>VLOOKUP(R$6,'8. Uncertainty Results'!$B$345:$N$357,13,FALSE)</f>
        <v>127.14256171495425</v>
      </c>
      <c r="T86" s="39">
        <f>VLOOKUP(R$6,'8. Uncertainty Results'!$B$416:$N$428,13,FALSE)</f>
        <v>129.39548261678235</v>
      </c>
      <c r="U86" s="39">
        <f>VLOOKUP(R$6,'8. Uncertainty Results'!$B$485:$N$498,13,FALSE)</f>
        <v>124.87676338384044</v>
      </c>
      <c r="V86" s="39">
        <f>VLOOKUP(V$6,'8. Uncertainty Results'!$B$275:$N$287,13,FALSE)</f>
        <v>-2142.2044442680863</v>
      </c>
      <c r="W86" s="39">
        <f>VLOOKUP(V$6,'8. Uncertainty Results'!$B$345:$N$357,13,FALSE)</f>
        <v>-1303.6169151884401</v>
      </c>
      <c r="X86" s="39">
        <f>VLOOKUP(V$6,'8. Uncertainty Results'!$B$416:$N$428,13,FALSE)</f>
        <v>-1202.9988018900574</v>
      </c>
      <c r="Y86" s="39">
        <f>VLOOKUP(V$6,'8. Uncertainty Results'!$B$485:$N$498,13,FALSE)</f>
        <v>-1437.6742905204289</v>
      </c>
      <c r="Z86" s="39">
        <f>VLOOKUP(Z$6,'8. Uncertainty Results'!$B$275:$N$287,13,FALSE)</f>
        <v>-212.24923628253569</v>
      </c>
      <c r="AA86" s="39">
        <f>VLOOKUP(Z$6,'8. Uncertainty Results'!$B$345:$N$357,13,FALSE)</f>
        <v>169.37477173448937</v>
      </c>
      <c r="AB86" s="39">
        <f>VLOOKUP(Z$6,'8. Uncertainty Results'!$B$416:$N$428,13,FALSE)</f>
        <v>170.03062168239589</v>
      </c>
      <c r="AC86" s="39">
        <f>VLOOKUP(Z$6,'8. Uncertainty Results'!$B$485:$N$498,13,FALSE)</f>
        <v>167.93168984516782</v>
      </c>
      <c r="AD86" s="39">
        <f>VLOOKUP(AD$6,'8. Uncertainty Results'!$B$275:$N$287,13,FALSE)</f>
        <v>4394.8812876297907</v>
      </c>
      <c r="AE86" s="39">
        <f>VLOOKUP(AD$6,'8. Uncertainty Results'!$B$345:$N$357,13,FALSE)</f>
        <v>4539.7204748220038</v>
      </c>
      <c r="AF86" s="39">
        <f>VLOOKUP(AD$6,'8. Uncertainty Results'!$B$416:$N$428,13,FALSE)</f>
        <v>4559.6453149956569</v>
      </c>
      <c r="AG86" s="39">
        <f>VLOOKUP(AD$6,'8. Uncertainty Results'!$B$485:$N$498,13,FALSE)</f>
        <v>4513.4784092431319</v>
      </c>
      <c r="AH86" s="39">
        <f>VLOOKUP(AH$6,'8. Uncertainty Results'!$B$275:$N$287,13,FALSE)</f>
        <v>-1558.348119167021</v>
      </c>
      <c r="AI86" s="39">
        <f>VLOOKUP(AH$6,'8. Uncertainty Results'!$B$345:$N$357,13,FALSE)</f>
        <v>-295.46580918616377</v>
      </c>
      <c r="AJ86" s="39">
        <f>VLOOKUP(AH$6,'8. Uncertainty Results'!$B$416:$N$428,13,FALSE)</f>
        <v>-296.96993741704199</v>
      </c>
      <c r="AK86" s="39">
        <f>VLOOKUP(AH$6,'8. Uncertainty Results'!$B$485:$N$498,13,FALSE)</f>
        <v>-302.57030230350364</v>
      </c>
      <c r="AL86" s="39">
        <f>VLOOKUP(AL$6,'8. Uncertainty Results'!$B$275:$N$287,13,FALSE)</f>
        <v>11563.412256963358</v>
      </c>
      <c r="AM86" s="39">
        <f>VLOOKUP(AL$6,'8. Uncertainty Results'!$B$345:$N$357,13,FALSE)</f>
        <v>13302.725768431668</v>
      </c>
      <c r="AN86" s="39">
        <f>VLOOKUP(AL$6,'8. Uncertainty Results'!$B$416:$N$428,13,FALSE)</f>
        <v>13303.225747098222</v>
      </c>
      <c r="AO86" s="39">
        <f>VLOOKUP(AL$6,'8. Uncertainty Results'!$B$485:$N$498,13,FALSE)</f>
        <v>13301.749757027941</v>
      </c>
      <c r="AP86" s="39">
        <f>VLOOKUP(AP$6,'8. Uncertainty Results'!$B$275:$N$287,13,FALSE)</f>
        <v>1253.4712158022692</v>
      </c>
      <c r="AQ86" s="39">
        <f>VLOOKUP(AP$6,'8. Uncertainty Results'!$B$345:$N$357,13,FALSE)</f>
        <v>1206.2595990787513</v>
      </c>
      <c r="AR86" s="39">
        <f>VLOOKUP(AP$6,'8. Uncertainty Results'!$B$416:$N$428,13,FALSE)</f>
        <v>1211.4696783161867</v>
      </c>
      <c r="AS86" s="39">
        <f>VLOOKUP(AP$6,'8. Uncertainty Results'!$B$485:$N$498,13,FALSE)</f>
        <v>1198.8127349741615</v>
      </c>
      <c r="AT86" s="39">
        <f>VLOOKUP(AT$6,'8. Uncertainty Results'!$B$275:$N$287,13,FALSE)</f>
        <v>-118.08063330250002</v>
      </c>
      <c r="AU86" s="39">
        <f>VLOOKUP(AT$6,'8. Uncertainty Results'!$B$345:$N$357,13,FALSE)</f>
        <v>84.699111719206655</v>
      </c>
      <c r="AV86" s="39">
        <f>VLOOKUP(AT$6,'8. Uncertainty Results'!$B$416:$N$428,13,FALSE)</f>
        <v>88.213630910389611</v>
      </c>
      <c r="AW86" s="39">
        <f>VLOOKUP(AT$6,'8. Uncertainty Results'!$B$485:$N$498,13,FALSE)</f>
        <v>80.605200004141722</v>
      </c>
      <c r="AX86" s="39">
        <f>VLOOKUP(AX$6,'8. Uncertainty Results'!$B$275:$N$287,13,FALSE)</f>
        <v>1308.6713519826387</v>
      </c>
      <c r="AY86" s="39">
        <f>VLOOKUP(AX$6,'8. Uncertainty Results'!$B$345:$N$357,13,FALSE)</f>
        <v>1209.020011290678</v>
      </c>
      <c r="AZ86" s="39">
        <f>VLOOKUP(AX$6,'8. Uncertainty Results'!$B$416:$N$428,13,FALSE)</f>
        <v>1210.9799746818021</v>
      </c>
      <c r="BA86" s="39">
        <f>VLOOKUP(AX$6,'8. Uncertainty Results'!$B$485:$N$498,13,FALSE)</f>
        <v>1364.0637394663543</v>
      </c>
    </row>
    <row r="88" spans="1:53" x14ac:dyDescent="0.2">
      <c r="A88" t="s">
        <v>541</v>
      </c>
    </row>
    <row r="90" spans="1:53" x14ac:dyDescent="0.2">
      <c r="B90" s="474" t="s">
        <v>539</v>
      </c>
      <c r="C90" s="474"/>
      <c r="D90" s="474"/>
      <c r="E90" s="474"/>
      <c r="F90" s="474" t="s">
        <v>417</v>
      </c>
      <c r="G90" s="474"/>
      <c r="H90" s="474"/>
      <c r="I90" s="474"/>
      <c r="J90" s="474" t="s">
        <v>418</v>
      </c>
      <c r="K90" s="474"/>
      <c r="L90" s="474"/>
      <c r="M90" s="474"/>
      <c r="N90" s="474" t="s">
        <v>419</v>
      </c>
      <c r="O90" s="474"/>
      <c r="P90" s="474"/>
      <c r="Q90" s="474"/>
      <c r="R90" s="474" t="s">
        <v>420</v>
      </c>
      <c r="S90" s="474"/>
      <c r="T90" s="474"/>
      <c r="U90" s="474"/>
      <c r="V90" s="474" t="s">
        <v>421</v>
      </c>
      <c r="W90" s="474"/>
      <c r="X90" s="474"/>
      <c r="Y90" s="474"/>
      <c r="Z90" s="474" t="s">
        <v>422</v>
      </c>
      <c r="AA90" s="474"/>
      <c r="AB90" s="474"/>
      <c r="AC90" s="474"/>
      <c r="AD90" s="474" t="s">
        <v>423</v>
      </c>
      <c r="AE90" s="474"/>
      <c r="AF90" s="474"/>
      <c r="AG90" s="474"/>
      <c r="AH90" s="474" t="s">
        <v>424</v>
      </c>
      <c r="AI90" s="474"/>
      <c r="AJ90" s="474"/>
      <c r="AK90" s="474"/>
      <c r="AL90" s="474" t="s">
        <v>425</v>
      </c>
      <c r="AM90" s="474"/>
      <c r="AN90" s="474"/>
      <c r="AO90" s="474"/>
      <c r="AP90" s="474" t="s">
        <v>426</v>
      </c>
      <c r="AQ90" s="474"/>
      <c r="AR90" s="474"/>
      <c r="AS90" s="474"/>
      <c r="AT90" s="474" t="s">
        <v>427</v>
      </c>
      <c r="AU90" s="474"/>
      <c r="AV90" s="474"/>
      <c r="AW90" s="474"/>
    </row>
    <row r="91" spans="1:53" x14ac:dyDescent="0.2">
      <c r="B91" t="s">
        <v>482</v>
      </c>
      <c r="C91" t="s">
        <v>483</v>
      </c>
      <c r="D91" t="s">
        <v>484</v>
      </c>
      <c r="E91" t="s">
        <v>485</v>
      </c>
      <c r="F91" t="s">
        <v>482</v>
      </c>
      <c r="G91" t="s">
        <v>483</v>
      </c>
      <c r="H91" t="s">
        <v>484</v>
      </c>
      <c r="I91" t="s">
        <v>485</v>
      </c>
      <c r="J91" t="s">
        <v>482</v>
      </c>
      <c r="K91" t="s">
        <v>483</v>
      </c>
      <c r="L91" t="s">
        <v>484</v>
      </c>
      <c r="M91" t="s">
        <v>485</v>
      </c>
      <c r="N91" t="s">
        <v>482</v>
      </c>
      <c r="O91" t="s">
        <v>483</v>
      </c>
      <c r="P91" t="s">
        <v>484</v>
      </c>
      <c r="Q91" t="s">
        <v>485</v>
      </c>
      <c r="R91" t="s">
        <v>482</v>
      </c>
      <c r="S91" t="s">
        <v>483</v>
      </c>
      <c r="T91" t="s">
        <v>484</v>
      </c>
      <c r="U91" t="s">
        <v>485</v>
      </c>
      <c r="V91" t="s">
        <v>482</v>
      </c>
      <c r="W91" t="s">
        <v>483</v>
      </c>
      <c r="X91" t="s">
        <v>484</v>
      </c>
      <c r="Y91" t="s">
        <v>485</v>
      </c>
      <c r="Z91" t="s">
        <v>482</v>
      </c>
      <c r="AA91" t="s">
        <v>483</v>
      </c>
      <c r="AB91" t="s">
        <v>484</v>
      </c>
      <c r="AC91" t="s">
        <v>485</v>
      </c>
      <c r="AD91" t="s">
        <v>482</v>
      </c>
      <c r="AE91" t="s">
        <v>483</v>
      </c>
      <c r="AF91" t="s">
        <v>484</v>
      </c>
      <c r="AG91" t="s">
        <v>485</v>
      </c>
      <c r="AH91" t="s">
        <v>482</v>
      </c>
      <c r="AI91" t="s">
        <v>483</v>
      </c>
      <c r="AJ91" t="s">
        <v>484</v>
      </c>
      <c r="AK91" t="s">
        <v>485</v>
      </c>
      <c r="AL91" t="s">
        <v>482</v>
      </c>
      <c r="AM91" t="s">
        <v>483</v>
      </c>
      <c r="AN91" t="s">
        <v>484</v>
      </c>
      <c r="AO91" t="s">
        <v>485</v>
      </c>
      <c r="AP91" t="s">
        <v>482</v>
      </c>
      <c r="AQ91" t="s">
        <v>483</v>
      </c>
      <c r="AR91" t="s">
        <v>484</v>
      </c>
      <c r="AS91" t="s">
        <v>485</v>
      </c>
      <c r="AT91" t="s">
        <v>482</v>
      </c>
      <c r="AU91" t="s">
        <v>483</v>
      </c>
      <c r="AV91" t="s">
        <v>484</v>
      </c>
      <c r="AW91" t="s">
        <v>485</v>
      </c>
    </row>
    <row r="92" spans="1:53" x14ac:dyDescent="0.2">
      <c r="A92" t="s">
        <v>396</v>
      </c>
      <c r="B92" s="39" cm="1">
        <f t="array" ref="B92:E94">N84:Q86</f>
        <v>-699.79819304919909</v>
      </c>
      <c r="C92">
        <v>-419.69372372230879</v>
      </c>
      <c r="D92">
        <v>-401.09596620976652</v>
      </c>
      <c r="E92">
        <v>-401.3541556570122</v>
      </c>
      <c r="F92" s="39" cm="1">
        <f t="array" ref="F92:I94">AH84:AK86</f>
        <v>-648.84308603678051</v>
      </c>
      <c r="G92">
        <v>-304.25489623305378</v>
      </c>
      <c r="H92">
        <v>-299.97565611049288</v>
      </c>
      <c r="I92">
        <v>-301.46872342163573</v>
      </c>
      <c r="J92" s="39" cm="1">
        <f t="array" ref="J92:M94">F84:I86</f>
        <v>-147.25108986251178</v>
      </c>
      <c r="K92">
        <v>-49.594972407450143</v>
      </c>
      <c r="L92">
        <v>-36.59041819189401</v>
      </c>
      <c r="M92">
        <v>-62.219617462871724</v>
      </c>
      <c r="N92" s="39" cm="1">
        <f t="array" ref="N92:Q94">B84:E86</f>
        <v>-103.68407102458544</v>
      </c>
      <c r="O92">
        <v>6.1683398023736125</v>
      </c>
      <c r="P92">
        <v>7.8470653363089617</v>
      </c>
      <c r="Q92">
        <v>4.719714008910497</v>
      </c>
      <c r="R92" s="39" cm="1">
        <f t="array" ref="R92:U94">Z84:AC86</f>
        <v>-64.300700727282162</v>
      </c>
      <c r="S92">
        <v>17.594651558635704</v>
      </c>
      <c r="T92">
        <v>18.438075954840556</v>
      </c>
      <c r="U92">
        <v>16.558920010211601</v>
      </c>
      <c r="V92" s="39" cm="1">
        <f t="array" ref="V92:Y94">R84:U86</f>
        <v>-91.649170233514013</v>
      </c>
      <c r="W92">
        <v>14.773383713492176</v>
      </c>
      <c r="X92">
        <v>16.18762031886024</v>
      </c>
      <c r="Y92">
        <v>13.287159477436155</v>
      </c>
      <c r="Z92" s="39" cm="1">
        <f t="array" ref="Z92:AC94">AT84:AW86</f>
        <v>-28.772144366256867</v>
      </c>
      <c r="AA92">
        <v>19.530238486901556</v>
      </c>
      <c r="AB92">
        <v>22.059280614898476</v>
      </c>
      <c r="AC92">
        <v>17.151377494169783</v>
      </c>
      <c r="AD92" s="39" cm="1">
        <f t="array" ref="AD92:AG94">J84:M86</f>
        <v>-115.37523059474897</v>
      </c>
      <c r="AE92">
        <v>2.4859853230573123</v>
      </c>
      <c r="AF92">
        <v>14.774069722358451</v>
      </c>
      <c r="AG92">
        <v>-10.563560409173142</v>
      </c>
      <c r="AH92" s="39" cm="1">
        <f t="array" ref="AH92:AK94">AX84:BA86</f>
        <v>440.39269970053766</v>
      </c>
      <c r="AI92">
        <v>491.29637745383661</v>
      </c>
      <c r="AJ92">
        <v>492.60917810076006</v>
      </c>
      <c r="AK92">
        <v>725.36107611275634</v>
      </c>
      <c r="AL92" s="39" cm="1">
        <f t="array" ref="AL92:AO94">AP84:AS86</f>
        <v>713.63168644323298</v>
      </c>
      <c r="AM92">
        <v>725.03485554386248</v>
      </c>
      <c r="AN92">
        <v>728.94648460224369</v>
      </c>
      <c r="AO92">
        <v>720.40228531718321</v>
      </c>
      <c r="AP92" s="39" cm="1">
        <f t="array" ref="AP92:AS94">AD84:AG86</f>
        <v>2521.2529237130702</v>
      </c>
      <c r="AQ92">
        <v>2648.6894676309089</v>
      </c>
      <c r="AR92">
        <v>2661.84673193035</v>
      </c>
      <c r="AS92">
        <v>2633.022657631454</v>
      </c>
      <c r="AT92" s="39" cm="1">
        <f t="array" ref="AT92:AW94">AL84:AO86</f>
        <v>5323.3564232371937</v>
      </c>
      <c r="AU92">
        <v>5826.7730574359157</v>
      </c>
      <c r="AV92">
        <v>5827.0113172950978</v>
      </c>
      <c r="AW92">
        <v>5826.1009655591342</v>
      </c>
    </row>
    <row r="93" spans="1:53" x14ac:dyDescent="0.2">
      <c r="A93" t="s">
        <v>397</v>
      </c>
      <c r="B93">
        <v>-1597.445185573697</v>
      </c>
      <c r="C93">
        <v>-1566.6780337102152</v>
      </c>
      <c r="D93">
        <v>-1515.9910284909645</v>
      </c>
      <c r="E93">
        <v>-1566.4390358603027</v>
      </c>
      <c r="F93">
        <v>-1020.9646042901089</v>
      </c>
      <c r="G93">
        <v>-317.84431460456051</v>
      </c>
      <c r="H93">
        <v>-317.12902242936099</v>
      </c>
      <c r="I93">
        <v>-315.40939794981477</v>
      </c>
      <c r="J93">
        <v>-188.47656133331321</v>
      </c>
      <c r="K93">
        <v>-18.792202972021478</v>
      </c>
      <c r="L93">
        <v>-2.3235761946775204</v>
      </c>
      <c r="M93">
        <v>-35.917147045622279</v>
      </c>
      <c r="N93">
        <v>-208.60409454751166</v>
      </c>
      <c r="O93">
        <v>36.021425865416127</v>
      </c>
      <c r="P93">
        <v>37.562949160352183</v>
      </c>
      <c r="Q93">
        <v>33.952001546482713</v>
      </c>
      <c r="R93">
        <v>-116.98434706000795</v>
      </c>
      <c r="S93">
        <v>81.355689790804149</v>
      </c>
      <c r="T93">
        <v>82.104887110268749</v>
      </c>
      <c r="U93">
        <v>80.472015415522264</v>
      </c>
      <c r="V93">
        <v>-184.70999517307476</v>
      </c>
      <c r="W93">
        <v>56.851658608155823</v>
      </c>
      <c r="X93">
        <v>58.752417415895614</v>
      </c>
      <c r="Y93">
        <v>55.21766807486955</v>
      </c>
      <c r="Z93">
        <v>-63.798446358483261</v>
      </c>
      <c r="AA93">
        <v>43.937396563479098</v>
      </c>
      <c r="AB93">
        <v>46.861302219534743</v>
      </c>
      <c r="AC93">
        <v>40.626602959238348</v>
      </c>
      <c r="AD93">
        <v>-126.46716848337117</v>
      </c>
      <c r="AE93">
        <v>114.33223482335926</v>
      </c>
      <c r="AF93">
        <v>129.49107004201045</v>
      </c>
      <c r="AG93">
        <v>96.618817829335214</v>
      </c>
      <c r="AH93">
        <v>787.93324306909767</v>
      </c>
      <c r="AI93">
        <v>809.25842027225258</v>
      </c>
      <c r="AJ93">
        <v>810.80843004047597</v>
      </c>
      <c r="AK93">
        <v>1013.5875428968309</v>
      </c>
      <c r="AL93">
        <v>947.79213114936476</v>
      </c>
      <c r="AM93">
        <v>966.78427659909858</v>
      </c>
      <c r="AN93">
        <v>971.24374668534108</v>
      </c>
      <c r="AO93">
        <v>960.93243798449294</v>
      </c>
      <c r="AP93">
        <v>3363.2034296960442</v>
      </c>
      <c r="AQ93">
        <v>3587.1665175260418</v>
      </c>
      <c r="AR93">
        <v>3603.6346274936345</v>
      </c>
      <c r="AS93">
        <v>3566.5830878239526</v>
      </c>
      <c r="AT93">
        <v>8749.7393807482204</v>
      </c>
      <c r="AU93">
        <v>9465.401651850023</v>
      </c>
      <c r="AV93">
        <v>9465.9755306490861</v>
      </c>
      <c r="AW93">
        <v>9464.7432417531836</v>
      </c>
    </row>
    <row r="94" spans="1:53" x14ac:dyDescent="0.2">
      <c r="A94" t="s">
        <v>398</v>
      </c>
      <c r="B94">
        <v>-2744.4910346244042</v>
      </c>
      <c r="C94">
        <v>-3144.5210008809845</v>
      </c>
      <c r="D94">
        <v>-3096.2729028728199</v>
      </c>
      <c r="E94">
        <v>-3118.9326438960852</v>
      </c>
      <c r="F94">
        <v>-1558.348119167021</v>
      </c>
      <c r="G94">
        <v>-295.46580918616377</v>
      </c>
      <c r="H94">
        <v>-296.96993741704199</v>
      </c>
      <c r="I94">
        <v>-302.57030230350364</v>
      </c>
      <c r="J94">
        <v>-252.91361700800434</v>
      </c>
      <c r="K94">
        <v>29.684613584582852</v>
      </c>
      <c r="L94">
        <v>48.625362573938034</v>
      </c>
      <c r="M94">
        <v>7.0882465777951467</v>
      </c>
      <c r="N94">
        <v>-392.72374835979025</v>
      </c>
      <c r="O94">
        <v>73.009078419941432</v>
      </c>
      <c r="P94">
        <v>75.887813673364349</v>
      </c>
      <c r="Q94">
        <v>71.222599894117167</v>
      </c>
      <c r="R94">
        <v>-212.24923628253569</v>
      </c>
      <c r="S94">
        <v>169.37477173448937</v>
      </c>
      <c r="T94">
        <v>170.03062168239589</v>
      </c>
      <c r="U94">
        <v>167.93168984516782</v>
      </c>
      <c r="V94">
        <v>-333.59300606704005</v>
      </c>
      <c r="W94">
        <v>127.14256171495425</v>
      </c>
      <c r="X94">
        <v>129.39548261678235</v>
      </c>
      <c r="Y94">
        <v>124.87676338384044</v>
      </c>
      <c r="Z94">
        <v>-118.08063330250002</v>
      </c>
      <c r="AA94">
        <v>84.699111719206655</v>
      </c>
      <c r="AB94">
        <v>88.213630910389611</v>
      </c>
      <c r="AC94">
        <v>80.605200004141722</v>
      </c>
      <c r="AD94">
        <v>-139.04476406631682</v>
      </c>
      <c r="AE94">
        <v>295.38314911849022</v>
      </c>
      <c r="AF94">
        <v>313.62785926029937</v>
      </c>
      <c r="AG94">
        <v>272.76198100087095</v>
      </c>
      <c r="AH94">
        <v>1308.6713519826387</v>
      </c>
      <c r="AI94">
        <v>1209.020011290678</v>
      </c>
      <c r="AJ94">
        <v>1210.9799746818021</v>
      </c>
      <c r="AK94">
        <v>1364.0637394663543</v>
      </c>
      <c r="AL94">
        <v>1253.4712158022692</v>
      </c>
      <c r="AM94">
        <v>1206.2595990787513</v>
      </c>
      <c r="AN94">
        <v>1211.4696783161867</v>
      </c>
      <c r="AO94">
        <v>1198.8127349741615</v>
      </c>
      <c r="AP94">
        <v>4394.8812876297907</v>
      </c>
      <c r="AQ94">
        <v>4539.7204748220038</v>
      </c>
      <c r="AR94">
        <v>4559.6453149956569</v>
      </c>
      <c r="AS94">
        <v>4513.4784092431319</v>
      </c>
      <c r="AT94">
        <v>11563.412256963358</v>
      </c>
      <c r="AU94">
        <v>13302.725768431668</v>
      </c>
      <c r="AV94">
        <v>13303.225747098222</v>
      </c>
      <c r="AW94">
        <v>13301.749757027941</v>
      </c>
    </row>
  </sheetData>
  <mergeCells count="190">
    <mergeCell ref="AX5:BA5"/>
    <mergeCell ref="B5:E5"/>
    <mergeCell ref="F5:I5"/>
    <mergeCell ref="J5:M5"/>
    <mergeCell ref="R5:U5"/>
    <mergeCell ref="V5:Y5"/>
    <mergeCell ref="Z5:AC5"/>
    <mergeCell ref="N5:Q5"/>
    <mergeCell ref="AH14:AK14"/>
    <mergeCell ref="AL14:AO14"/>
    <mergeCell ref="AP14:AS14"/>
    <mergeCell ref="AT14:AW14"/>
    <mergeCell ref="V14:Y14"/>
    <mergeCell ref="R14:U14"/>
    <mergeCell ref="J14:M14"/>
    <mergeCell ref="AD5:AG5"/>
    <mergeCell ref="AH5:AK5"/>
    <mergeCell ref="AL5:AO5"/>
    <mergeCell ref="AP5:AS5"/>
    <mergeCell ref="AT5:AW5"/>
    <mergeCell ref="AD6:AG6"/>
    <mergeCell ref="AH6:AK6"/>
    <mergeCell ref="AL6:AO6"/>
    <mergeCell ref="AP6:AS6"/>
    <mergeCell ref="AT6:AW6"/>
    <mergeCell ref="AX6:BA6"/>
    <mergeCell ref="B6:E6"/>
    <mergeCell ref="F6:I6"/>
    <mergeCell ref="J6:M6"/>
    <mergeCell ref="R6:U6"/>
    <mergeCell ref="V6:Y6"/>
    <mergeCell ref="Z6:AC6"/>
    <mergeCell ref="N6:Q6"/>
    <mergeCell ref="N14:Q14"/>
    <mergeCell ref="B24:E24"/>
    <mergeCell ref="F24:I24"/>
    <mergeCell ref="J24:M24"/>
    <mergeCell ref="N24:Q24"/>
    <mergeCell ref="R24:U24"/>
    <mergeCell ref="V24:Y24"/>
    <mergeCell ref="Z24:AC24"/>
    <mergeCell ref="AD24:AG24"/>
    <mergeCell ref="B14:E14"/>
    <mergeCell ref="F14:I14"/>
    <mergeCell ref="Z14:AC14"/>
    <mergeCell ref="AD14:AG14"/>
    <mergeCell ref="AP24:AS24"/>
    <mergeCell ref="AT24:AW24"/>
    <mergeCell ref="AX24:BA24"/>
    <mergeCell ref="B25:E25"/>
    <mergeCell ref="F25:I25"/>
    <mergeCell ref="J25:M25"/>
    <mergeCell ref="N25:Q25"/>
    <mergeCell ref="R25:U25"/>
    <mergeCell ref="V25:Y25"/>
    <mergeCell ref="AX25:BA25"/>
    <mergeCell ref="Z25:AC25"/>
    <mergeCell ref="AD25:AG25"/>
    <mergeCell ref="AH25:AK25"/>
    <mergeCell ref="AL25:AO25"/>
    <mergeCell ref="AP25:AS25"/>
    <mergeCell ref="AT25:AW25"/>
    <mergeCell ref="AH24:AK24"/>
    <mergeCell ref="AL24:AO24"/>
    <mergeCell ref="F43:I43"/>
    <mergeCell ref="J43:M43"/>
    <mergeCell ref="N43:Q43"/>
    <mergeCell ref="R43:U43"/>
    <mergeCell ref="V43:Y43"/>
    <mergeCell ref="AL33:AO33"/>
    <mergeCell ref="AP33:AS33"/>
    <mergeCell ref="AT33:AW33"/>
    <mergeCell ref="B33:E33"/>
    <mergeCell ref="F33:I33"/>
    <mergeCell ref="J33:M33"/>
    <mergeCell ref="N33:Q33"/>
    <mergeCell ref="R33:U33"/>
    <mergeCell ref="V33:Y33"/>
    <mergeCell ref="Z33:AC33"/>
    <mergeCell ref="AD33:AG33"/>
    <mergeCell ref="AH33:AK33"/>
    <mergeCell ref="AX44:BA44"/>
    <mergeCell ref="B52:E52"/>
    <mergeCell ref="F52:I52"/>
    <mergeCell ref="J52:M52"/>
    <mergeCell ref="N52:Q52"/>
    <mergeCell ref="R52:U52"/>
    <mergeCell ref="V52:Y52"/>
    <mergeCell ref="AX43:BA43"/>
    <mergeCell ref="B44:E44"/>
    <mergeCell ref="F44:I44"/>
    <mergeCell ref="J44:M44"/>
    <mergeCell ref="N44:Q44"/>
    <mergeCell ref="R44:U44"/>
    <mergeCell ref="V44:Y44"/>
    <mergeCell ref="Z44:AC44"/>
    <mergeCell ref="AD44:AG44"/>
    <mergeCell ref="AH44:AK44"/>
    <mergeCell ref="Z43:AC43"/>
    <mergeCell ref="AD43:AG43"/>
    <mergeCell ref="AH43:AK43"/>
    <mergeCell ref="AL43:AO43"/>
    <mergeCell ref="AP43:AS43"/>
    <mergeCell ref="AT43:AW43"/>
    <mergeCell ref="B43:E43"/>
    <mergeCell ref="AP62:AS62"/>
    <mergeCell ref="Z52:AC52"/>
    <mergeCell ref="AD52:AG52"/>
    <mergeCell ref="AH52:AK52"/>
    <mergeCell ref="AL52:AO52"/>
    <mergeCell ref="AP52:AS52"/>
    <mergeCell ref="AT52:AW52"/>
    <mergeCell ref="AL44:AO44"/>
    <mergeCell ref="AP44:AS44"/>
    <mergeCell ref="AT44:AW44"/>
    <mergeCell ref="AT62:AW62"/>
    <mergeCell ref="AX62:BA62"/>
    <mergeCell ref="B63:E63"/>
    <mergeCell ref="F63:I63"/>
    <mergeCell ref="J63:M63"/>
    <mergeCell ref="N63:Q63"/>
    <mergeCell ref="R63:U63"/>
    <mergeCell ref="V63:Y63"/>
    <mergeCell ref="AX63:BA63"/>
    <mergeCell ref="Z63:AC63"/>
    <mergeCell ref="AD63:AG63"/>
    <mergeCell ref="AH63:AK63"/>
    <mergeCell ref="AL63:AO63"/>
    <mergeCell ref="AP63:AS63"/>
    <mergeCell ref="AT63:AW63"/>
    <mergeCell ref="B62:E62"/>
    <mergeCell ref="F62:I62"/>
    <mergeCell ref="J62:M62"/>
    <mergeCell ref="N62:Q62"/>
    <mergeCell ref="R62:U62"/>
    <mergeCell ref="V62:Y62"/>
    <mergeCell ref="Z62:AC62"/>
    <mergeCell ref="AD62:AG62"/>
    <mergeCell ref="AH62:AK62"/>
    <mergeCell ref="AL62:AO62"/>
    <mergeCell ref="F81:I81"/>
    <mergeCell ref="J81:M81"/>
    <mergeCell ref="N81:Q81"/>
    <mergeCell ref="R81:U81"/>
    <mergeCell ref="V81:Y81"/>
    <mergeCell ref="AL71:AO71"/>
    <mergeCell ref="AP71:AS71"/>
    <mergeCell ref="AT71:AW71"/>
    <mergeCell ref="B71:E71"/>
    <mergeCell ref="F71:I71"/>
    <mergeCell ref="J71:M71"/>
    <mergeCell ref="N71:Q71"/>
    <mergeCell ref="R71:U71"/>
    <mergeCell ref="V71:Y71"/>
    <mergeCell ref="Z71:AC71"/>
    <mergeCell ref="AD71:AG71"/>
    <mergeCell ref="AH71:AK71"/>
    <mergeCell ref="AX82:BA82"/>
    <mergeCell ref="B90:E90"/>
    <mergeCell ref="F90:I90"/>
    <mergeCell ref="J90:M90"/>
    <mergeCell ref="N90:Q90"/>
    <mergeCell ref="R90:U90"/>
    <mergeCell ref="V90:Y90"/>
    <mergeCell ref="AX81:BA81"/>
    <mergeCell ref="B82:E82"/>
    <mergeCell ref="F82:I82"/>
    <mergeCell ref="J82:M82"/>
    <mergeCell ref="N82:Q82"/>
    <mergeCell ref="R82:U82"/>
    <mergeCell ref="V82:Y82"/>
    <mergeCell ref="Z82:AC82"/>
    <mergeCell ref="AD82:AG82"/>
    <mergeCell ref="AH82:AK82"/>
    <mergeCell ref="Z81:AC81"/>
    <mergeCell ref="AD81:AG81"/>
    <mergeCell ref="AH81:AK81"/>
    <mergeCell ref="AL81:AO81"/>
    <mergeCell ref="AP81:AS81"/>
    <mergeCell ref="AT81:AW81"/>
    <mergeCell ref="B81:E81"/>
    <mergeCell ref="Z90:AC90"/>
    <mergeCell ref="AD90:AG90"/>
    <mergeCell ref="AH90:AK90"/>
    <mergeCell ref="AL90:AO90"/>
    <mergeCell ref="AP90:AS90"/>
    <mergeCell ref="AT90:AW90"/>
    <mergeCell ref="AL82:AO82"/>
    <mergeCell ref="AP82:AS82"/>
    <mergeCell ref="AT82:AW82"/>
  </mergeCells>
  <phoneticPr fontId="10"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1F88A-F994-3F43-BB76-5BFFB28DCEB4}">
  <dimension ref="A1:Y381"/>
  <sheetViews>
    <sheetView zoomScale="165" zoomScaleNormal="150" workbookViewId="0">
      <selection activeCell="AB357" sqref="AB357"/>
    </sheetView>
  </sheetViews>
  <sheetFormatPr baseColWidth="10" defaultRowHeight="15" x14ac:dyDescent="0.2"/>
  <sheetData>
    <row r="1" spans="1:25" x14ac:dyDescent="0.2">
      <c r="A1" s="32" t="s">
        <v>567</v>
      </c>
    </row>
    <row r="2" spans="1:25" x14ac:dyDescent="0.2">
      <c r="A2">
        <v>0</v>
      </c>
    </row>
    <row r="3" spans="1:25" x14ac:dyDescent="0.2">
      <c r="A3" t="s">
        <v>490</v>
      </c>
    </row>
    <row r="4" spans="1:25" x14ac:dyDescent="0.2">
      <c r="B4" s="474">
        <f>VLOOKUP(B5,'1. Introduction &amp; Notes'!$C$17:$D$28,2,FALSE)</f>
        <v>18100204</v>
      </c>
      <c r="C4" s="474"/>
      <c r="D4" s="474"/>
      <c r="E4" s="474">
        <f>VLOOKUP(E5,'1. Introduction &amp; Notes'!$C$17:$D$28,2,FALSE)</f>
        <v>16040201</v>
      </c>
      <c r="F4" s="474"/>
      <c r="G4" s="474"/>
      <c r="H4" s="474">
        <f>VLOOKUP(H5,'1. Introduction &amp; Notes'!$C$17:$D$28,2,FALSE)</f>
        <v>15030202</v>
      </c>
      <c r="I4" s="474"/>
      <c r="J4" s="474"/>
      <c r="K4" s="474">
        <f>VLOOKUP(K5,'1. Introduction &amp; Notes'!$C$17:$D$28,2,FALSE)</f>
        <v>16060011</v>
      </c>
      <c r="L4" s="474"/>
      <c r="M4" s="474"/>
      <c r="N4" s="474">
        <f>VLOOKUP(N5,'1. Introduction &amp; Notes'!$C$17:$D$28,2,FALSE)</f>
        <v>16060003</v>
      </c>
      <c r="O4" s="474"/>
      <c r="P4" s="474"/>
      <c r="Q4" s="474">
        <f>VLOOKUP(Q5,'1. Introduction &amp; Notes'!$C$17:$D$28,2,FALSE)</f>
        <v>16060013</v>
      </c>
      <c r="R4" s="474"/>
      <c r="S4" s="474"/>
      <c r="T4" s="474">
        <f>VLOOKUP(T5,'1. Introduction &amp; Notes'!$C$17:$D$28,2,FALSE)</f>
        <v>16060010</v>
      </c>
      <c r="U4" s="474"/>
      <c r="V4" s="474"/>
      <c r="W4" s="474">
        <f>VLOOKUP(W5,'1. Introduction &amp; Notes'!$C$17:$D$28,2,FALSE)</f>
        <v>15030201</v>
      </c>
      <c r="X4" s="474"/>
      <c r="Y4" s="474"/>
    </row>
    <row r="5" spans="1:25" x14ac:dyDescent="0.2">
      <c r="B5" s="474" t="s">
        <v>539</v>
      </c>
      <c r="C5" s="474"/>
      <c r="D5" s="474"/>
      <c r="E5" s="474" t="s">
        <v>417</v>
      </c>
      <c r="F5" s="474"/>
      <c r="G5" s="474"/>
      <c r="H5" s="481" t="s">
        <v>418</v>
      </c>
      <c r="I5" s="481"/>
      <c r="J5" s="481"/>
      <c r="K5" s="481" t="s">
        <v>419</v>
      </c>
      <c r="L5" s="481"/>
      <c r="M5" s="481"/>
      <c r="N5" s="481" t="s">
        <v>420</v>
      </c>
      <c r="O5" s="481"/>
      <c r="P5" s="481"/>
      <c r="Q5" s="481" t="s">
        <v>421</v>
      </c>
      <c r="R5" s="481"/>
      <c r="S5" s="481"/>
      <c r="T5" s="481" t="s">
        <v>422</v>
      </c>
      <c r="U5" s="481"/>
      <c r="V5" s="481"/>
      <c r="W5" s="481" t="s">
        <v>423</v>
      </c>
      <c r="X5" s="481"/>
      <c r="Y5" s="481"/>
    </row>
    <row r="6" spans="1:25" x14ac:dyDescent="0.2">
      <c r="B6" t="s">
        <v>440</v>
      </c>
      <c r="C6" t="s">
        <v>441</v>
      </c>
      <c r="D6" t="s">
        <v>442</v>
      </c>
      <c r="E6" t="s">
        <v>440</v>
      </c>
      <c r="F6" t="s">
        <v>441</v>
      </c>
      <c r="G6" t="s">
        <v>442</v>
      </c>
      <c r="H6" t="s">
        <v>440</v>
      </c>
      <c r="I6" t="s">
        <v>441</v>
      </c>
      <c r="J6" t="s">
        <v>442</v>
      </c>
      <c r="K6" t="s">
        <v>440</v>
      </c>
      <c r="L6" t="s">
        <v>441</v>
      </c>
      <c r="M6" t="s">
        <v>442</v>
      </c>
      <c r="N6" t="s">
        <v>440</v>
      </c>
      <c r="O6" t="s">
        <v>441</v>
      </c>
      <c r="P6" t="s">
        <v>442</v>
      </c>
      <c r="Q6" t="s">
        <v>440</v>
      </c>
      <c r="R6" t="s">
        <v>441</v>
      </c>
      <c r="S6" t="s">
        <v>442</v>
      </c>
      <c r="T6" t="s">
        <v>440</v>
      </c>
      <c r="U6" t="s">
        <v>441</v>
      </c>
      <c r="V6" t="s">
        <v>442</v>
      </c>
      <c r="W6" t="s">
        <v>440</v>
      </c>
      <c r="X6" t="s">
        <v>441</v>
      </c>
      <c r="Y6" t="s">
        <v>442</v>
      </c>
    </row>
    <row r="7" spans="1:25" x14ac:dyDescent="0.2">
      <c r="A7" t="s">
        <v>436</v>
      </c>
      <c r="B7">
        <f>VLOOKUP(B4,'8. Uncertainty Results'!$B$223:$E$235,2,FALSE)*(cubicm/gal)*(day/yr)</f>
        <v>652.08077277725215</v>
      </c>
      <c r="C7">
        <f>B7</f>
        <v>652.08077277725215</v>
      </c>
      <c r="D7">
        <f>B7</f>
        <v>652.08077277725215</v>
      </c>
      <c r="E7">
        <f>VLOOKUP(E4,'8. Uncertainty Results'!$B$223:$E$235,2,FALSE)*(cubicm/gal)*(day/yr)</f>
        <v>217.07336986007999</v>
      </c>
      <c r="F7">
        <f>E7</f>
        <v>217.07336986007999</v>
      </c>
      <c r="G7">
        <f>E7</f>
        <v>217.07336986007999</v>
      </c>
      <c r="H7">
        <f>VLOOKUP(H4,'8. Uncertainty Results'!$B$223:$E$235,2,FALSE)*(cubicm/gal)*(day/yr)</f>
        <v>57.847861519532067</v>
      </c>
      <c r="I7">
        <f>H7</f>
        <v>57.847861519532067</v>
      </c>
      <c r="J7">
        <f>H7</f>
        <v>57.847861519532067</v>
      </c>
      <c r="K7">
        <f>VLOOKUP(K4,'8. Uncertainty Results'!$B$223:$E$235,2,FALSE)*(cubicm/gal)*(day/yr)</f>
        <v>51.099256770787413</v>
      </c>
      <c r="L7">
        <f>K7</f>
        <v>51.099256770787413</v>
      </c>
      <c r="M7">
        <f>K7</f>
        <v>51.099256770787413</v>
      </c>
      <c r="N7">
        <f>VLOOKUP(N4,'8. Uncertainty Results'!$B$223:$E$235,2,FALSE)*(cubicm/gal)*(day/yr)</f>
        <v>34.123955127160805</v>
      </c>
      <c r="O7">
        <f>N7</f>
        <v>34.123955127160805</v>
      </c>
      <c r="P7">
        <f>N7</f>
        <v>34.123955127160805</v>
      </c>
      <c r="Q7">
        <f>VLOOKUP(Q4,'8. Uncertainty Results'!$B$223:$E$235,2,FALSE)*(cubicm/gal)*(day/yr)</f>
        <v>45.285460559899384</v>
      </c>
      <c r="R7">
        <f>Q7</f>
        <v>45.285460559899384</v>
      </c>
      <c r="S7">
        <f>Q7</f>
        <v>45.285460559899384</v>
      </c>
      <c r="T7">
        <f>VLOOKUP(T4,'8. Uncertainty Results'!$B$223:$E$234,2,FALSE)*(cubicm/gal)*(day/yr)</f>
        <v>52.647375747461503</v>
      </c>
      <c r="U7">
        <f>T7</f>
        <v>52.647375747461503</v>
      </c>
      <c r="V7">
        <f>T7</f>
        <v>52.647375747461503</v>
      </c>
      <c r="W7">
        <f>VLOOKUP(W4,'8. Uncertainty Results'!$B$223:$E$235,2,FALSE)*(cubicm/gal)*(day/yr)</f>
        <v>108.6325076199192</v>
      </c>
      <c r="X7">
        <f>W7</f>
        <v>108.6325076199192</v>
      </c>
      <c r="Y7">
        <f>W7</f>
        <v>108.6325076199192</v>
      </c>
    </row>
    <row r="8" spans="1:25" x14ac:dyDescent="0.2">
      <c r="A8" t="s">
        <v>437</v>
      </c>
      <c r="B8">
        <f>VLOOKUP(B4,'8. Uncertainty Results'!$B$223:$E$235,4,FALSE)*(cubicm/gal)*(day/yr)</f>
        <v>837.57839624321036</v>
      </c>
      <c r="C8">
        <f>B8</f>
        <v>837.57839624321036</v>
      </c>
      <c r="D8">
        <f>B8</f>
        <v>837.57839624321036</v>
      </c>
      <c r="E8">
        <f>VLOOKUP(E4,'8. Uncertainty Results'!$B$223:$E$235,4,FALSE)*(cubicm/gal)*(day/yr)</f>
        <v>965.7738387558029</v>
      </c>
      <c r="F8">
        <f>E8</f>
        <v>965.7738387558029</v>
      </c>
      <c r="G8">
        <f>E8</f>
        <v>965.7738387558029</v>
      </c>
      <c r="H8">
        <f>VLOOKUP(H4,'8. Uncertainty Results'!$B$223:$E$235,4,FALSE)*(cubicm/gal)*(day/yr)</f>
        <v>135.98211665027026</v>
      </c>
      <c r="I8">
        <f>H8</f>
        <v>135.98211665027026</v>
      </c>
      <c r="J8">
        <f>H8</f>
        <v>135.98211665027026</v>
      </c>
      <c r="K8">
        <f>VLOOKUP(K4,'8. Uncertainty Results'!$B$223:$E$235,4,FALSE)*(cubicm/gal)*(day/yr)</f>
        <v>110.5433424284812</v>
      </c>
      <c r="L8">
        <f>K8</f>
        <v>110.5433424284812</v>
      </c>
      <c r="M8">
        <f>K8</f>
        <v>110.5433424284812</v>
      </c>
      <c r="N8">
        <f>VLOOKUP(N4,'8. Uncertainty Results'!$B$223:$E$235,4,FALSE)*(cubicm/gal)*(day/yr)</f>
        <v>134.62120246195738</v>
      </c>
      <c r="O8">
        <f>N8</f>
        <v>134.62120246195738</v>
      </c>
      <c r="P8">
        <f>N8</f>
        <v>134.62120246195738</v>
      </c>
      <c r="Q8">
        <f>VLOOKUP(Q4,'8. Uncertainty Results'!$B$223:$E$235,4,FALSE)*(cubicm/gal)*(day/yr)</f>
        <v>143.17294760292413</v>
      </c>
      <c r="R8">
        <f>Q8</f>
        <v>143.17294760292413</v>
      </c>
      <c r="S8">
        <f>Q8</f>
        <v>143.17294760292413</v>
      </c>
      <c r="T8">
        <f>VLOOKUP(T4,'8. Uncertainty Results'!$B$223:$E$235,4,FALSE)*(cubicm/gal)*(day/yr)</f>
        <v>115.81360265230352</v>
      </c>
      <c r="U8">
        <f>T8</f>
        <v>115.81360265230352</v>
      </c>
      <c r="V8">
        <f>T8</f>
        <v>115.81360265230352</v>
      </c>
      <c r="W8">
        <f>VLOOKUP(W4,'8. Uncertainty Results'!$B$223:$E$235,4,FALSE)*(cubicm/gal)*(day/yr)</f>
        <v>304.90359224816785</v>
      </c>
      <c r="X8">
        <f>W8</f>
        <v>304.90359224816785</v>
      </c>
      <c r="Y8">
        <f>W8</f>
        <v>304.90359224816785</v>
      </c>
    </row>
    <row r="9" spans="1:25" x14ac:dyDescent="0.2">
      <c r="A9" t="s">
        <v>438</v>
      </c>
      <c r="B9">
        <f>VLOOKUP(B4,'8. Uncertainty Results'!$A$61:$D$73,2,FALSE)*((cubicm/gal)*(day/yr))</f>
        <v>29.559683783816745</v>
      </c>
      <c r="C9">
        <f>VLOOKUP(B4,'8. Uncertainty Results'!$A$61:$D$73,3,FALSE)*((cubicm/gal)*(day/yr))</f>
        <v>31.01803360245826</v>
      </c>
      <c r="D9">
        <f>VLOOKUP(B4,'8. Uncertainty Results'!$A$61:$D$73,4,FALSE)*((cubicm/gal)*(day/yr))</f>
        <v>32.328758949511204</v>
      </c>
      <c r="E9">
        <f>VLOOKUP(E4,'8. Uncertainty Results'!$A$61:$D$73,2,FALSE)*((cubicm/gal)*(day/yr))</f>
        <v>0</v>
      </c>
      <c r="F9">
        <f>VLOOKUP(E4,'8. Uncertainty Results'!$A$61:$D$73,3,FALSE)*((cubicm/gal)*(day/yr))</f>
        <v>0</v>
      </c>
      <c r="G9">
        <f>VLOOKUP(E4,'8. Uncertainty Results'!$A$61:$D$73,4,FALSE)*((cubicm/gal)*(day/yr))</f>
        <v>0</v>
      </c>
      <c r="H9">
        <f>VLOOKUP(H4,'8. Uncertainty Results'!$A$61:$D$73,2,FALSE)*((cubicm/gal)*(day/yr))</f>
        <v>28.792827775767879</v>
      </c>
      <c r="I9">
        <f>VLOOKUP(H4,'8. Uncertainty Results'!$A$61:$D$73,3,FALSE)*((cubicm/gal)*(day/yr))</f>
        <v>30.707355575842712</v>
      </c>
      <c r="J9">
        <f>VLOOKUP(H4,'8. Uncertainty Results'!$A$61:$D$73,4,FALSE)*((cubicm/gal)*(day/yr))</f>
        <v>32.481738812764306</v>
      </c>
      <c r="K9">
        <f>VLOOKUP(K4,'8. Uncertainty Results'!$A$61:$D$73,2,FALSE)*((cubicm/gal)*(day/yr))</f>
        <v>0.16207734125883871</v>
      </c>
      <c r="L9">
        <f>VLOOKUP(K4,'8. Uncertainty Results'!$A$61:$D$73,3,FALSE)*((cubicm/gal)*(day/yr))</f>
        <v>0.17244395806122892</v>
      </c>
      <c r="M9">
        <f>VLOOKUP(K4,'8. Uncertainty Results'!$A$61:$D$73,4,FALSE)*((cubicm/gal)*(day/yr))</f>
        <v>0.18222012051848227</v>
      </c>
      <c r="N9">
        <f>VLOOKUP(N4,'8. Uncertainty Results'!$A$61:$D$73,2,FALSE)*((cubicm/gal)*(day/yr))</f>
        <v>0.1081047127582476</v>
      </c>
      <c r="O9">
        <f>VLOOKUP(N4,'8. Uncertainty Results'!$A$61:$D$73,3,FALSE)*((cubicm/gal)*(day/yr))</f>
        <v>0.11510348608230016</v>
      </c>
      <c r="P9">
        <f>VLOOKUP(N4,'8. Uncertainty Results'!$A$61:$D$73,4,FALSE)*((cubicm/gal)*(day/yr))</f>
        <v>0.1213786034259822</v>
      </c>
      <c r="Q9">
        <f>VLOOKUP(Q4,'8. Uncertainty Results'!$A$61:$D$73,2,FALSE)*((cubicm/gal)*(day/yr))</f>
        <v>0.1621289998943784</v>
      </c>
      <c r="R9">
        <f>VLOOKUP(Q4,'8. Uncertainty Results'!$A$61:$D$73,3,FALSE)*((cubicm/gal)*(day/yr))</f>
        <v>0.17246815181438288</v>
      </c>
      <c r="S9">
        <f>VLOOKUP(Q4,'8. Uncertainty Results'!$A$61:$D$73,4,FALSE)*((cubicm/gal)*(day/yr))</f>
        <v>0.18209452220786276</v>
      </c>
      <c r="T9">
        <f>VLOOKUP(T4,'8. Uncertainty Results'!$A$61:$D$73,2,FALSE)*((cubicm/gal)*(day/yr))</f>
        <v>23.765251355392081</v>
      </c>
      <c r="U9">
        <f>VLOOKUP(T4,'8. Uncertainty Results'!$A$61:$D$73,3,FALSE)*((cubicm/gal)*(day/yr))</f>
        <v>24.879492684775563</v>
      </c>
      <c r="V9">
        <f>VLOOKUP(T4,'8. Uncertainty Results'!$A$61:$D$73,4,FALSE)*((cubicm/gal)*(day/yr))</f>
        <v>25.87341722125322</v>
      </c>
      <c r="W9">
        <f>VLOOKUP(W4,'8. Uncertainty Results'!$A$61:$D$73,2,FALSE)*((cubicm/gal)*(day/yr))</f>
        <v>28.841914319048765</v>
      </c>
      <c r="X9">
        <f>VLOOKUP(W4,'8. Uncertainty Results'!$A$61:$D$73,3,FALSE)*((cubicm/gal)*(day/yr))</f>
        <v>30.695900625032813</v>
      </c>
      <c r="Y9">
        <f>VLOOKUP(W4,'8. Uncertainty Results'!$A$61:$D$73,4,FALSE)*((cubicm/gal)*(day/yr))</f>
        <v>32.504251707005992</v>
      </c>
    </row>
    <row r="10" spans="1:25" x14ac:dyDescent="0.2">
      <c r="A10" t="s">
        <v>400</v>
      </c>
      <c r="B10">
        <f>VLOOKUP(B4,'8. Uncertainty Results'!$A$61:$CM$73,17,FALSE)*((cubicm/gal)*(day/yr))</f>
        <v>30.159921092458159</v>
      </c>
      <c r="C10">
        <f>VLOOKUP(B4,'8. Uncertainty Results'!$A$61:$CM$73,18,FALSE)*((cubicm/gal)*(day/yr))</f>
        <v>32.343930389549662</v>
      </c>
      <c r="D10">
        <f>VLOOKUP(B4,'8. Uncertainty Results'!$A$61:$CM$73,19,FALSE)*((cubicm/gal)*(day/yr))</f>
        <v>34.383637440380049</v>
      </c>
      <c r="E10">
        <f>VLOOKUP(E4,'8. Uncertainty Results'!$A$61:$CM$73,17,FALSE)*((cubicm/gal)*(day/yr))</f>
        <v>4.2360055591495698</v>
      </c>
      <c r="F10">
        <f>VLOOKUP(E4,'8. Uncertainty Results'!$A$61:$CM$73,18,FALSE)*((cubicm/gal)*(day/yr))</f>
        <v>4.4271246702306071</v>
      </c>
      <c r="G10">
        <f>VLOOKUP(E4,'8. Uncertainty Results'!$A$61:$CM$73,19,FALSE)*((cubicm/gal)*(day/yr))</f>
        <v>4.6361416981204275</v>
      </c>
      <c r="H10">
        <f>VLOOKUP(H4,'8. Uncertainty Results'!$A$61:$CM$73,17,FALSE)*((cubicm/gal)*(day/yr))</f>
        <v>64.79002943738945</v>
      </c>
      <c r="I10">
        <f>VLOOKUP(H4,'8. Uncertainty Results'!$A$61:$CM$73,18,FALSE)*((cubicm/gal)*(day/yr))</f>
        <v>70.016649716674635</v>
      </c>
      <c r="J10">
        <f>VLOOKUP(H4,'8. Uncertainty Results'!$A$61:$CM$73,19,FALSE)*((cubicm/gal)*(day/yr))</f>
        <v>76.304891751750276</v>
      </c>
      <c r="K10">
        <f>VLOOKUP(K4,'8. Uncertainty Results'!$A$61:$CM$73,17,FALSE)*((cubicm/gal)*(day/yr))</f>
        <v>8.5291257448087041</v>
      </c>
      <c r="L10">
        <f>VLOOKUP(K4,'8. Uncertainty Results'!$A$61:$CM$73,18,FALSE)*((cubicm/gal)*(day/yr))</f>
        <v>9.2769051522571004</v>
      </c>
      <c r="M10">
        <f>VLOOKUP(K4,'8. Uncertainty Results'!$A$61:$CM$73,19,FALSE)*((cubicm/gal)*(day/yr))</f>
        <v>10.192023138663197</v>
      </c>
      <c r="N10">
        <f>VLOOKUP(N4,'8. Uncertainty Results'!$A$61:$CM$73,17,FALSE)*((cubicm/gal)*(day/yr))</f>
        <v>5.9522371560220684</v>
      </c>
      <c r="O10">
        <f>VLOOKUP(N4,'8. Uncertainty Results'!$A$61:$CM$73,18,FALSE)*((cubicm/gal)*(day/yr))</f>
        <v>6.4466902580482843</v>
      </c>
      <c r="P10">
        <f>VLOOKUP(N4,'8. Uncertainty Results'!$A$61:$CM$73,19,FALSE)*((cubicm/gal)*(day/yr))</f>
        <v>7.0536745976689961</v>
      </c>
      <c r="Q10">
        <f>VLOOKUP(Q4,'8. Uncertainty Results'!$A$61:$CM$73,17,FALSE)*((cubicm/gal)*(day/yr))</f>
        <v>8.5232981560238592</v>
      </c>
      <c r="R10">
        <f>VLOOKUP(Q4,'8. Uncertainty Results'!$A$61:$CM$73,18,FALSE)*((cubicm/gal)*(day/yr))</f>
        <v>9.2650650843423961</v>
      </c>
      <c r="S10">
        <f>VLOOKUP(Q4,'8. Uncertainty Results'!$A$61:$CM$73,19,FALSE)*((cubicm/gal)*(day/yr))</f>
        <v>10.148173584319304</v>
      </c>
      <c r="T10">
        <f>VLOOKUP(T4,'8. Uncertainty Results'!$A$61:$CM$73,17,FALSE)*((cubicm/gal)*(day/yr))</f>
        <v>1.2690095222540219</v>
      </c>
      <c r="U10">
        <f>VLOOKUP(T4,'8. Uncertainty Results'!$A$61:$CM$73,18,FALSE)*((cubicm/gal)*(day/yr))</f>
        <v>1.3608176645435788</v>
      </c>
      <c r="V10">
        <f>VLOOKUP(T4,'8. Uncertainty Results'!$A$61:$CM$73,19,FALSE)*((cubicm/gal)*(day/yr))</f>
        <v>1.4625927373716507</v>
      </c>
      <c r="W10">
        <f>VLOOKUP(W4,'8. Uncertainty Results'!$A$61:$CM$73,17,FALSE)*((cubicm/gal)*(day/yr))</f>
        <v>64.923543915717261</v>
      </c>
      <c r="X10">
        <f>VLOOKUP(W4,'8. Uncertainty Results'!$A$61:$CM$73,18,FALSE)*((cubicm/gal)*(day/yr))</f>
        <v>70.080809798953865</v>
      </c>
      <c r="Y10">
        <f>VLOOKUP(W4,'8. Uncertainty Results'!$A$61:$CM$73,19,FALSE)*((cubicm/gal)*(day/yr))</f>
        <v>76.270656936749148</v>
      </c>
    </row>
    <row r="11" spans="1:25" x14ac:dyDescent="0.2">
      <c r="A11" t="s">
        <v>401</v>
      </c>
      <c r="B11">
        <f>VLOOKUP(B4,'8. Uncertainty Results'!$A$61:$CM$73,32,FALSE)*((cubicm/gal)*(day/yr))</f>
        <v>0</v>
      </c>
      <c r="C11">
        <f>VLOOKUP(B4,'8. Uncertainty Results'!$A$61:$CM$73,33,FALSE)*((cubicm/gal)*(day/yr))</f>
        <v>0</v>
      </c>
      <c r="D11">
        <f>VLOOKUP(B4,'8. Uncertainty Results'!$A$61:$CM$73,34,FALSE)*((cubicm/gal)*(day/yr))</f>
        <v>0</v>
      </c>
      <c r="E11">
        <f>VLOOKUP(E4,'8. Uncertainty Results'!$A$61:$CM$73,32,FALSE)*((cubicm/gal)*(day/yr))</f>
        <v>0</v>
      </c>
      <c r="F11">
        <f>VLOOKUP(E4,'8. Uncertainty Results'!$A$61:$CM$73,33,FALSE)*((cubicm/gal)*(day/yr))</f>
        <v>0</v>
      </c>
      <c r="G11">
        <f>VLOOKUP(E4,'8. Uncertainty Results'!$A$61:$CM$73,34,FALSE)*((cubicm/gal)*(day/yr))</f>
        <v>0</v>
      </c>
      <c r="H11">
        <f>VLOOKUP(H4,'8. Uncertainty Results'!$A$61:$CM$73,32,FALSE)*((cubicm/gal)*(day/yr))</f>
        <v>0</v>
      </c>
      <c r="I11">
        <f>VLOOKUP(H4,'8. Uncertainty Results'!$A$61:$CM$73,33,FALSE)*((cubicm/gal)*(day/yr))</f>
        <v>0</v>
      </c>
      <c r="J11">
        <f>VLOOKUP(H4,'8. Uncertainty Results'!$A$61:$CM$73,34,FALSE)*((cubicm/gal)*(day/yr))</f>
        <v>0</v>
      </c>
      <c r="K11">
        <f>VLOOKUP(K4,'8. Uncertainty Results'!$A$61:$CM$73,32,FALSE)*((cubicm/gal)*(day/yr))</f>
        <v>0</v>
      </c>
      <c r="L11">
        <f>VLOOKUP(K4,'8. Uncertainty Results'!$A$61:$CM$73,33,FALSE)*((cubicm/gal)*(day/yr))</f>
        <v>0</v>
      </c>
      <c r="M11">
        <f>VLOOKUP(K4,'8. Uncertainty Results'!$A$61:$CM$73,34,FALSE)*((cubicm/gal)*(day/yr))</f>
        <v>0</v>
      </c>
      <c r="N11">
        <f>VLOOKUP(N4,'8. Uncertainty Results'!$A$61:$CM$73,32,FALSE)*((cubicm/gal)*(day/yr))</f>
        <v>0</v>
      </c>
      <c r="O11">
        <f>VLOOKUP(N4,'8. Uncertainty Results'!$A$61:$CM$73,33,FALSE)*((cubicm/gal)*(day/yr))</f>
        <v>0</v>
      </c>
      <c r="P11">
        <f>VLOOKUP(N4,'8. Uncertainty Results'!$A$61:$CM$73,34,FALSE)*((cubicm/gal)*(day/yr))</f>
        <v>0</v>
      </c>
      <c r="Q11">
        <f>VLOOKUP(Q4,'8. Uncertainty Results'!$A$61:$CM$73,32,FALSE)*((cubicm/gal)*(day/yr))</f>
        <v>0</v>
      </c>
      <c r="R11">
        <f>VLOOKUP(Q4,'8. Uncertainty Results'!$A$61:$CM$73,33,FALSE)*((cubicm/gal)*(day/yr))</f>
        <v>0</v>
      </c>
      <c r="S11">
        <f>VLOOKUP(Q4,'8. Uncertainty Results'!$A$61:$CM$73,34,FALSE)*((cubicm/gal)*(day/yr))</f>
        <v>0</v>
      </c>
      <c r="T11">
        <f>VLOOKUP(T4,'8. Uncertainty Results'!$A$61:$CM$73,32,FALSE)*((cubicm/gal)*(day/yr))</f>
        <v>0</v>
      </c>
      <c r="U11">
        <f>VLOOKUP(T4,'8. Uncertainty Results'!$A$61:$CM$73,33,FALSE)*((cubicm/gal)*(day/yr))</f>
        <v>0</v>
      </c>
      <c r="V11">
        <f>VLOOKUP(T4,'8. Uncertainty Results'!$A$61:$CM$73,34,FALSE)*((cubicm/gal)*(day/yr))</f>
        <v>0</v>
      </c>
      <c r="W11">
        <f>VLOOKUP(W4,'8. Uncertainty Results'!$A$61:$CM$73,32,FALSE)*((cubicm/gal)*(day/yr))</f>
        <v>0</v>
      </c>
      <c r="X11">
        <f>VLOOKUP(W4,'8. Uncertainty Results'!$A$61:$CM$73,33,FALSE)*((cubicm/gal)*(day/yr))</f>
        <v>0</v>
      </c>
      <c r="Y11">
        <f>VLOOKUP(W4,'8. Uncertainty Results'!$A$61:$CM$73,34,FALSE)*((cubicm/gal)*(day/yr))</f>
        <v>0</v>
      </c>
    </row>
    <row r="12" spans="1:25" x14ac:dyDescent="0.2">
      <c r="A12" t="s">
        <v>402</v>
      </c>
      <c r="B12">
        <f>VLOOKUP(B4,'8. Uncertainty Results'!$A$61:$CM$73,47,FALSE)*((cubicm/gal)*(day/yr))</f>
        <v>951.9205000970004</v>
      </c>
      <c r="C12">
        <f>VLOOKUP(B4,'8. Uncertainty Results'!$A$61:$CM$73,48,FALSE)*((cubicm/gal)*(day/yr))</f>
        <v>1590.1069435141646</v>
      </c>
      <c r="D12">
        <f>VLOOKUP(B4,'8. Uncertainty Results'!$A$61:$CM$73,49,FALSE)*((cubicm/gal)*(day/yr))</f>
        <v>2167.2139342954142</v>
      </c>
      <c r="E12">
        <f>VLOOKUP(E4,'8. Uncertainty Results'!$A$61:$CM$73,47,FALSE)*((cubicm/gal)*(day/yr))</f>
        <v>454.97094359438393</v>
      </c>
      <c r="F12">
        <f>VLOOKUP(E4,'8. Uncertainty Results'!$A$61:$CM$73,48,FALSE)*((cubicm/gal)*(day/yr))</f>
        <v>584.00509889226919</v>
      </c>
      <c r="G12">
        <f>VLOOKUP(E4,'8. Uncertainty Results'!$A$61:$CM$73,49,FALSE)*((cubicm/gal)*(day/yr))</f>
        <v>754.91503013507725</v>
      </c>
      <c r="H12">
        <f>VLOOKUP(H4,'8. Uncertainty Results'!$A$61:$CM$73,47,FALSE)*((cubicm/gal)*(day/yr))</f>
        <v>99.108750962835614</v>
      </c>
      <c r="I12">
        <f>VLOOKUP(H4,'8. Uncertainty Results'!$A$61:$CM$73,48,FALSE)*((cubicm/gal)*(day/yr))</f>
        <v>138.29093092190934</v>
      </c>
      <c r="J12">
        <f>VLOOKUP(H4,'8. Uncertainty Results'!$A$61:$CM$73,49,FALSE)*((cubicm/gal)*(day/yr))</f>
        <v>176.73555815858359</v>
      </c>
      <c r="K12">
        <f>VLOOKUP(K4,'8. Uncertainty Results'!$A$61:$CM$73,47,FALSE)*((cubicm/gal)*(day/yr))</f>
        <v>61.355764422426468</v>
      </c>
      <c r="L12">
        <f>VLOOKUP(K4,'8. Uncertainty Results'!$A$61:$CM$73,48,FALSE)*((cubicm/gal)*(day/yr))</f>
        <v>95.598624866089565</v>
      </c>
      <c r="M12">
        <f>VLOOKUP(K4,'8. Uncertainty Results'!$A$61:$CM$73,49,FALSE)*((cubicm/gal)*(day/yr))</f>
        <v>141.95019777259944</v>
      </c>
      <c r="N12">
        <f>VLOOKUP(N4,'8. Uncertainty Results'!$A$61:$CM$73,47,FALSE)*((cubicm/gal)*(day/yr))</f>
        <v>43.0433139055149</v>
      </c>
      <c r="O12">
        <f>VLOOKUP(N4,'8. Uncertainty Results'!$A$61:$CM$73,48,FALSE)*((cubicm/gal)*(day/yr))</f>
        <v>67.340459452593507</v>
      </c>
      <c r="P12">
        <f>VLOOKUP(N4,'8. Uncertainty Results'!$A$61:$CM$73,49,FALSE)*((cubicm/gal)*(day/yr))</f>
        <v>99.825471166614776</v>
      </c>
      <c r="Q12">
        <f>VLOOKUP(Q4,'8. Uncertainty Results'!$A$61:$CM$73,47,FALSE)*((cubicm/gal)*(day/yr))</f>
        <v>61.154146008796836</v>
      </c>
      <c r="R12">
        <f>VLOOKUP(Q4,'8. Uncertainty Results'!$A$61:$CM$73,48,FALSE)*((cubicm/gal)*(day/yr))</f>
        <v>95.561089499256155</v>
      </c>
      <c r="S12">
        <f>VLOOKUP(Q4,'8. Uncertainty Results'!$A$61:$CM$73,49,FALSE)*((cubicm/gal)*(day/yr))</f>
        <v>142.94193757547211</v>
      </c>
      <c r="T12">
        <f>VLOOKUP(T4,'8. Uncertainty Results'!$A$61:$CM$73,47,FALSE)*((cubicm/gal)*(day/yr))</f>
        <v>33.814649096349747</v>
      </c>
      <c r="U12">
        <f>VLOOKUP(T4,'8. Uncertainty Results'!$A$61:$CM$73,48,FALSE)*((cubicm/gal)*(day/yr))</f>
        <v>51.510433815576405</v>
      </c>
      <c r="V12">
        <f>VLOOKUP(T4,'8. Uncertainty Results'!$A$61:$CM$73,49,FALSE)*((cubicm/gal)*(day/yr))</f>
        <v>73.570333538928992</v>
      </c>
      <c r="W12">
        <f>VLOOKUP(W4,'8. Uncertainty Results'!$A$61:$CM$73,47,FALSE)*((cubicm/gal)*(day/yr))</f>
        <v>98.547064054826777</v>
      </c>
      <c r="X12">
        <f>VLOOKUP(W4,'8. Uncertainty Results'!$A$61:$CM$73,48,FALSE)*((cubicm/gal)*(day/yr))</f>
        <v>138.7394977317428</v>
      </c>
      <c r="Y12">
        <f>VLOOKUP(W4,'8. Uncertainty Results'!$A$61:$CM$73,49,FALSE)*((cubicm/gal)*(day/yr))</f>
        <v>177.33278192005116</v>
      </c>
    </row>
    <row r="13" spans="1:25" x14ac:dyDescent="0.2">
      <c r="A13" t="s">
        <v>403</v>
      </c>
      <c r="B13">
        <f>VLOOKUP(B4,'8. Uncertainty Results'!$A$61:$CM$73,62,FALSE)*((cubicm/gal)*(day/yr))</f>
        <v>8.0688255339380177</v>
      </c>
      <c r="C13">
        <f>VLOOKUP(B4,'8. Uncertainty Results'!$A$61:$CM$73,63,FALSE)*((cubicm/gal)*(day/yr))</f>
        <v>8.0997835921379995</v>
      </c>
      <c r="D13">
        <f>VLOOKUP(B4,'8. Uncertainty Results'!$A$61:$CM$73,64,FALSE)*((cubicm/gal)*(day/yr))</f>
        <v>8.1425441887952861</v>
      </c>
      <c r="E13">
        <f>VLOOKUP(E4,'8. Uncertainty Results'!$A$61:$CM$73,62,FALSE)*((cubicm/gal)*(day/yr))</f>
        <v>1.2247173157588611</v>
      </c>
      <c r="F13">
        <f>VLOOKUP(E4,'8. Uncertainty Results'!$A$61:$CM$73,63,FALSE)*((cubicm/gal)*(day/yr))</f>
        <v>1.2364886279114271</v>
      </c>
      <c r="G13">
        <f>VLOOKUP(E4,'8. Uncertainty Results'!$A$61:$CM$73,64,FALSE)*((cubicm/gal)*(day/yr))</f>
        <v>1.251010854052875</v>
      </c>
      <c r="H13">
        <f>VLOOKUP(H4,'8. Uncertainty Results'!$A$61:$CM$73,62,FALSE)*((cubicm/gal)*(day/yr))</f>
        <v>0.52536350320930336</v>
      </c>
      <c r="I13">
        <f>VLOOKUP(H4,'8. Uncertainty Results'!$A$61:$CM$73,63,FALSE)*((cubicm/gal)*(day/yr))</f>
        <v>0.53660791096352944</v>
      </c>
      <c r="J13">
        <f>VLOOKUP(H4,'8. Uncertainty Results'!$A$61:$CM$73,64,FALSE)*((cubicm/gal)*(day/yr))</f>
        <v>0.54896750584231035</v>
      </c>
      <c r="K13">
        <f>VLOOKUP(K4,'8. Uncertainty Results'!$A$61:$CM$73,62,FALSE)*((cubicm/gal)*(day/yr))</f>
        <v>0.40484973857388545</v>
      </c>
      <c r="L13">
        <f>VLOOKUP(K4,'8. Uncertainty Results'!$A$61:$CM$73,63,FALSE)*((cubicm/gal)*(day/yr))</f>
        <v>0.41245027190571038</v>
      </c>
      <c r="M13">
        <f>VLOOKUP(K4,'8. Uncertainty Results'!$A$61:$CM$73,64,FALSE)*((cubicm/gal)*(day/yr))</f>
        <v>0.42070375958189449</v>
      </c>
      <c r="N13">
        <f>VLOOKUP(N4,'8. Uncertainty Results'!$A$61:$CM$73,62,FALSE)*((cubicm/gal)*(day/yr))</f>
        <v>0.2821053197911888</v>
      </c>
      <c r="O13">
        <f>VLOOKUP(N4,'8. Uncertainty Results'!$A$61:$CM$73,63,FALSE)*((cubicm/gal)*(day/yr))</f>
        <v>0.28727928716362888</v>
      </c>
      <c r="P13">
        <f>VLOOKUP(N4,'8. Uncertainty Results'!$A$61:$CM$73,64,FALSE)*((cubicm/gal)*(day/yr))</f>
        <v>0.29302264133071432</v>
      </c>
      <c r="Q13">
        <f>VLOOKUP(Q4,'8. Uncertainty Results'!$A$61:$CM$73,62,FALSE)*((cubicm/gal)*(day/yr))</f>
        <v>0.40502512618970787</v>
      </c>
      <c r="R13">
        <f>VLOOKUP(Q4,'8. Uncertainty Results'!$A$61:$CM$73,63,FALSE)*((cubicm/gal)*(day/yr))</f>
        <v>0.4126022209922357</v>
      </c>
      <c r="S13">
        <f>VLOOKUP(Q4,'8. Uncertainty Results'!$A$61:$CM$73,64,FALSE)*((cubicm/gal)*(day/yr))</f>
        <v>0.42079994655027264</v>
      </c>
      <c r="T13">
        <f>VLOOKUP(T4,'8. Uncertainty Results'!$A$61:$CM$73,62,FALSE)*((cubicm/gal)*(day/yr))</f>
        <v>0.12824642165124492</v>
      </c>
      <c r="U13">
        <f>VLOOKUP(T4,'8. Uncertainty Results'!$A$61:$CM$73,63,FALSE)*((cubicm/gal)*(day/yr))</f>
        <v>0.12882425426323899</v>
      </c>
      <c r="V13">
        <f>VLOOKUP(T4,'8. Uncertainty Results'!$A$61:$CM$73,64,FALSE)*((cubicm/gal)*(day/yr))</f>
        <v>0.12963430766252057</v>
      </c>
      <c r="W13">
        <f>VLOOKUP(W4,'8. Uncertainty Results'!$A$61:$CM$73,62,FALSE)*((cubicm/gal)*(day/yr))</f>
        <v>0.52500678766302677</v>
      </c>
      <c r="X13">
        <f>VLOOKUP(W4,'8. Uncertainty Results'!$A$61:$CM$73,63,FALSE)*((cubicm/gal)*(day/yr))</f>
        <v>0.53677095005221065</v>
      </c>
      <c r="Y13">
        <f>VLOOKUP(W4,'8. Uncertainty Results'!$A$61:$CM$73,64,FALSE)*((cubicm/gal)*(day/yr))</f>
        <v>0.54892166611003268</v>
      </c>
    </row>
    <row r="14" spans="1:25" x14ac:dyDescent="0.2">
      <c r="A14" t="s">
        <v>439</v>
      </c>
      <c r="B14">
        <f>VLOOKUP(B4,'8. Uncertainty Results'!$A$61:$CM$73,77,FALSE)*((cubicm/gal)*(day/yr))</f>
        <v>0</v>
      </c>
      <c r="C14">
        <f>VLOOKUP(B4,'8. Uncertainty Results'!$A$61:$CM$73,78,FALSE)*((cubicm/gal)*(day/yr))</f>
        <v>0</v>
      </c>
      <c r="D14">
        <f>VLOOKUP(B4,'8. Uncertainty Results'!$A$61:$CM$73,79,FALSE)*((cubicm/gal)*(day/yr))</f>
        <v>0</v>
      </c>
      <c r="E14">
        <f>VLOOKUP(E4,'8. Uncertainty Results'!$A$61:$CM$73,77,FALSE)*((cubicm/gal)*(day/yr))</f>
        <v>1.1264344309200223</v>
      </c>
      <c r="F14">
        <f>VLOOKUP(E4,'8. Uncertainty Results'!$A$61:$CM$73,78,FALSE)*((cubicm/gal)*(day/yr))</f>
        <v>1.2669033442015523</v>
      </c>
      <c r="G14">
        <f>VLOOKUP(E4,'8. Uncertainty Results'!$A$61:$CM$73,79,FALSE)*((cubicm/gal)*(day/yr))</f>
        <v>1.4269868081002397</v>
      </c>
      <c r="H14">
        <f>VLOOKUP(H4,'8. Uncertainty Results'!$A$61:$CM$73,77,FALSE)*((cubicm/gal)*(day/yr))</f>
        <v>2.2383585894414919</v>
      </c>
      <c r="I14">
        <f>VLOOKUP(H4,'8. Uncertainty Results'!$A$61:$CM$73,78,FALSE)*((cubicm/gal)*(day/yr))</f>
        <v>2.5894984619852486</v>
      </c>
      <c r="J14">
        <f>VLOOKUP(H4,'8. Uncertainty Results'!$A$61:$CM$73,79,FALSE)*((cubicm/gal)*(day/yr))</f>
        <v>3.0189045531608287</v>
      </c>
      <c r="K14">
        <f>VLOOKUP(K4,'8. Uncertainty Results'!$A$61:$CM$73,77,FALSE)*((cubicm/gal)*(day/yr))</f>
        <v>0</v>
      </c>
      <c r="L14">
        <f>VLOOKUP(K4,'8. Uncertainty Results'!$A$61:$CM$73,78,FALSE)*((cubicm/gal)*(day/yr))</f>
        <v>0</v>
      </c>
      <c r="M14">
        <f>VLOOKUP(K4,'8. Uncertainty Results'!$A$61:$CM$73,79,FALSE)*((cubicm/gal)*(day/yr))</f>
        <v>0</v>
      </c>
      <c r="N14">
        <f>VLOOKUP(N4,'8. Uncertainty Results'!$A$61:$CM$73,77,FALSE)*((cubicm/gal)*(day/yr))</f>
        <v>0</v>
      </c>
      <c r="O14">
        <f>VLOOKUP(N4,'8. Uncertainty Results'!$A$61:$CM$73,78,FALSE)*((cubicm/gal)*(day/yr))</f>
        <v>0</v>
      </c>
      <c r="P14">
        <f>VLOOKUP(N4,'8. Uncertainty Results'!$A$61:$CM$73,79,FALSE)*((cubicm/gal)*(day/yr))</f>
        <v>0</v>
      </c>
      <c r="Q14">
        <f>VLOOKUP(Q4,'8. Uncertainty Results'!$A$61:$CM$73,77,FALSE)*((cubicm/gal)*(day/yr))</f>
        <v>0</v>
      </c>
      <c r="R14">
        <f>VLOOKUP(Q4,'8. Uncertainty Results'!$A$61:$CM$73,78,FALSE)*((cubicm/gal)*(day/yr))</f>
        <v>0</v>
      </c>
      <c r="S14">
        <f>VLOOKUP(Q4,'8. Uncertainty Results'!$A$61:$CM$73,79,FALSE)*((cubicm/gal)*(day/yr))</f>
        <v>0</v>
      </c>
      <c r="T14">
        <f>VLOOKUP(T4,'8. Uncertainty Results'!$A$61:$CM$73,77,FALSE)*((cubicm/gal)*(day/yr))</f>
        <v>0</v>
      </c>
      <c r="U14">
        <f>VLOOKUP(T4,'8. Uncertainty Results'!$A$61:$CM$73,78,FALSE)*((cubicm/gal)*(day/yr))</f>
        <v>0</v>
      </c>
      <c r="V14">
        <f>VLOOKUP(T4,'8. Uncertainty Results'!$A$61:$CM$73,79,FALSE)*((cubicm/gal)*(day/yr))</f>
        <v>0</v>
      </c>
      <c r="W14">
        <f>VLOOKUP(W4,'8. Uncertainty Results'!$A$61:$CM$73,77,FALSE)*((cubicm/gal)*(day/yr))</f>
        <v>2.2376219324082554</v>
      </c>
      <c r="X14">
        <f>VLOOKUP(W4,'8. Uncertainty Results'!$A$61:$CM$73,78,FALSE)*((cubicm/gal)*(day/yr))</f>
        <v>2.5805423591690841</v>
      </c>
      <c r="Y14">
        <f>VLOOKUP(W4,'8. Uncertainty Results'!$A$61:$CM$73,79,FALSE)*((cubicm/gal)*(day/yr))</f>
        <v>3.0118927281643355</v>
      </c>
    </row>
    <row r="15" spans="1:25" x14ac:dyDescent="0.2">
      <c r="A15" t="s">
        <v>492</v>
      </c>
      <c r="B15">
        <f>VLOOKUP(B4,'8. Uncertainty Results'!$A$203:$D$215,2,FALSE)/1000000</f>
        <v>22.19928637592842</v>
      </c>
      <c r="C15">
        <f>VLOOKUP(B4,'8. Uncertainty Results'!$A$203:$D$215,3,FALSE)/1000000</f>
        <v>24.2754169819958</v>
      </c>
      <c r="D15">
        <f>VLOOKUP(B4,'8. Uncertainty Results'!$A$203:$D$215,4,FALSE)/1000000</f>
        <v>26.300815250844281</v>
      </c>
      <c r="E15">
        <f>VLOOKUP(E4,'8. Uncertainty Results'!$A$203:$D$215,2,FALSE)/1000000</f>
        <v>30.329777237026992</v>
      </c>
      <c r="F15">
        <f>VLOOKUP(E4,'8. Uncertainty Results'!$A$203:$D$215,3,FALSE)/1000000</f>
        <v>34.810209497471384</v>
      </c>
      <c r="G15">
        <f>VLOOKUP(E4,'8. Uncertainty Results'!$A$203:$D$215,4,FALSE)/1000000</f>
        <v>39.804593895523155</v>
      </c>
      <c r="H15">
        <f>VLOOKUP(H4,'8. Uncertainty Results'!$A$203:$D$215,2,FALSE)/1000000</f>
        <v>0.36684257135850085</v>
      </c>
      <c r="I15">
        <f>VLOOKUP(H4,'8. Uncertainty Results'!$A$203:$D$215,3,FALSE)/1000000</f>
        <v>1.9272387365708405</v>
      </c>
      <c r="J15">
        <f>VLOOKUP(H4,'8. Uncertainty Results'!$A$203:$D$215,4,FALSE)/1000000</f>
        <v>9.7366119085476832</v>
      </c>
      <c r="K15">
        <f>VLOOKUP(K4,'8. Uncertainty Results'!$A$203:$D$215,2,FALSE)/1000000</f>
        <v>28.572915147869598</v>
      </c>
      <c r="L15">
        <f>VLOOKUP(K4,'8. Uncertainty Results'!$A$203:$D$215,3,FALSE)/1000000</f>
        <v>36.784589510791825</v>
      </c>
      <c r="M15">
        <f>VLOOKUP(K4,'8. Uncertainty Results'!$A$203:$D$215,4,FALSE)/1000000</f>
        <v>63.986855731934547</v>
      </c>
      <c r="N15">
        <f>VLOOKUP(N4,'8. Uncertainty Results'!$A$203:$D$215,2,FALSE)/1000000</f>
        <v>12.60217290105447</v>
      </c>
      <c r="O15">
        <f>VLOOKUP(N4,'8. Uncertainty Results'!$A$203:$D$215,3,FALSE)/1000000</f>
        <v>19.226978004610444</v>
      </c>
      <c r="P15">
        <f>VLOOKUP(N4,'8. Uncertainty Results'!$A$203:$D$215,4,FALSE)/1000000</f>
        <v>49.036167912910365</v>
      </c>
      <c r="Q15">
        <f>VLOOKUP(Q4,'8. Uncertainty Results'!$A$203:$D$215,2,FALSE)/1000000</f>
        <v>4.9234855062215894</v>
      </c>
      <c r="R15">
        <f>VLOOKUP(Q4,'8. Uncertainty Results'!$A$203:$D$215,3,FALSE)/1000000</f>
        <v>5.37106142092306</v>
      </c>
      <c r="S15">
        <f>VLOOKUP(Q4,'8. Uncertainty Results'!$A$203:$D$215,4,FALSE)/1000000</f>
        <v>5.8389653933930203</v>
      </c>
      <c r="T15">
        <f>VLOOKUP(T4,'8. Uncertainty Results'!$A$203:$D$215,2,FALSE)/1000000</f>
        <v>3.9079818470785299</v>
      </c>
      <c r="U15">
        <f>VLOOKUP(T4,'8. Uncertainty Results'!$A$203:$D$215,3,FALSE)/1000000</f>
        <v>4.2843021047777894</v>
      </c>
      <c r="V15">
        <f>VLOOKUP(T4,'8. Uncertainty Results'!$A$203:$D$215,4,FALSE)/1000000</f>
        <v>4.6474321803099699</v>
      </c>
      <c r="W15">
        <f>VLOOKUP(W4,'8. Uncertainty Results'!$A$203:$D$215,2,FALSE)/1000000</f>
        <v>0.23425673678805656</v>
      </c>
      <c r="X15">
        <f>VLOOKUP(W4,'8. Uncertainty Results'!$A$203:$D$215,3,FALSE)/1000000</f>
        <v>1.1548930353673985</v>
      </c>
      <c r="Y15">
        <f>VLOOKUP(W4,'8. Uncertainty Results'!$A$203:$D$215,4,FALSE)/1000000</f>
        <v>5.5129749020288967</v>
      </c>
    </row>
    <row r="18" spans="1:25" x14ac:dyDescent="0.2">
      <c r="A18" t="s">
        <v>491</v>
      </c>
      <c r="B18" s="474">
        <f>B4</f>
        <v>18100204</v>
      </c>
      <c r="C18" s="474"/>
      <c r="D18" s="474"/>
      <c r="E18" s="474">
        <f t="shared" ref="E18" si="0">E4</f>
        <v>16040201</v>
      </c>
      <c r="F18" s="474"/>
      <c r="G18" s="474"/>
      <c r="H18" s="474">
        <f t="shared" ref="H18" si="1">H4</f>
        <v>15030202</v>
      </c>
      <c r="I18" s="474"/>
      <c r="J18" s="474"/>
      <c r="K18" s="474">
        <f t="shared" ref="K18" si="2">K4</f>
        <v>16060011</v>
      </c>
      <c r="L18" s="474"/>
      <c r="M18" s="474"/>
      <c r="N18" s="474">
        <f t="shared" ref="N18" si="3">N4</f>
        <v>16060003</v>
      </c>
      <c r="O18" s="474"/>
      <c r="P18" s="474"/>
      <c r="Q18" s="474">
        <f t="shared" ref="Q18" si="4">Q4</f>
        <v>16060013</v>
      </c>
      <c r="R18" s="474"/>
      <c r="S18" s="474"/>
      <c r="T18" s="474">
        <f t="shared" ref="T18" si="5">T4</f>
        <v>16060010</v>
      </c>
      <c r="U18" s="474"/>
      <c r="V18" s="474"/>
      <c r="W18" s="474">
        <f t="shared" ref="W18" si="6">W4</f>
        <v>15030201</v>
      </c>
      <c r="X18" s="474"/>
      <c r="Y18" s="474"/>
    </row>
    <row r="19" spans="1:25" x14ac:dyDescent="0.2">
      <c r="B19" s="474" t="str">
        <f>B5</f>
        <v>SS</v>
      </c>
      <c r="C19" s="474"/>
      <c r="D19" s="474"/>
      <c r="E19" s="474" t="str">
        <f t="shared" ref="E19" si="7">E5</f>
        <v>UQ</v>
      </c>
      <c r="F19" s="474"/>
      <c r="G19" s="474"/>
      <c r="H19" s="474" t="str">
        <f t="shared" ref="H19" si="8">H5</f>
        <v>BUR</v>
      </c>
      <c r="I19" s="474"/>
      <c r="J19" s="474"/>
      <c r="K19" s="474" t="str">
        <f t="shared" ref="K19" si="9">K5</f>
        <v>RSCV</v>
      </c>
      <c r="L19" s="474"/>
      <c r="M19" s="474"/>
      <c r="N19" s="474" t="str">
        <f t="shared" ref="N19" si="10">N5</f>
        <v>SBSV</v>
      </c>
      <c r="O19" s="474"/>
      <c r="P19" s="474"/>
      <c r="Q19" s="474" t="str">
        <f t="shared" ref="Q19" si="11">Q5</f>
        <v>CSF</v>
      </c>
      <c r="R19" s="474"/>
      <c r="S19" s="474"/>
      <c r="T19" s="474" t="str">
        <f t="shared" ref="T19" si="12">T5</f>
        <v>FLSSV</v>
      </c>
      <c r="U19" s="474"/>
      <c r="V19" s="474"/>
      <c r="W19" s="474" t="str">
        <f t="shared" ref="W19" si="13">W5</f>
        <v>BS</v>
      </c>
      <c r="X19" s="474"/>
      <c r="Y19" s="474"/>
    </row>
    <row r="20" spans="1:25" x14ac:dyDescent="0.2">
      <c r="B20" t="s">
        <v>440</v>
      </c>
      <c r="C20" t="s">
        <v>441</v>
      </c>
      <c r="D20" t="s">
        <v>442</v>
      </c>
      <c r="E20" t="s">
        <v>440</v>
      </c>
      <c r="F20" t="s">
        <v>441</v>
      </c>
      <c r="G20" t="s">
        <v>442</v>
      </c>
      <c r="H20" t="s">
        <v>440</v>
      </c>
      <c r="I20" t="s">
        <v>441</v>
      </c>
      <c r="J20" t="s">
        <v>442</v>
      </c>
      <c r="K20" t="s">
        <v>440</v>
      </c>
      <c r="L20" t="s">
        <v>441</v>
      </c>
      <c r="M20" t="s">
        <v>442</v>
      </c>
      <c r="N20" t="s">
        <v>440</v>
      </c>
      <c r="O20" t="s">
        <v>441</v>
      </c>
      <c r="P20" t="s">
        <v>442</v>
      </c>
      <c r="Q20" t="s">
        <v>440</v>
      </c>
      <c r="R20" t="s">
        <v>441</v>
      </c>
      <c r="S20" t="s">
        <v>442</v>
      </c>
      <c r="T20" t="s">
        <v>440</v>
      </c>
      <c r="U20" t="s">
        <v>441</v>
      </c>
      <c r="V20" t="s">
        <v>442</v>
      </c>
      <c r="W20" t="s">
        <v>440</v>
      </c>
      <c r="X20" t="s">
        <v>441</v>
      </c>
      <c r="Y20" t="s">
        <v>442</v>
      </c>
    </row>
    <row r="21" spans="1:25" x14ac:dyDescent="0.2">
      <c r="A21" t="s">
        <v>436</v>
      </c>
      <c r="B21">
        <f>VLOOKUP(B18,'8. Uncertainty Results'!$A$43:$G$54,5,FALSE)*(cubicm/gal)*(day/yr)</f>
        <v>642.44787031364069</v>
      </c>
      <c r="C21">
        <f>B21</f>
        <v>642.44787031364069</v>
      </c>
      <c r="D21">
        <f>B21</f>
        <v>642.44787031364069</v>
      </c>
      <c r="E21">
        <f>VLOOKUP(E18,'8. Uncertainty Results'!$A$43:$G$54,5,FALSE)*(cubicm/gal)*(day/yr)</f>
        <v>177.35121582214242</v>
      </c>
      <c r="F21">
        <f>E21</f>
        <v>177.35121582214242</v>
      </c>
      <c r="G21">
        <f>E21</f>
        <v>177.35121582214242</v>
      </c>
      <c r="H21">
        <f>VLOOKUP(H18,'8. Uncertainty Results'!$A$43:$G$54,5,FALSE)*(cubicm/gal)*(day/yr)</f>
        <v>59.402088245565515</v>
      </c>
      <c r="I21">
        <f>H21</f>
        <v>59.402088245565515</v>
      </c>
      <c r="J21">
        <f>H21</f>
        <v>59.402088245565515</v>
      </c>
      <c r="K21">
        <f>VLOOKUP(K18,'8. Uncertainty Results'!$A$43:$G$54,5,FALSE)*(cubicm/gal)*(day/yr)</f>
        <v>47.560091924325583</v>
      </c>
      <c r="L21">
        <f>K21</f>
        <v>47.560091924325583</v>
      </c>
      <c r="M21">
        <f>K21</f>
        <v>47.560091924325583</v>
      </c>
      <c r="N21">
        <f>VLOOKUP(N18,'8. Uncertainty Results'!$A$43:$G$54,5,FALSE)*(cubicm/gal)*(day/yr)</f>
        <v>30.733802056898508</v>
      </c>
      <c r="O21">
        <f>N21</f>
        <v>30.733802056898508</v>
      </c>
      <c r="P21">
        <f>N21</f>
        <v>30.733802056898508</v>
      </c>
      <c r="Q21">
        <f>VLOOKUP(Q18,'8. Uncertainty Results'!$A$43:$G$54,5,FALSE)*(cubicm/gal)*(day/yr)</f>
        <v>39.938959073661671</v>
      </c>
      <c r="R21">
        <f>Q21</f>
        <v>39.938959073661671</v>
      </c>
      <c r="S21">
        <f>Q21</f>
        <v>39.938959073661671</v>
      </c>
      <c r="T21">
        <f>VLOOKUP(T18,'8. Uncertainty Results'!$A$43:$G$54,5,FALSE)*(cubicm/gal)*(day/yr)</f>
        <v>51.233289726836418</v>
      </c>
      <c r="U21">
        <f>T21</f>
        <v>51.233289726836418</v>
      </c>
      <c r="V21">
        <f>T21</f>
        <v>51.233289726836418</v>
      </c>
      <c r="W21">
        <f>VLOOKUP(W18,'8. Uncertainty Results'!$A$43:$G$54,5,FALSE)*(cubicm/gal)*(day/yr)</f>
        <v>111.98928589092783</v>
      </c>
      <c r="X21">
        <f>W21</f>
        <v>111.98928589092783</v>
      </c>
      <c r="Y21">
        <f>W21</f>
        <v>111.98928589092783</v>
      </c>
    </row>
    <row r="22" spans="1:25" x14ac:dyDescent="0.2">
      <c r="A22" t="s">
        <v>437</v>
      </c>
      <c r="B22">
        <f>VLOOKUP(B18,'8. Uncertainty Results'!$A$43:$G$54,7,FALSE)*(cubicm/gal)*(day/yr)</f>
        <v>785.2341273394876</v>
      </c>
      <c r="C22">
        <f>B22</f>
        <v>785.2341273394876</v>
      </c>
      <c r="D22">
        <f>B22</f>
        <v>785.2341273394876</v>
      </c>
      <c r="E22">
        <f>VLOOKUP(E18,'8. Uncertainty Results'!$A$43:$G$54,7,FALSE)*(cubicm/gal)*(day/yr)</f>
        <v>571.90554774673467</v>
      </c>
      <c r="F22">
        <f>E22</f>
        <v>571.90554774673467</v>
      </c>
      <c r="G22">
        <f>E22</f>
        <v>571.90554774673467</v>
      </c>
      <c r="H22">
        <f>VLOOKUP(H18,'8. Uncertainty Results'!$A$43:$G$54,7,FALSE)*(cubicm/gal)*(day/yr)</f>
        <v>180.85382722529019</v>
      </c>
      <c r="I22">
        <f>H22</f>
        <v>180.85382722529019</v>
      </c>
      <c r="J22">
        <f>H22</f>
        <v>180.85382722529019</v>
      </c>
      <c r="K22">
        <f>VLOOKUP(K18,'8. Uncertainty Results'!$A$43:$G$54,7,FALSE)*(cubicm/gal)*(day/yr)</f>
        <v>103.85436500275966</v>
      </c>
      <c r="L22">
        <f>K22</f>
        <v>103.85436500275966</v>
      </c>
      <c r="M22">
        <f>K22</f>
        <v>103.85436500275966</v>
      </c>
      <c r="N22">
        <f>VLOOKUP(N18,'8. Uncertainty Results'!$A$43:$G$54,7,FALSE)*(cubicm/gal)*(day/yr)</f>
        <v>130.56690651318701</v>
      </c>
      <c r="O22">
        <f>N22</f>
        <v>130.56690651318701</v>
      </c>
      <c r="P22">
        <f>N22</f>
        <v>130.56690651318701</v>
      </c>
      <c r="Q22">
        <f>VLOOKUP(Q18,'8. Uncertainty Results'!$A$43:$G$54,7,FALSE)*(cubicm/gal)*(day/yr)</f>
        <v>124.9190554249201</v>
      </c>
      <c r="R22">
        <f>Q22</f>
        <v>124.9190554249201</v>
      </c>
      <c r="S22">
        <f>Q22</f>
        <v>124.9190554249201</v>
      </c>
      <c r="T22">
        <f>VLOOKUP(T18,'8. Uncertainty Results'!$A$43:$G$54,7,FALSE)*(cubicm/gal)*(day/yr)</f>
        <v>126.85596307330604</v>
      </c>
      <c r="U22">
        <f>T22</f>
        <v>126.85596307330604</v>
      </c>
      <c r="V22">
        <f>T22</f>
        <v>126.85596307330604</v>
      </c>
      <c r="W22">
        <f>VLOOKUP(W18,'8. Uncertainty Results'!$A$43:$G$54,7,FALSE)*(cubicm/gal)*(day/yr)</f>
        <v>357.72032561616231</v>
      </c>
      <c r="X22">
        <f>W22</f>
        <v>357.72032561616231</v>
      </c>
      <c r="Y22">
        <f>W22</f>
        <v>357.72032561616231</v>
      </c>
    </row>
    <row r="23" spans="1:25" x14ac:dyDescent="0.2">
      <c r="A23" t="s">
        <v>438</v>
      </c>
      <c r="B23">
        <f>VLOOKUP(B18,'8. Uncertainty Results'!$A$79:$CM$90,2,FALSE)*((cubicm/gal)*(day/yr))</f>
        <v>18.383027599418408</v>
      </c>
      <c r="C23">
        <f>VLOOKUP(B18,'8. Uncertainty Results'!$A$79:$CM$90,3,FALSE)*((cubicm/gal)*(day/yr))</f>
        <v>19.16283991751936</v>
      </c>
      <c r="D23">
        <f>VLOOKUP(B18,'8. Uncertainty Results'!$A$79:$CM$90,4,FALSE)*((cubicm/gal)*(day/yr))</f>
        <v>19.857496633126928</v>
      </c>
      <c r="E23">
        <f>VLOOKUP(E18,'8. Uncertainty Results'!$A$79:$CM$90,2,FALSE)*((cubicm/gal)*(day/yr))</f>
        <v>0</v>
      </c>
      <c r="F23">
        <f>VLOOKUP(E18,'8. Uncertainty Results'!$A$79:$CM$90,3,FALSE)*((cubicm/gal)*(day/yr))</f>
        <v>0</v>
      </c>
      <c r="G23">
        <f>VLOOKUP(E18,'8. Uncertainty Results'!$A$79:$CM$90,4,FALSE)*((cubicm/gal)*(day/yr))</f>
        <v>0</v>
      </c>
      <c r="H23">
        <f>VLOOKUP(H18,'8. Uncertainty Results'!$A$79:$CM$90,2,FALSE)*((cubicm/gal)*(day/yr))</f>
        <v>27.083867198462407</v>
      </c>
      <c r="I23">
        <f>VLOOKUP(H18,'8. Uncertainty Results'!$A$79:$CM$90,3,FALSE)*((cubicm/gal)*(day/yr))</f>
        <v>28.839456769240535</v>
      </c>
      <c r="J23">
        <f>VLOOKUP(H18,'8. Uncertainty Results'!$A$79:$CM$90,4,FALSE)*((cubicm/gal)*(day/yr))</f>
        <v>30.41590527694613</v>
      </c>
      <c r="K23">
        <f>VLOOKUP(K18,'8. Uncertainty Results'!$A$79:$CM$90,2,FALSE)*((cubicm/gal)*(day/yr))</f>
        <v>0.10892073702118375</v>
      </c>
      <c r="L23">
        <f>VLOOKUP(K18,'8. Uncertainty Results'!$A$79:$CM$90,3,FALSE)*((cubicm/gal)*(day/yr))</f>
        <v>0.11584531339172101</v>
      </c>
      <c r="M23">
        <f>VLOOKUP(K18,'8. Uncertainty Results'!$A$79:$CM$90,4,FALSE)*((cubicm/gal)*(day/yr))</f>
        <v>0.12215256667676105</v>
      </c>
      <c r="N23">
        <f>VLOOKUP(N18,'8. Uncertainty Results'!$A$79:$CM$90,2,FALSE)*((cubicm/gal)*(day/yr))</f>
        <v>7.2507963443046802E-2</v>
      </c>
      <c r="O23">
        <f>VLOOKUP(N18,'8. Uncertainty Results'!$A$79:$CM$90,3,FALSE)*((cubicm/gal)*(day/yr))</f>
        <v>7.7150250488761063E-2</v>
      </c>
      <c r="P23">
        <f>VLOOKUP(N18,'8. Uncertainty Results'!$A$79:$CM$90,4,FALSE)*((cubicm/gal)*(day/yr))</f>
        <v>8.1393074814615066E-2</v>
      </c>
      <c r="Q23">
        <f>VLOOKUP(Q18,'8. Uncertainty Results'!$A$79:$CM$90,2,FALSE)*((cubicm/gal)*(day/yr))</f>
        <v>0.10875850726186666</v>
      </c>
      <c r="R23">
        <f>VLOOKUP(Q18,'8. Uncertainty Results'!$A$79:$CM$90,3,FALSE)*((cubicm/gal)*(day/yr))</f>
        <v>0.11586019739380586</v>
      </c>
      <c r="S23">
        <f>VLOOKUP(Q18,'8. Uncertainty Results'!$A$79:$CM$90,4,FALSE)*((cubicm/gal)*(day/yr))</f>
        <v>0.12218128553727825</v>
      </c>
      <c r="T23">
        <f>VLOOKUP(T18,'8. Uncertainty Results'!$A$79:$CM$90,2,FALSE)*((cubicm/gal)*(day/yr))</f>
        <v>17.818567026492541</v>
      </c>
      <c r="U23">
        <f>VLOOKUP(T18,'8. Uncertainty Results'!$A$79:$CM$90,3,FALSE)*((cubicm/gal)*(day/yr))</f>
        <v>18.588406176525066</v>
      </c>
      <c r="V23">
        <f>VLOOKUP(T18,'8. Uncertainty Results'!$A$79:$CM$90,4,FALSE)*((cubicm/gal)*(day/yr))</f>
        <v>19.247293280330002</v>
      </c>
      <c r="W23">
        <f>VLOOKUP(W18,'8. Uncertainty Results'!$A$79:$CM$90,2,FALSE)*((cubicm/gal)*(day/yr))</f>
        <v>27.112044541514223</v>
      </c>
      <c r="X23">
        <f>VLOOKUP(W18,'8. Uncertainty Results'!$A$79:$CM$90,3,FALSE)*((cubicm/gal)*(day/yr))</f>
        <v>28.875910145347955</v>
      </c>
      <c r="Y23">
        <f>VLOOKUP(W18,'8. Uncertainty Results'!$A$79:$CM$90,4,FALSE)*((cubicm/gal)*(day/yr))</f>
        <v>30.448041464104914</v>
      </c>
    </row>
    <row r="24" spans="1:25" x14ac:dyDescent="0.2">
      <c r="A24" t="s">
        <v>400</v>
      </c>
      <c r="B24">
        <f>VLOOKUP(B18,'8. Uncertainty Results'!$A$79:$CM$90,17,FALSE)*((cubicm/gal)*(day/yr))</f>
        <v>35.292440333767459</v>
      </c>
      <c r="C24">
        <f>VLOOKUP(B18,'8. Uncertainty Results'!$A$79:$CM$90,18,FALSE)*((cubicm/gal)*(day/yr))</f>
        <v>36.913134208250405</v>
      </c>
      <c r="D24">
        <f>VLOOKUP(B18,'8. Uncertainty Results'!$A$79:$CM$90,19,FALSE)*((cubicm/gal)*(day/yr))</f>
        <v>38.444433425488619</v>
      </c>
      <c r="E24">
        <f>VLOOKUP(E18,'8. Uncertainty Results'!$A$79:$CM$90,17,FALSE)*((cubicm/gal)*(day/yr))</f>
        <v>4.1926359960124406</v>
      </c>
      <c r="F24">
        <f>VLOOKUP(E18,'8. Uncertainty Results'!$A$79:$CM$90,18,FALSE)*((cubicm/gal)*(day/yr))</f>
        <v>4.3768649203525563</v>
      </c>
      <c r="G24">
        <f>VLOOKUP(E18,'8. Uncertainty Results'!$A$79:$CM$90,19,FALSE)*((cubicm/gal)*(day/yr))</f>
        <v>4.5712948625793572</v>
      </c>
      <c r="H24">
        <f>VLOOKUP(H18,'8. Uncertainty Results'!$A$79:$CM$90,17,FALSE)*((cubicm/gal)*(day/yr))</f>
        <v>63.675062555975558</v>
      </c>
      <c r="I24">
        <f>VLOOKUP(H18,'8. Uncertainty Results'!$A$79:$CM$90,18,FALSE)*((cubicm/gal)*(day/yr))</f>
        <v>67.834661733707605</v>
      </c>
      <c r="J24">
        <f>VLOOKUP(H18,'8. Uncertainty Results'!$A$79:$CM$90,19,FALSE)*((cubicm/gal)*(day/yr))</f>
        <v>72.185301934436282</v>
      </c>
      <c r="K24">
        <f>VLOOKUP(K18,'8. Uncertainty Results'!$A$79:$CM$90,17,FALSE)*((cubicm/gal)*(day/yr))</f>
        <v>9.0887661182489161</v>
      </c>
      <c r="L24">
        <f>VLOOKUP(K18,'8. Uncertainty Results'!$A$79:$CM$90,18,FALSE)*((cubicm/gal)*(day/yr))</f>
        <v>9.8319032395733412</v>
      </c>
      <c r="M24">
        <f>VLOOKUP(K18,'8. Uncertainty Results'!$A$79:$CM$90,19,FALSE)*((cubicm/gal)*(day/yr))</f>
        <v>10.713278579356988</v>
      </c>
      <c r="N24">
        <f>VLOOKUP(N18,'8. Uncertainty Results'!$A$79:$CM$90,17,FALSE)*((cubicm/gal)*(day/yr))</f>
        <v>6.3235988229415865</v>
      </c>
      <c r="O24">
        <f>VLOOKUP(N18,'8. Uncertainty Results'!$A$79:$CM$90,18,FALSE)*((cubicm/gal)*(day/yr))</f>
        <v>6.8199637923137679</v>
      </c>
      <c r="P24">
        <f>VLOOKUP(N18,'8. Uncertainty Results'!$A$79:$CM$90,19,FALSE)*((cubicm/gal)*(day/yr))</f>
        <v>7.4251509423376492</v>
      </c>
      <c r="Q24">
        <f>VLOOKUP(Q18,'8. Uncertainty Results'!$A$79:$CM$90,17,FALSE)*((cubicm/gal)*(day/yr))</f>
        <v>9.0908234048382148</v>
      </c>
      <c r="R24">
        <f>VLOOKUP(Q18,'8. Uncertainty Results'!$A$79:$CM$90,18,FALSE)*((cubicm/gal)*(day/yr))</f>
        <v>9.8381275137842152</v>
      </c>
      <c r="S24">
        <f>VLOOKUP(Q18,'8. Uncertainty Results'!$A$79:$CM$90,19,FALSE)*((cubicm/gal)*(day/yr))</f>
        <v>10.71542018366544</v>
      </c>
      <c r="T24">
        <f>VLOOKUP(T18,'8. Uncertainty Results'!$A$79:$CM$90,17,FALSE)*((cubicm/gal)*(day/yr))</f>
        <v>1.3774445908162978</v>
      </c>
      <c r="U24">
        <f>VLOOKUP(T18,'8. Uncertainty Results'!$A$79:$CM$90,18,FALSE)*((cubicm/gal)*(day/yr))</f>
        <v>1.462959819895308</v>
      </c>
      <c r="V24">
        <f>VLOOKUP(T18,'8. Uncertainty Results'!$A$79:$CM$90,19,FALSE)*((cubicm/gal)*(day/yr))</f>
        <v>1.5384987802428851</v>
      </c>
      <c r="W24">
        <f>VLOOKUP(W18,'8. Uncertainty Results'!$A$79:$CM$90,17,FALSE)*((cubicm/gal)*(day/yr))</f>
        <v>63.712216865145102</v>
      </c>
      <c r="X24">
        <f>VLOOKUP(W18,'8. Uncertainty Results'!$A$79:$CM$90,18,FALSE)*((cubicm/gal)*(day/yr))</f>
        <v>67.741726313861065</v>
      </c>
      <c r="Y24">
        <f>VLOOKUP(W18,'8. Uncertainty Results'!$A$79:$CM$90,19,FALSE)*((cubicm/gal)*(day/yr))</f>
        <v>72.175755275724285</v>
      </c>
    </row>
    <row r="25" spans="1:25" x14ac:dyDescent="0.2">
      <c r="A25" t="s">
        <v>401</v>
      </c>
      <c r="B25">
        <f>VLOOKUP(B18,'8. Uncertainty Results'!$A$79:$CM$90,32,FALSE)*((cubicm/gal)*(day/yr))</f>
        <v>0</v>
      </c>
      <c r="C25">
        <f>VLOOKUP(B18,'8. Uncertainty Results'!$A$79:$CM$90,33,FALSE)*((cubicm/gal)*(day/yr))</f>
        <v>0</v>
      </c>
      <c r="D25">
        <f>VLOOKUP(B18,'8. Uncertainty Results'!$A$79:$CM$90,34,FALSE)*((cubicm/gal)*(day/yr))</f>
        <v>0</v>
      </c>
      <c r="E25">
        <f>VLOOKUP(E18,'8. Uncertainty Results'!$A$79:$CM$90,32,FALSE)*((cubicm/gal)*(day/yr))</f>
        <v>0</v>
      </c>
      <c r="F25">
        <f>VLOOKUP(E18,'8. Uncertainty Results'!$A$79:$CM$90,33,FALSE)*((cubicm/gal)*(day/yr))</f>
        <v>0</v>
      </c>
      <c r="G25">
        <f>VLOOKUP(E18,'8. Uncertainty Results'!$A$79:$CM$90,34,FALSE)*((cubicm/gal)*(day/yr))</f>
        <v>0</v>
      </c>
      <c r="H25">
        <f>VLOOKUP(H18,'8. Uncertainty Results'!$A$79:$CM$90,32,FALSE)*((cubicm/gal)*(day/yr))</f>
        <v>0</v>
      </c>
      <c r="I25">
        <f>VLOOKUP(H18,'8. Uncertainty Results'!$A$79:$CM$90,33,FALSE)*((cubicm/gal)*(day/yr))</f>
        <v>0</v>
      </c>
      <c r="J25">
        <f>VLOOKUP(H18,'8. Uncertainty Results'!$A$79:$CM$90,34,FALSE)*((cubicm/gal)*(day/yr))</f>
        <v>0</v>
      </c>
      <c r="K25">
        <f>VLOOKUP(K18,'8. Uncertainty Results'!$A$79:$CM$90,32,FALSE)*((cubicm/gal)*(day/yr))</f>
        <v>0</v>
      </c>
      <c r="L25">
        <f>VLOOKUP(K18,'8. Uncertainty Results'!$A$79:$CM$90,33,FALSE)*((cubicm/gal)*(day/yr))</f>
        <v>0</v>
      </c>
      <c r="M25">
        <f>VLOOKUP(K18,'8. Uncertainty Results'!$A$79:$CM$90,34,FALSE)*((cubicm/gal)*(day/yr))</f>
        <v>0</v>
      </c>
      <c r="N25">
        <f>VLOOKUP(N18,'8. Uncertainty Results'!$A$79:$CM$90,32,FALSE)*((cubicm/gal)*(day/yr))</f>
        <v>0</v>
      </c>
      <c r="O25">
        <f>VLOOKUP(N18,'8. Uncertainty Results'!$A$79:$CM$90,33,FALSE)*((cubicm/gal)*(day/yr))</f>
        <v>0</v>
      </c>
      <c r="P25">
        <f>VLOOKUP(N18,'8. Uncertainty Results'!$A$79:$CM$90,34,FALSE)*((cubicm/gal)*(day/yr))</f>
        <v>0</v>
      </c>
      <c r="Q25">
        <f>VLOOKUP(Q18,'8. Uncertainty Results'!$A$79:$CM$90,32,FALSE)*((cubicm/gal)*(day/yr))</f>
        <v>0</v>
      </c>
      <c r="R25">
        <f>VLOOKUP(Q18,'8. Uncertainty Results'!$A$79:$CM$90,33,FALSE)*((cubicm/gal)*(day/yr))</f>
        <v>0</v>
      </c>
      <c r="S25">
        <f>VLOOKUP(Q18,'8. Uncertainty Results'!$A$79:$CM$90,34,FALSE)*((cubicm/gal)*(day/yr))</f>
        <v>0</v>
      </c>
      <c r="T25">
        <f>VLOOKUP(T18,'8. Uncertainty Results'!$A$79:$CM$90,32,FALSE)*((cubicm/gal)*(day/yr))</f>
        <v>0</v>
      </c>
      <c r="U25">
        <f>VLOOKUP(T18,'8. Uncertainty Results'!$A$79:$CM$90,33,FALSE)*((cubicm/gal)*(day/yr))</f>
        <v>0</v>
      </c>
      <c r="V25">
        <f>VLOOKUP(T18,'8. Uncertainty Results'!$A$79:$CM$90,34,FALSE)*((cubicm/gal)*(day/yr))</f>
        <v>0</v>
      </c>
      <c r="W25">
        <f>VLOOKUP(W18,'8. Uncertainty Results'!$A$79:$CM$90,32,FALSE)*((cubicm/gal)*(day/yr))</f>
        <v>0</v>
      </c>
      <c r="X25">
        <f>VLOOKUP(W18,'8. Uncertainty Results'!$A$79:$CM$90,33,FALSE)*((cubicm/gal)*(day/yr))</f>
        <v>0</v>
      </c>
      <c r="Y25">
        <f>VLOOKUP(W18,'8. Uncertainty Results'!$A$79:$CM$90,34,FALSE)*((cubicm/gal)*(day/yr))</f>
        <v>0</v>
      </c>
    </row>
    <row r="26" spans="1:25" x14ac:dyDescent="0.2">
      <c r="A26" t="s">
        <v>402</v>
      </c>
      <c r="B26">
        <f>VLOOKUP(B18,'8. Uncertainty Results'!$A$79:$CM$91,47,FALSE)*((cubicm/gal)*(day/yr))</f>
        <v>2030.3101400247508</v>
      </c>
      <c r="C26">
        <f>VLOOKUP(B18,'8. Uncertainty Results'!$A$79:$CM$91,48,FALSE)*((cubicm/gal)*(day/yr))</f>
        <v>4097.7753197422471</v>
      </c>
      <c r="D26">
        <f>VLOOKUP(B18,'8. Uncertainty Results'!$A$79:$CM$91,49,FALSE)*((cubicm/gal)*(day/yr))</f>
        <v>6967.5090233515621</v>
      </c>
      <c r="E26">
        <f>VLOOKUP(E18,'8. Uncertainty Results'!$A$79:$CM$90,47,FALSE)*((cubicm/gal)*(day/yr))</f>
        <v>503.34778831930413</v>
      </c>
      <c r="F26">
        <f>VLOOKUP(E18,'8. Uncertainty Results'!$A$79:$CM$90,48,FALSE)*((cubicm/gal)*(day/yr))</f>
        <v>697.52839301984534</v>
      </c>
      <c r="G26">
        <f>VLOOKUP(E18,'8. Uncertainty Results'!$A$79:$CM$90,49,FALSE)*((cubicm/gal)*(day/yr))</f>
        <v>956.32741435878756</v>
      </c>
      <c r="H26">
        <f>VLOOKUP(H18,'8. Uncertainty Results'!$A$79:$CM$90,47,FALSE)*((cubicm/gal)*(day/yr))</f>
        <v>63.151146366195618</v>
      </c>
      <c r="I26">
        <f>VLOOKUP(H18,'8. Uncertainty Results'!$A$79:$CM$90,48,FALSE)*((cubicm/gal)*(day/yr))</f>
        <v>108.36869749170958</v>
      </c>
      <c r="J26">
        <f>VLOOKUP(H18,'8. Uncertainty Results'!$A$79:$CM$90,49,FALSE)*((cubicm/gal)*(day/yr))</f>
        <v>166.19097896263432</v>
      </c>
      <c r="K26">
        <f>VLOOKUP(K18,'8. Uncertainty Results'!$A$79:$CM$90,47,FALSE)*((cubicm/gal)*(day/yr))</f>
        <v>65.408532747601598</v>
      </c>
      <c r="L26">
        <f>VLOOKUP(K18,'8. Uncertainty Results'!$A$79:$CM$90,48,FALSE)*((cubicm/gal)*(day/yr))</f>
        <v>99.904374778886279</v>
      </c>
      <c r="M26">
        <f>VLOOKUP(K18,'8. Uncertainty Results'!$A$79:$CM$90,49,FALSE)*((cubicm/gal)*(day/yr))</f>
        <v>142.12197161079345</v>
      </c>
      <c r="N26">
        <f>VLOOKUP(N18,'8. Uncertainty Results'!$A$79:$CM$90,47,FALSE)*((cubicm/gal)*(day/yr))</f>
        <v>47.054865270900351</v>
      </c>
      <c r="O26">
        <f>VLOOKUP(N18,'8. Uncertainty Results'!$A$79:$CM$90,48,FALSE)*((cubicm/gal)*(day/yr))</f>
        <v>71.012921647090309</v>
      </c>
      <c r="P26">
        <f>VLOOKUP(N18,'8. Uncertainty Results'!$A$79:$CM$90,49,FALSE)*((cubicm/gal)*(day/yr))</f>
        <v>101.35293009334409</v>
      </c>
      <c r="Q26">
        <f>VLOOKUP(Q18,'8. Uncertainty Results'!$A$79:$CM$90,47,FALSE)*((cubicm/gal)*(day/yr))</f>
        <v>65.539743214797198</v>
      </c>
      <c r="R26">
        <f>VLOOKUP(Q18,'8. Uncertainty Results'!$A$79:$CM$90,48,FALSE)*((cubicm/gal)*(day/yr))</f>
        <v>99.40762643690185</v>
      </c>
      <c r="S26">
        <f>VLOOKUP(Q18,'8. Uncertainty Results'!$A$79:$CM$90,49,FALSE)*((cubicm/gal)*(day/yr))</f>
        <v>142.60489228000716</v>
      </c>
      <c r="T26">
        <f>VLOOKUP(T18,'8. Uncertainty Results'!$A$79:$CM$90,47,FALSE)*((cubicm/gal)*(day/yr))</f>
        <v>40.136558061881438</v>
      </c>
      <c r="U26">
        <f>VLOOKUP(T18,'8. Uncertainty Results'!$A$79:$CM$90,48,FALSE)*((cubicm/gal)*(day/yr))</f>
        <v>58.016196539575638</v>
      </c>
      <c r="V26">
        <f>VLOOKUP(T18,'8. Uncertainty Results'!$A$79:$CM$90,49,FALSE)*((cubicm/gal)*(day/yr))</f>
        <v>79.911369623715032</v>
      </c>
      <c r="W26">
        <f>VLOOKUP(W18,'8. Uncertainty Results'!$A$79:$CM$90,47,FALSE)*((cubicm/gal)*(day/yr))</f>
        <v>63.870056353258811</v>
      </c>
      <c r="X26">
        <f>VLOOKUP(W18,'8. Uncertainty Results'!$A$79:$CM$90,48,FALSE)*((cubicm/gal)*(day/yr))</f>
        <v>108.19007784972985</v>
      </c>
      <c r="Y26">
        <f>VLOOKUP(W18,'8. Uncertainty Results'!$A$79:$CM$90,49,FALSE)*((cubicm/gal)*(day/yr))</f>
        <v>166.22893005299335</v>
      </c>
    </row>
    <row r="27" spans="1:25" x14ac:dyDescent="0.2">
      <c r="A27" t="s">
        <v>403</v>
      </c>
      <c r="B27">
        <f>VLOOKUP(B18,'8. Uncertainty Results'!$A$79:$CM$90,62,FALSE)*((cubicm/gal)*(day/yr))</f>
        <v>5.021723149901371</v>
      </c>
      <c r="C27">
        <f>VLOOKUP(B18,'8. Uncertainty Results'!$A$79:$CM$90,63,FALSE)*((cubicm/gal)*(day/yr))</f>
        <v>5.0312345253178972</v>
      </c>
      <c r="D27">
        <f>VLOOKUP(B18,'8. Uncertainty Results'!$A$79:$CM$90,64,FALSE)*((cubicm/gal)*(day/yr))</f>
        <v>5.0390049337671012</v>
      </c>
      <c r="E27">
        <f>VLOOKUP(E18,'8. Uncertainty Results'!$A$79:$CM$90,62,FALSE)*((cubicm/gal)*(day/yr))</f>
        <v>1.0730543130676953</v>
      </c>
      <c r="F27">
        <f>VLOOKUP(E18,'8. Uncertainty Results'!$A$79:$CM$90,63,FALSE)*((cubicm/gal)*(day/yr))</f>
        <v>1.0844073657314794</v>
      </c>
      <c r="G27">
        <f>VLOOKUP(E18,'8. Uncertainty Results'!$A$79:$CM$90,64,FALSE)*((cubicm/gal)*(day/yr))</f>
        <v>1.095518699750228</v>
      </c>
      <c r="H27">
        <f>VLOOKUP(H18,'8. Uncertainty Results'!$A$79:$CM$90,62,FALSE)*((cubicm/gal)*(day/yr))</f>
        <v>0.50327939843009939</v>
      </c>
      <c r="I27">
        <f>VLOOKUP(H18,'8. Uncertainty Results'!$A$79:$CM$90,63,FALSE)*((cubicm/gal)*(day/yr))</f>
        <v>0.51406284744799535</v>
      </c>
      <c r="J27">
        <f>VLOOKUP(H18,'8. Uncertainty Results'!$A$79:$CM$90,64,FALSE)*((cubicm/gal)*(day/yr))</f>
        <v>0.52427589159150167</v>
      </c>
      <c r="K27">
        <f>VLOOKUP(K18,'8. Uncertainty Results'!$A$79:$CM$90,62,FALSE)*((cubicm/gal)*(day/yr))</f>
        <v>0.27949007201638093</v>
      </c>
      <c r="L27">
        <f>VLOOKUP(K18,'8. Uncertainty Results'!$A$79:$CM$90,63,FALSE)*((cubicm/gal)*(day/yr))</f>
        <v>0.28536670880530113</v>
      </c>
      <c r="M27">
        <f>VLOOKUP(K18,'8. Uncertainty Results'!$A$79:$CM$90,64,FALSE)*((cubicm/gal)*(day/yr))</f>
        <v>0.29103654198957746</v>
      </c>
      <c r="N27">
        <f>VLOOKUP(N18,'8. Uncertainty Results'!$A$79:$CM$90,62,FALSE)*((cubicm/gal)*(day/yr))</f>
        <v>0.19685995926696509</v>
      </c>
      <c r="O27">
        <f>VLOOKUP(N18,'8. Uncertainty Results'!$A$79:$CM$90,63,FALSE)*((cubicm/gal)*(day/yr))</f>
        <v>0.20108012647589038</v>
      </c>
      <c r="P27">
        <f>VLOOKUP(N18,'8. Uncertainty Results'!$A$79:$CM$90,64,FALSE)*((cubicm/gal)*(day/yr))</f>
        <v>0.20510709065614963</v>
      </c>
      <c r="Q27">
        <f>VLOOKUP(Q18,'8. Uncertainty Results'!$A$79:$CM$90,62,FALSE)*((cubicm/gal)*(day/yr))</f>
        <v>0.27952782745156224</v>
      </c>
      <c r="R27">
        <f>VLOOKUP(Q18,'8. Uncertainty Results'!$A$79:$CM$90,63,FALSE)*((cubicm/gal)*(day/yr))</f>
        <v>0.28542489701976992</v>
      </c>
      <c r="S27">
        <f>VLOOKUP(Q18,'8. Uncertainty Results'!$A$79:$CM$90,64,FALSE)*((cubicm/gal)*(day/yr))</f>
        <v>0.29100114100351637</v>
      </c>
      <c r="T27">
        <f>VLOOKUP(T18,'8. Uncertainty Results'!$A$79:$CM$90,62,FALSE)*((cubicm/gal)*(day/yr))</f>
        <v>0.10148133418010695</v>
      </c>
      <c r="U27">
        <f>VLOOKUP(T18,'8. Uncertainty Results'!$A$79:$CM$90,63,FALSE)*((cubicm/gal)*(day/yr))</f>
        <v>0.10194880554150754</v>
      </c>
      <c r="V27">
        <f>VLOOKUP(T18,'8. Uncertainty Results'!$A$79:$CM$90,64,FALSE)*((cubicm/gal)*(day/yr))</f>
        <v>0.10238487453146901</v>
      </c>
      <c r="W27">
        <f>VLOOKUP(W18,'8. Uncertainty Results'!$A$79:$CM$90,62,FALSE)*((cubicm/gal)*(day/yr))</f>
        <v>0.50301687291682395</v>
      </c>
      <c r="X27">
        <f>VLOOKUP(W18,'8. Uncertainty Results'!$A$79:$CM$90,63,FALSE)*((cubicm/gal)*(day/yr))</f>
        <v>0.51394043414801527</v>
      </c>
      <c r="Y27">
        <f>VLOOKUP(W18,'8. Uncertainty Results'!$A$79:$CM$90,64,FALSE)*((cubicm/gal)*(day/yr))</f>
        <v>0.5239996073434342</v>
      </c>
    </row>
    <row r="28" spans="1:25" x14ac:dyDescent="0.2">
      <c r="A28" t="s">
        <v>439</v>
      </c>
      <c r="B28">
        <f>VLOOKUP(B18,'8. Uncertainty Results'!$A$79:$CM$90,77,FALSE)*((cubicm/gal)*(day/yr))</f>
        <v>0</v>
      </c>
      <c r="C28">
        <f>VLOOKUP(B18,'8. Uncertainty Results'!$A$79:$CM$90,78,FALSE)*((cubicm/gal)*(day/yr))</f>
        <v>0</v>
      </c>
      <c r="D28">
        <f>VLOOKUP(B18,'8. Uncertainty Results'!$A$79:$CM$90,79,FALSE)*((cubicm/gal)*(day/yr))</f>
        <v>0</v>
      </c>
      <c r="E28">
        <f>VLOOKUP(E18,'8. Uncertainty Results'!$A$79:$CM$90,77,FALSE)*((cubicm/gal)*(day/yr))</f>
        <v>1.0686537441252291</v>
      </c>
      <c r="F28">
        <f>VLOOKUP(E18,'8. Uncertainty Results'!$A$79:$CM$90,78,FALSE)*((cubicm/gal)*(day/yr))</f>
        <v>1.2109074761292427</v>
      </c>
      <c r="G28">
        <f>VLOOKUP(E18,'8. Uncertainty Results'!$A$79:$CM$90,79,FALSE)*((cubicm/gal)*(day/yr))</f>
        <v>1.3671364973956517</v>
      </c>
      <c r="H28">
        <f>VLOOKUP(H18,'8. Uncertainty Results'!$A$79:$CM$90,77,FALSE)*((cubicm/gal)*(day/yr))</f>
        <v>2.1510310326406161</v>
      </c>
      <c r="I28">
        <f>VLOOKUP(H18,'8. Uncertainty Results'!$A$79:$CM$90,78,FALSE)*((cubicm/gal)*(day/yr))</f>
        <v>2.5291320754113649</v>
      </c>
      <c r="J28">
        <f>VLOOKUP(H18,'8. Uncertainty Results'!$A$79:$CM$90,79,FALSE)*((cubicm/gal)*(day/yr))</f>
        <v>3.013534286370851</v>
      </c>
      <c r="K28">
        <f>VLOOKUP(K18,'8. Uncertainty Results'!$A$79:$CM$90,77,FALSE)*((cubicm/gal)*(day/yr))</f>
        <v>0</v>
      </c>
      <c r="L28">
        <f>VLOOKUP(K18,'8. Uncertainty Results'!$A$79:$CM$90,78,FALSE)*((cubicm/gal)*(day/yr))</f>
        <v>0</v>
      </c>
      <c r="M28">
        <f>VLOOKUP(K18,'8. Uncertainty Results'!$A$79:$CM$90,79,FALSE)*((cubicm/gal)*(day/yr))</f>
        <v>0</v>
      </c>
      <c r="N28">
        <f>VLOOKUP(N18,'8. Uncertainty Results'!$A$79:$CM$90,77,FALSE)*((cubicm/gal)*(day/yr))</f>
        <v>0</v>
      </c>
      <c r="O28">
        <f>VLOOKUP(N18,'8. Uncertainty Results'!$A$79:$CM$90,78,FALSE)*((cubicm/gal)*(day/yr))</f>
        <v>0</v>
      </c>
      <c r="P28">
        <f>VLOOKUP(N18,'8. Uncertainty Results'!$A$79:$CM$90,79,FALSE)*((cubicm/gal)*(day/yr))</f>
        <v>0</v>
      </c>
      <c r="Q28">
        <f>VLOOKUP(Q18,'8. Uncertainty Results'!$A$79:$CM$90,77,FALSE)*((cubicm/gal)*(day/yr))</f>
        <v>0</v>
      </c>
      <c r="R28">
        <f>VLOOKUP(Q18,'8. Uncertainty Results'!$A$79:$CM$90,78,FALSE)*((cubicm/gal)*(day/yr))</f>
        <v>0</v>
      </c>
      <c r="S28">
        <f>VLOOKUP(Q18,'8. Uncertainty Results'!$A$79:$CM$90,79,FALSE)*((cubicm/gal)*(day/yr))</f>
        <v>0</v>
      </c>
      <c r="T28">
        <f>VLOOKUP(T18,'8. Uncertainty Results'!$A$79:$CM$90,77,FALSE)*((cubicm/gal)*(day/yr))</f>
        <v>0</v>
      </c>
      <c r="U28">
        <f>VLOOKUP(T18,'8. Uncertainty Results'!$A$79:$CM$90,78,FALSE)*((cubicm/gal)*(day/yr))</f>
        <v>0</v>
      </c>
      <c r="V28">
        <f>VLOOKUP(T18,'8. Uncertainty Results'!$A$79:$CM$90,79,FALSE)*((cubicm/gal)*(day/yr))</f>
        <v>0</v>
      </c>
      <c r="W28">
        <f>VLOOKUP(W18,'8. Uncertainty Results'!$A$79:$CM$90,77,FALSE)*((cubicm/gal)*(day/yr))</f>
        <v>2.1437596706426665</v>
      </c>
      <c r="X28">
        <f>VLOOKUP(W18,'8. Uncertainty Results'!$A$79:$CM$90,78,FALSE)*((cubicm/gal)*(day/yr))</f>
        <v>2.5201234927528877</v>
      </c>
      <c r="Y28">
        <f>VLOOKUP(W18,'8. Uncertainty Results'!$A$79:$CM$90,79,FALSE)*((cubicm/gal)*(day/yr))</f>
        <v>3.0224253714798448</v>
      </c>
    </row>
    <row r="29" spans="1:25" x14ac:dyDescent="0.2">
      <c r="A29" t="s">
        <v>492</v>
      </c>
      <c r="B29">
        <f>VLOOKUP(B18,'8. Uncertainty Results'!$A$203:$D$215,2,FALSE)/1000000</f>
        <v>22.19928637592842</v>
      </c>
      <c r="C29">
        <f>VLOOKUP(B18,'8. Uncertainty Results'!$A$203:$D$215,3,FALSE)/1000000</f>
        <v>24.2754169819958</v>
      </c>
      <c r="D29">
        <f>VLOOKUP(B18,'8. Uncertainty Results'!$A$203:$D$215,4,FALSE)/1000000</f>
        <v>26.300815250844281</v>
      </c>
      <c r="E29">
        <f>VLOOKUP(E18,'8. Uncertainty Results'!$A$203:$D$215,2,FALSE)/1000000</f>
        <v>30.329777237026992</v>
      </c>
      <c r="F29">
        <f>VLOOKUP(E18,'8. Uncertainty Results'!$A$203:$D$215,3,FALSE)/1000000</f>
        <v>34.810209497471384</v>
      </c>
      <c r="G29">
        <f>VLOOKUP(E18,'8. Uncertainty Results'!$A$203:$D$215,4,FALSE)/1000000</f>
        <v>39.804593895523155</v>
      </c>
      <c r="H29">
        <f>VLOOKUP(H18,'8. Uncertainty Results'!$A$203:$D$215,2,FALSE)/1000000</f>
        <v>0.36684257135850085</v>
      </c>
      <c r="I29">
        <f>VLOOKUP(H18,'8. Uncertainty Results'!$A$203:$D$215,3,FALSE)/1000000</f>
        <v>1.9272387365708405</v>
      </c>
      <c r="J29">
        <f>VLOOKUP(H18,'8. Uncertainty Results'!$A$203:$D$215,4,FALSE)/1000000</f>
        <v>9.7366119085476832</v>
      </c>
      <c r="K29">
        <f>VLOOKUP(K18,'8. Uncertainty Results'!$A$203:$D$215,2,FALSE)/1000000</f>
        <v>28.572915147869598</v>
      </c>
      <c r="L29">
        <f>VLOOKUP(K18,'8. Uncertainty Results'!$A$203:$D$215,3,FALSE)/1000000</f>
        <v>36.784589510791825</v>
      </c>
      <c r="M29">
        <f>VLOOKUP(K18,'8. Uncertainty Results'!$A$203:$D$215,4,FALSE)/1000000</f>
        <v>63.986855731934547</v>
      </c>
      <c r="N29">
        <f>VLOOKUP(N18,'8. Uncertainty Results'!$A$203:$D$215,2,FALSE)/1000000</f>
        <v>12.60217290105447</v>
      </c>
      <c r="O29">
        <f>VLOOKUP(N18,'8. Uncertainty Results'!$A$203:$D$215,3,FALSE)/1000000</f>
        <v>19.226978004610444</v>
      </c>
      <c r="P29">
        <f>VLOOKUP(N18,'8. Uncertainty Results'!$A$203:$D$215,4,FALSE)/1000000</f>
        <v>49.036167912910365</v>
      </c>
      <c r="Q29">
        <f>VLOOKUP(Q18,'8. Uncertainty Results'!$A$203:$D$215,2,FALSE)/1000000</f>
        <v>4.9234855062215894</v>
      </c>
      <c r="R29">
        <f>VLOOKUP(Q18,'8. Uncertainty Results'!$A$203:$D$215,3,FALSE)/1000000</f>
        <v>5.37106142092306</v>
      </c>
      <c r="S29">
        <f>VLOOKUP(Q18,'8. Uncertainty Results'!$A$203:$D$215,4,FALSE)/1000000</f>
        <v>5.8389653933930203</v>
      </c>
      <c r="T29">
        <f>VLOOKUP(T18,'8. Uncertainty Results'!$A$203:$D$215,2,FALSE)/1000000</f>
        <v>3.9079818470785299</v>
      </c>
      <c r="U29">
        <f>VLOOKUP(T18,'8. Uncertainty Results'!$A$203:$D$215,3,FALSE)/1000000</f>
        <v>4.2843021047777894</v>
      </c>
      <c r="V29">
        <f>VLOOKUP(T18,'8. Uncertainty Results'!$A$203:$D$215,4,FALSE)/1000000</f>
        <v>4.6474321803099699</v>
      </c>
      <c r="W29">
        <f>VLOOKUP(W18,'8. Uncertainty Results'!$A$203:$D$215,2,FALSE)/1000000</f>
        <v>0.23425673678805656</v>
      </c>
      <c r="X29">
        <f>VLOOKUP(W18,'8. Uncertainty Results'!$A$203:$D$215,3,FALSE)/1000000</f>
        <v>1.1548930353673985</v>
      </c>
      <c r="Y29">
        <f>VLOOKUP(W18,'8. Uncertainty Results'!$A$203:$D$215,4,FALSE)/1000000</f>
        <v>5.5129749020288967</v>
      </c>
    </row>
    <row r="31" spans="1:25" x14ac:dyDescent="0.2">
      <c r="A31" t="s">
        <v>563</v>
      </c>
      <c r="B31" s="474">
        <f>B18</f>
        <v>18100204</v>
      </c>
      <c r="C31" s="474"/>
      <c r="D31" s="474"/>
      <c r="E31" s="474">
        <f t="shared" ref="E31" si="14">E18</f>
        <v>16040201</v>
      </c>
      <c r="F31" s="474"/>
      <c r="G31" s="474"/>
      <c r="H31" s="474">
        <f t="shared" ref="H31" si="15">H18</f>
        <v>15030202</v>
      </c>
      <c r="I31" s="474"/>
      <c r="J31" s="474"/>
      <c r="K31" s="474">
        <f t="shared" ref="K31" si="16">K18</f>
        <v>16060011</v>
      </c>
      <c r="L31" s="474"/>
      <c r="M31" s="474"/>
      <c r="N31" s="474">
        <f t="shared" ref="N31" si="17">N18</f>
        <v>16060003</v>
      </c>
      <c r="O31" s="474"/>
      <c r="P31" s="474"/>
      <c r="Q31" s="474">
        <f t="shared" ref="Q31" si="18">Q18</f>
        <v>16060013</v>
      </c>
      <c r="R31" s="474"/>
      <c r="S31" s="474"/>
      <c r="T31" s="474">
        <f t="shared" ref="T31" si="19">T18</f>
        <v>16060010</v>
      </c>
      <c r="U31" s="474"/>
      <c r="V31" s="474"/>
      <c r="W31" s="474">
        <f t="shared" ref="W31" si="20">W18</f>
        <v>15030201</v>
      </c>
      <c r="X31" s="474"/>
      <c r="Y31" s="474"/>
    </row>
    <row r="32" spans="1:25" x14ac:dyDescent="0.2">
      <c r="B32" s="474" t="str">
        <f>B19</f>
        <v>SS</v>
      </c>
      <c r="C32" s="474"/>
      <c r="D32" s="474"/>
      <c r="E32" s="474" t="str">
        <f t="shared" ref="E32" si="21">E19</f>
        <v>UQ</v>
      </c>
      <c r="F32" s="474"/>
      <c r="G32" s="474"/>
      <c r="H32" s="474" t="str">
        <f t="shared" ref="H32" si="22">H19</f>
        <v>BUR</v>
      </c>
      <c r="I32" s="474"/>
      <c r="J32" s="474"/>
      <c r="K32" s="474" t="str">
        <f t="shared" ref="K32" si="23">K19</f>
        <v>RSCV</v>
      </c>
      <c r="L32" s="474"/>
      <c r="M32" s="474"/>
      <c r="N32" s="474" t="str">
        <f t="shared" ref="N32" si="24">N19</f>
        <v>SBSV</v>
      </c>
      <c r="O32" s="474"/>
      <c r="P32" s="474"/>
      <c r="Q32" s="474" t="str">
        <f t="shared" ref="Q32" si="25">Q19</f>
        <v>CSF</v>
      </c>
      <c r="R32" s="474"/>
      <c r="S32" s="474"/>
      <c r="T32" s="474" t="str">
        <f t="shared" ref="T32" si="26">T19</f>
        <v>FLSSV</v>
      </c>
      <c r="U32" s="474"/>
      <c r="V32" s="474"/>
      <c r="W32" s="474" t="str">
        <f t="shared" ref="W32" si="27">W19</f>
        <v>BS</v>
      </c>
      <c r="X32" s="474"/>
      <c r="Y32" s="474"/>
    </row>
    <row r="33" spans="1:25" x14ac:dyDescent="0.2">
      <c r="B33" t="s">
        <v>440</v>
      </c>
      <c r="C33" t="s">
        <v>441</v>
      </c>
      <c r="D33" t="s">
        <v>442</v>
      </c>
      <c r="E33" t="s">
        <v>440</v>
      </c>
      <c r="F33" t="s">
        <v>441</v>
      </c>
      <c r="G33" t="s">
        <v>442</v>
      </c>
      <c r="H33" t="s">
        <v>440</v>
      </c>
      <c r="I33" t="s">
        <v>441</v>
      </c>
      <c r="J33" t="s">
        <v>442</v>
      </c>
      <c r="K33" t="s">
        <v>440</v>
      </c>
      <c r="L33" t="s">
        <v>441</v>
      </c>
      <c r="M33" t="s">
        <v>442</v>
      </c>
      <c r="N33" t="s">
        <v>440</v>
      </c>
      <c r="O33" t="s">
        <v>441</v>
      </c>
      <c r="P33" t="s">
        <v>442</v>
      </c>
      <c r="Q33" t="s">
        <v>440</v>
      </c>
      <c r="R33" t="s">
        <v>441</v>
      </c>
      <c r="S33" t="s">
        <v>442</v>
      </c>
      <c r="T33" t="s">
        <v>440</v>
      </c>
      <c r="U33" t="s">
        <v>441</v>
      </c>
      <c r="V33" t="s">
        <v>442</v>
      </c>
      <c r="W33" t="s">
        <v>440</v>
      </c>
      <c r="X33" t="s">
        <v>441</v>
      </c>
      <c r="Y33" t="s">
        <v>442</v>
      </c>
    </row>
    <row r="34" spans="1:25" x14ac:dyDescent="0.2">
      <c r="A34" t="s">
        <v>436</v>
      </c>
      <c r="B34">
        <f>VLOOKUP(B31,'8. Uncertainty Results'!$A$43:$G$54,5,FALSE)*(cubicm/gal)*(day/yr)</f>
        <v>642.44787031364069</v>
      </c>
      <c r="C34">
        <f>B34</f>
        <v>642.44787031364069</v>
      </c>
      <c r="D34">
        <f>B34</f>
        <v>642.44787031364069</v>
      </c>
      <c r="E34">
        <f>VLOOKUP(E31,'8. Uncertainty Results'!$A$43:$G$54,5,FALSE)*(cubicm/gal)*(day/yr)</f>
        <v>177.35121582214242</v>
      </c>
      <c r="F34">
        <f>E34</f>
        <v>177.35121582214242</v>
      </c>
      <c r="G34">
        <f>E34</f>
        <v>177.35121582214242</v>
      </c>
      <c r="H34">
        <f>VLOOKUP(H31,'8. Uncertainty Results'!$A$43:$G$54,5,FALSE)*(cubicm/gal)*(day/yr)</f>
        <v>59.402088245565515</v>
      </c>
      <c r="I34">
        <f>H34</f>
        <v>59.402088245565515</v>
      </c>
      <c r="J34">
        <f>H34</f>
        <v>59.402088245565515</v>
      </c>
      <c r="K34">
        <f>VLOOKUP(K31,'8. Uncertainty Results'!$A$43:$G$54,5,FALSE)*(cubicm/gal)*(day/yr)</f>
        <v>47.560091924325583</v>
      </c>
      <c r="L34">
        <f>K34</f>
        <v>47.560091924325583</v>
      </c>
      <c r="M34">
        <f>K34</f>
        <v>47.560091924325583</v>
      </c>
      <c r="N34">
        <f>VLOOKUP(N31,'8. Uncertainty Results'!$A$43:$G$54,5,FALSE)*(cubicm/gal)*(day/yr)</f>
        <v>30.733802056898508</v>
      </c>
      <c r="O34">
        <f>N34</f>
        <v>30.733802056898508</v>
      </c>
      <c r="P34">
        <f>N34</f>
        <v>30.733802056898508</v>
      </c>
      <c r="Q34">
        <f>VLOOKUP(Q31,'8. Uncertainty Results'!$A$43:$G$54,5,FALSE)*(cubicm/gal)*(day/yr)</f>
        <v>39.938959073661671</v>
      </c>
      <c r="R34">
        <f>Q34</f>
        <v>39.938959073661671</v>
      </c>
      <c r="S34">
        <f>Q34</f>
        <v>39.938959073661671</v>
      </c>
      <c r="T34">
        <f>VLOOKUP(T31,'8. Uncertainty Results'!$A$43:$G$54,5,FALSE)*(cubicm/gal)*(day/yr)</f>
        <v>51.233289726836418</v>
      </c>
      <c r="U34">
        <f>T34</f>
        <v>51.233289726836418</v>
      </c>
      <c r="V34">
        <f>T34</f>
        <v>51.233289726836418</v>
      </c>
      <c r="W34">
        <f>VLOOKUP(W31,'8. Uncertainty Results'!$A$43:$G$54,5,FALSE)*(cubicm/gal)*(day/yr)</f>
        <v>111.98928589092783</v>
      </c>
      <c r="X34">
        <f>W34</f>
        <v>111.98928589092783</v>
      </c>
      <c r="Y34">
        <f>W34</f>
        <v>111.98928589092783</v>
      </c>
    </row>
    <row r="35" spans="1:25" x14ac:dyDescent="0.2">
      <c r="A35" t="s">
        <v>437</v>
      </c>
      <c r="B35">
        <f>VLOOKUP(B31,'8. Uncertainty Results'!$A$43:$G$54,7,FALSE)*(cubicm/gal)*(day/yr)</f>
        <v>785.2341273394876</v>
      </c>
      <c r="C35">
        <f>B35</f>
        <v>785.2341273394876</v>
      </c>
      <c r="D35">
        <f>B35</f>
        <v>785.2341273394876</v>
      </c>
      <c r="E35">
        <f>VLOOKUP(E31,'8. Uncertainty Results'!$A$43:$G$54,7,FALSE)*(cubicm/gal)*(day/yr)</f>
        <v>571.90554774673467</v>
      </c>
      <c r="F35">
        <f>E35</f>
        <v>571.90554774673467</v>
      </c>
      <c r="G35">
        <f>E35</f>
        <v>571.90554774673467</v>
      </c>
      <c r="H35">
        <f>VLOOKUP(H31,'8. Uncertainty Results'!$A$43:$G$54,7,FALSE)*(cubicm/gal)*(day/yr)</f>
        <v>180.85382722529019</v>
      </c>
      <c r="I35">
        <f>H35</f>
        <v>180.85382722529019</v>
      </c>
      <c r="J35">
        <f>H35</f>
        <v>180.85382722529019</v>
      </c>
      <c r="K35">
        <f>VLOOKUP(K31,'8. Uncertainty Results'!$A$43:$G$54,7,FALSE)*(cubicm/gal)*(day/yr)</f>
        <v>103.85436500275966</v>
      </c>
      <c r="L35">
        <f>K35</f>
        <v>103.85436500275966</v>
      </c>
      <c r="M35">
        <f>K35</f>
        <v>103.85436500275966</v>
      </c>
      <c r="N35">
        <f>VLOOKUP(N31,'8. Uncertainty Results'!$A$43:$G$54,7,FALSE)*(cubicm/gal)*(day/yr)</f>
        <v>130.56690651318701</v>
      </c>
      <c r="O35">
        <f>N35</f>
        <v>130.56690651318701</v>
      </c>
      <c r="P35">
        <f>N35</f>
        <v>130.56690651318701</v>
      </c>
      <c r="Q35">
        <f>VLOOKUP(Q31,'8. Uncertainty Results'!$A$43:$G$54,7,FALSE)*(cubicm/gal)*(day/yr)</f>
        <v>124.9190554249201</v>
      </c>
      <c r="R35">
        <f>Q35</f>
        <v>124.9190554249201</v>
      </c>
      <c r="S35">
        <f>Q35</f>
        <v>124.9190554249201</v>
      </c>
      <c r="T35">
        <f>VLOOKUP(T31,'8. Uncertainty Results'!$A$43:$G$54,7,FALSE)*(cubicm/gal)*(day/yr)</f>
        <v>126.85596307330604</v>
      </c>
      <c r="U35">
        <f>T35</f>
        <v>126.85596307330604</v>
      </c>
      <c r="V35">
        <f>T35</f>
        <v>126.85596307330604</v>
      </c>
      <c r="W35">
        <f>VLOOKUP(W31,'8. Uncertainty Results'!$A$43:$G$54,7,FALSE)*(cubicm/gal)*(day/yr)</f>
        <v>357.72032561616231</v>
      </c>
      <c r="X35">
        <f>W35</f>
        <v>357.72032561616231</v>
      </c>
      <c r="Y35">
        <f>W35</f>
        <v>357.72032561616231</v>
      </c>
    </row>
    <row r="36" spans="1:25" x14ac:dyDescent="0.2">
      <c r="A36" t="s">
        <v>438</v>
      </c>
      <c r="B36">
        <f>VLOOKUP(B31,'8. Uncertainty Results'!$A$79:$CM$90,2,FALSE)*((cubicm/gal)*(day/yr))/1.65</f>
        <v>11.14122884813237</v>
      </c>
      <c r="C36">
        <f>VLOOKUP(B31,'8. Uncertainty Results'!$A$79:$CM$90,3,FALSE)*((cubicm/gal)*(day/yr))/2.73</f>
        <v>7.019355281142623</v>
      </c>
      <c r="D36">
        <f>VLOOKUP(B31,'8. Uncertainty Results'!$A$79:$CM$90,4,FALSE)*((cubicm/gal)*(day/yr))/3.94</f>
        <v>5.0399737647530278</v>
      </c>
      <c r="E36">
        <f>VLOOKUP(E31,'8. Uncertainty Results'!$A$79:$CM$90,2,FALSE)*((cubicm/gal)*(day/yr))</f>
        <v>0</v>
      </c>
      <c r="F36">
        <f>VLOOKUP(E31,'8. Uncertainty Results'!$A$79:$CM$90,3,FALSE)*((cubicm/gal)*(day/yr))</f>
        <v>0</v>
      </c>
      <c r="G36">
        <f>VLOOKUP(E31,'8. Uncertainty Results'!$A$79:$CM$90,4,FALSE)*((cubicm/gal)*(day/yr))</f>
        <v>0</v>
      </c>
      <c r="H36">
        <f>VLOOKUP(H31,'8. Uncertainty Results'!$A$79:$CM$90,2,FALSE)*((cubicm/gal)*(day/yr))</f>
        <v>27.083867198462407</v>
      </c>
      <c r="I36">
        <f>VLOOKUP(H31,'8. Uncertainty Results'!$A$79:$CM$90,3,FALSE)*((cubicm/gal)*(day/yr))</f>
        <v>28.839456769240535</v>
      </c>
      <c r="J36">
        <f>VLOOKUP(H31,'8. Uncertainty Results'!$A$79:$CM$90,4,FALSE)*((cubicm/gal)*(day/yr))</f>
        <v>30.41590527694613</v>
      </c>
      <c r="K36">
        <f>VLOOKUP(K31,'8. Uncertainty Results'!$A$79:$CM$90,2,FALSE)*((cubicm/gal)*(day/yr))</f>
        <v>0.10892073702118375</v>
      </c>
      <c r="L36">
        <f>VLOOKUP(K31,'8. Uncertainty Results'!$A$79:$CM$90,3,FALSE)*((cubicm/gal)*(day/yr))</f>
        <v>0.11584531339172101</v>
      </c>
      <c r="M36">
        <f>VLOOKUP(K31,'8. Uncertainty Results'!$A$79:$CM$90,4,FALSE)*((cubicm/gal)*(day/yr))</f>
        <v>0.12215256667676105</v>
      </c>
      <c r="N36">
        <f>VLOOKUP(N31,'8. Uncertainty Results'!$A$79:$CM$90,2,FALSE)*((cubicm/gal)*(day/yr))</f>
        <v>7.2507963443046802E-2</v>
      </c>
      <c r="O36">
        <f>VLOOKUP(N31,'8. Uncertainty Results'!$A$79:$CM$90,3,FALSE)*((cubicm/gal)*(day/yr))</f>
        <v>7.7150250488761063E-2</v>
      </c>
      <c r="P36">
        <f>VLOOKUP(N31,'8. Uncertainty Results'!$A$79:$CM$90,4,FALSE)*((cubicm/gal)*(day/yr))</f>
        <v>8.1393074814615066E-2</v>
      </c>
      <c r="Q36">
        <f>VLOOKUP(Q31,'8. Uncertainty Results'!$A$79:$CM$90,2,FALSE)*((cubicm/gal)*(day/yr))</f>
        <v>0.10875850726186666</v>
      </c>
      <c r="R36">
        <f>VLOOKUP(Q31,'8. Uncertainty Results'!$A$79:$CM$90,3,FALSE)*((cubicm/gal)*(day/yr))</f>
        <v>0.11586019739380586</v>
      </c>
      <c r="S36">
        <f>VLOOKUP(Q31,'8. Uncertainty Results'!$A$79:$CM$90,4,FALSE)*((cubicm/gal)*(day/yr))</f>
        <v>0.12218128553727825</v>
      </c>
      <c r="T36">
        <f>VLOOKUP(T31,'8. Uncertainty Results'!$A$79:$CM$90,2,FALSE)*((cubicm/gal)*(day/yr))</f>
        <v>17.818567026492541</v>
      </c>
      <c r="U36">
        <f>VLOOKUP(T31,'8. Uncertainty Results'!$A$79:$CM$90,3,FALSE)*((cubicm/gal)*(day/yr))</f>
        <v>18.588406176525066</v>
      </c>
      <c r="V36">
        <f>VLOOKUP(T31,'8. Uncertainty Results'!$A$79:$CM$90,4,FALSE)*((cubicm/gal)*(day/yr))</f>
        <v>19.247293280330002</v>
      </c>
      <c r="W36">
        <f>VLOOKUP(W31,'8. Uncertainty Results'!$A$79:$CM$90,2,FALSE)*((cubicm/gal)*(day/yr))</f>
        <v>27.112044541514223</v>
      </c>
      <c r="X36">
        <f>VLOOKUP(W31,'8. Uncertainty Results'!$A$79:$CM$90,3,FALSE)*((cubicm/gal)*(day/yr))</f>
        <v>28.875910145347955</v>
      </c>
      <c r="Y36">
        <f>VLOOKUP(W31,'8. Uncertainty Results'!$A$79:$CM$90,4,FALSE)*((cubicm/gal)*(day/yr))</f>
        <v>30.448041464104914</v>
      </c>
    </row>
    <row r="37" spans="1:25" x14ac:dyDescent="0.2">
      <c r="A37" t="s">
        <v>400</v>
      </c>
      <c r="B37">
        <f>VLOOKUP(B31,'8. Uncertainty Results'!$A$79:$CM$90,17,FALSE)*((cubicm/gal)*(day/yr))/1.65</f>
        <v>21.389357778040885</v>
      </c>
      <c r="C37">
        <f>VLOOKUP(B31,'8. Uncertainty Results'!$A$79:$CM$90,18,FALSE)*((cubicm/gal)*(day/yr))/2.73</f>
        <v>13.521294581776704</v>
      </c>
      <c r="D37">
        <f>VLOOKUP(B31,'8. Uncertainty Results'!$A$79:$CM$90,19,FALSE)*((cubicm/gal)*(day/yr))/3.94</f>
        <v>9.7574704125605631</v>
      </c>
      <c r="E37">
        <f>VLOOKUP(E31,'8. Uncertainty Results'!$A$79:$CM$90,17,FALSE)*((cubicm/gal)*(day/yr))</f>
        <v>4.1926359960124406</v>
      </c>
      <c r="F37">
        <f>VLOOKUP(E31,'8. Uncertainty Results'!$A$79:$CM$90,18,FALSE)*((cubicm/gal)*(day/yr))</f>
        <v>4.3768649203525563</v>
      </c>
      <c r="G37">
        <f>VLOOKUP(E31,'8. Uncertainty Results'!$A$79:$CM$90,19,FALSE)*((cubicm/gal)*(day/yr))</f>
        <v>4.5712948625793572</v>
      </c>
      <c r="H37">
        <f>VLOOKUP(H31,'8. Uncertainty Results'!$A$79:$CM$90,17,FALSE)*((cubicm/gal)*(day/yr))</f>
        <v>63.675062555975558</v>
      </c>
      <c r="I37">
        <f>VLOOKUP(H31,'8. Uncertainty Results'!$A$79:$CM$90,18,FALSE)*((cubicm/gal)*(day/yr))</f>
        <v>67.834661733707605</v>
      </c>
      <c r="J37">
        <f>VLOOKUP(H31,'8. Uncertainty Results'!$A$79:$CM$90,19,FALSE)*((cubicm/gal)*(day/yr))</f>
        <v>72.185301934436282</v>
      </c>
      <c r="K37">
        <f>VLOOKUP(K31,'8. Uncertainty Results'!$A$79:$CM$90,17,FALSE)*((cubicm/gal)*(day/yr))</f>
        <v>9.0887661182489161</v>
      </c>
      <c r="L37">
        <f>VLOOKUP(K31,'8. Uncertainty Results'!$A$79:$CM$90,18,FALSE)*((cubicm/gal)*(day/yr))</f>
        <v>9.8319032395733412</v>
      </c>
      <c r="M37">
        <f>VLOOKUP(K31,'8. Uncertainty Results'!$A$79:$CM$90,19,FALSE)*((cubicm/gal)*(day/yr))</f>
        <v>10.713278579356988</v>
      </c>
      <c r="N37">
        <f>VLOOKUP(N31,'8. Uncertainty Results'!$A$79:$CM$90,17,FALSE)*((cubicm/gal)*(day/yr))</f>
        <v>6.3235988229415865</v>
      </c>
      <c r="O37">
        <f>VLOOKUP(N31,'8. Uncertainty Results'!$A$79:$CM$90,18,FALSE)*((cubicm/gal)*(day/yr))</f>
        <v>6.8199637923137679</v>
      </c>
      <c r="P37">
        <f>VLOOKUP(N31,'8. Uncertainty Results'!$A$79:$CM$90,19,FALSE)*((cubicm/gal)*(day/yr))</f>
        <v>7.4251509423376492</v>
      </c>
      <c r="Q37">
        <f>VLOOKUP(Q31,'8. Uncertainty Results'!$A$79:$CM$90,17,FALSE)*((cubicm/gal)*(day/yr))</f>
        <v>9.0908234048382148</v>
      </c>
      <c r="R37">
        <f>VLOOKUP(Q31,'8. Uncertainty Results'!$A$79:$CM$90,18,FALSE)*((cubicm/gal)*(day/yr))</f>
        <v>9.8381275137842152</v>
      </c>
      <c r="S37">
        <f>VLOOKUP(Q31,'8. Uncertainty Results'!$A$79:$CM$90,19,FALSE)*((cubicm/gal)*(day/yr))</f>
        <v>10.71542018366544</v>
      </c>
      <c r="T37">
        <f>VLOOKUP(T31,'8. Uncertainty Results'!$A$79:$CM$90,17,FALSE)*((cubicm/gal)*(day/yr))</f>
        <v>1.3774445908162978</v>
      </c>
      <c r="U37">
        <f>VLOOKUP(T31,'8. Uncertainty Results'!$A$79:$CM$90,18,FALSE)*((cubicm/gal)*(day/yr))</f>
        <v>1.462959819895308</v>
      </c>
      <c r="V37">
        <f>VLOOKUP(T31,'8. Uncertainty Results'!$A$79:$CM$90,19,FALSE)*((cubicm/gal)*(day/yr))</f>
        <v>1.5384987802428851</v>
      </c>
      <c r="W37">
        <f>VLOOKUP(W31,'8. Uncertainty Results'!$A$79:$CM$90,17,FALSE)*((cubicm/gal)*(day/yr))</f>
        <v>63.712216865145102</v>
      </c>
      <c r="X37">
        <f>VLOOKUP(W31,'8. Uncertainty Results'!$A$79:$CM$90,18,FALSE)*((cubicm/gal)*(day/yr))</f>
        <v>67.741726313861065</v>
      </c>
      <c r="Y37">
        <f>VLOOKUP(W31,'8. Uncertainty Results'!$A$79:$CM$90,19,FALSE)*((cubicm/gal)*(day/yr))</f>
        <v>72.175755275724285</v>
      </c>
    </row>
    <row r="38" spans="1:25" x14ac:dyDescent="0.2">
      <c r="A38" t="s">
        <v>401</v>
      </c>
      <c r="B38">
        <f>VLOOKUP(B31,'8. Uncertainty Results'!$A$79:$CM$90,32,FALSE)*((cubicm/gal)*(day/yr))/1.65</f>
        <v>0</v>
      </c>
      <c r="C38">
        <f>VLOOKUP(B31,'8. Uncertainty Results'!$A$79:$CM$90,33,FALSE)*((cubicm/gal)*(day/yr))/2.73</f>
        <v>0</v>
      </c>
      <c r="D38">
        <f>VLOOKUP(B31,'8. Uncertainty Results'!$A$79:$CM$90,34,FALSE)*((cubicm/gal)*(day/yr))</f>
        <v>0</v>
      </c>
      <c r="E38">
        <f>VLOOKUP(E31,'8. Uncertainty Results'!$A$79:$CM$90,32,FALSE)*((cubicm/gal)*(day/yr))</f>
        <v>0</v>
      </c>
      <c r="F38">
        <f>VLOOKUP(E31,'8. Uncertainty Results'!$A$79:$CM$90,33,FALSE)*((cubicm/gal)*(day/yr))</f>
        <v>0</v>
      </c>
      <c r="G38">
        <f>VLOOKUP(E31,'8. Uncertainty Results'!$A$79:$CM$90,34,FALSE)*((cubicm/gal)*(day/yr))</f>
        <v>0</v>
      </c>
      <c r="H38">
        <f>VLOOKUP(H31,'8. Uncertainty Results'!$A$79:$CM$90,32,FALSE)*((cubicm/gal)*(day/yr))</f>
        <v>0</v>
      </c>
      <c r="I38">
        <f>VLOOKUP(H31,'8. Uncertainty Results'!$A$79:$CM$90,33,FALSE)*((cubicm/gal)*(day/yr))</f>
        <v>0</v>
      </c>
      <c r="J38">
        <f>VLOOKUP(H31,'8. Uncertainty Results'!$A$79:$CM$90,34,FALSE)*((cubicm/gal)*(day/yr))</f>
        <v>0</v>
      </c>
      <c r="K38">
        <f>VLOOKUP(K31,'8. Uncertainty Results'!$A$79:$CM$90,32,FALSE)*((cubicm/gal)*(day/yr))</f>
        <v>0</v>
      </c>
      <c r="L38">
        <f>VLOOKUP(K31,'8. Uncertainty Results'!$A$79:$CM$90,33,FALSE)*((cubicm/gal)*(day/yr))</f>
        <v>0</v>
      </c>
      <c r="M38">
        <f>VLOOKUP(K31,'8. Uncertainty Results'!$A$79:$CM$90,34,FALSE)*((cubicm/gal)*(day/yr))</f>
        <v>0</v>
      </c>
      <c r="N38">
        <f>VLOOKUP(N31,'8. Uncertainty Results'!$A$79:$CM$90,32,FALSE)*((cubicm/gal)*(day/yr))</f>
        <v>0</v>
      </c>
      <c r="O38">
        <f>VLOOKUP(N31,'8. Uncertainty Results'!$A$79:$CM$90,33,FALSE)*((cubicm/gal)*(day/yr))</f>
        <v>0</v>
      </c>
      <c r="P38">
        <f>VLOOKUP(N31,'8. Uncertainty Results'!$A$79:$CM$90,34,FALSE)*((cubicm/gal)*(day/yr))</f>
        <v>0</v>
      </c>
      <c r="Q38">
        <f>VLOOKUP(Q31,'8. Uncertainty Results'!$A$79:$CM$90,32,FALSE)*((cubicm/gal)*(day/yr))</f>
        <v>0</v>
      </c>
      <c r="R38">
        <f>VLOOKUP(Q31,'8. Uncertainty Results'!$A$79:$CM$90,33,FALSE)*((cubicm/gal)*(day/yr))</f>
        <v>0</v>
      </c>
      <c r="S38">
        <f>VLOOKUP(Q31,'8. Uncertainty Results'!$A$79:$CM$90,34,FALSE)*((cubicm/gal)*(day/yr))</f>
        <v>0</v>
      </c>
      <c r="T38">
        <f>VLOOKUP(T31,'8. Uncertainty Results'!$A$79:$CM$90,32,FALSE)*((cubicm/gal)*(day/yr))</f>
        <v>0</v>
      </c>
      <c r="U38">
        <f>VLOOKUP(T31,'8. Uncertainty Results'!$A$79:$CM$90,33,FALSE)*((cubicm/gal)*(day/yr))</f>
        <v>0</v>
      </c>
      <c r="V38">
        <f>VLOOKUP(T31,'8. Uncertainty Results'!$A$79:$CM$90,34,FALSE)*((cubicm/gal)*(day/yr))</f>
        <v>0</v>
      </c>
      <c r="W38">
        <f>VLOOKUP(W31,'8. Uncertainty Results'!$A$79:$CM$90,32,FALSE)*((cubicm/gal)*(day/yr))</f>
        <v>0</v>
      </c>
      <c r="X38">
        <f>VLOOKUP(W31,'8. Uncertainty Results'!$A$79:$CM$90,33,FALSE)*((cubicm/gal)*(day/yr))</f>
        <v>0</v>
      </c>
      <c r="Y38">
        <f>VLOOKUP(W31,'8. Uncertainty Results'!$A$79:$CM$90,34,FALSE)*((cubicm/gal)*(day/yr))</f>
        <v>0</v>
      </c>
    </row>
    <row r="39" spans="1:25" x14ac:dyDescent="0.2">
      <c r="A39" t="s">
        <v>402</v>
      </c>
      <c r="B39">
        <f>VLOOKUP(B31,'8. Uncertainty Results'!$A$79:$CM$91,47,FALSE)*((cubicm/gal)*(day/yr))-800</f>
        <v>1230.3101400247508</v>
      </c>
      <c r="C39">
        <f>(VLOOKUP(B31,'8. Uncertainty Results'!$A$79:$CM$91,48,FALSE)*((cubicm/gal)*(day/yr)))-2600</f>
        <v>1497.7753197422471</v>
      </c>
      <c r="D39">
        <f>VLOOKUP(B31,'8. Uncertainty Results'!$A$79:$CM$91,49,FALSE)*((cubicm/gal)*(day/yr))-5200</f>
        <v>1767.5090233515621</v>
      </c>
      <c r="E39">
        <f>VLOOKUP(E31,'8. Uncertainty Results'!$A$79:$CM$90,47,FALSE)*((cubicm/gal)*(day/yr))</f>
        <v>503.34778831930413</v>
      </c>
      <c r="F39">
        <f>VLOOKUP(E31,'8. Uncertainty Results'!$A$79:$CM$90,48,FALSE)*((cubicm/gal)*(day/yr))</f>
        <v>697.52839301984534</v>
      </c>
      <c r="G39">
        <f>VLOOKUP(E31,'8. Uncertainty Results'!$A$79:$CM$90,49,FALSE)*((cubicm/gal)*(day/yr))</f>
        <v>956.32741435878756</v>
      </c>
      <c r="H39">
        <f>VLOOKUP(H31,'8. Uncertainty Results'!$A$79:$CM$90,47,FALSE)*((cubicm/gal)*(day/yr))</f>
        <v>63.151146366195618</v>
      </c>
      <c r="I39">
        <f>VLOOKUP(H31,'8. Uncertainty Results'!$A$79:$CM$90,48,FALSE)*((cubicm/gal)*(day/yr))</f>
        <v>108.36869749170958</v>
      </c>
      <c r="J39">
        <f>VLOOKUP(H31,'8. Uncertainty Results'!$A$79:$CM$90,49,FALSE)*((cubicm/gal)*(day/yr))</f>
        <v>166.19097896263432</v>
      </c>
      <c r="K39">
        <f>VLOOKUP(K31,'8. Uncertainty Results'!$A$79:$CM$90,47,FALSE)*((cubicm/gal)*(day/yr))</f>
        <v>65.408532747601598</v>
      </c>
      <c r="L39">
        <f>VLOOKUP(K31,'8. Uncertainty Results'!$A$79:$CM$90,48,FALSE)*((cubicm/gal)*(day/yr))</f>
        <v>99.904374778886279</v>
      </c>
      <c r="M39">
        <f>VLOOKUP(K31,'8. Uncertainty Results'!$A$79:$CM$90,49,FALSE)*((cubicm/gal)*(day/yr))</f>
        <v>142.12197161079345</v>
      </c>
      <c r="N39">
        <f>VLOOKUP(N31,'8. Uncertainty Results'!$A$79:$CM$90,47,FALSE)*((cubicm/gal)*(day/yr))</f>
        <v>47.054865270900351</v>
      </c>
      <c r="O39">
        <f>VLOOKUP(N31,'8. Uncertainty Results'!$A$79:$CM$90,48,FALSE)*((cubicm/gal)*(day/yr))</f>
        <v>71.012921647090309</v>
      </c>
      <c r="P39">
        <f>VLOOKUP(N31,'8. Uncertainty Results'!$A$79:$CM$90,49,FALSE)*((cubicm/gal)*(day/yr))</f>
        <v>101.35293009334409</v>
      </c>
      <c r="Q39">
        <f>VLOOKUP(Q31,'8. Uncertainty Results'!$A$79:$CM$90,47,FALSE)*((cubicm/gal)*(day/yr))</f>
        <v>65.539743214797198</v>
      </c>
      <c r="R39">
        <f>VLOOKUP(Q31,'8. Uncertainty Results'!$A$79:$CM$90,48,FALSE)*((cubicm/gal)*(day/yr))</f>
        <v>99.40762643690185</v>
      </c>
      <c r="S39">
        <f>VLOOKUP(Q31,'8. Uncertainty Results'!$A$79:$CM$90,49,FALSE)*((cubicm/gal)*(day/yr))</f>
        <v>142.60489228000716</v>
      </c>
      <c r="T39">
        <f>VLOOKUP(T31,'8. Uncertainty Results'!$A$79:$CM$90,47,FALSE)*((cubicm/gal)*(day/yr))</f>
        <v>40.136558061881438</v>
      </c>
      <c r="U39">
        <f>VLOOKUP(T31,'8. Uncertainty Results'!$A$79:$CM$90,48,FALSE)*((cubicm/gal)*(day/yr))</f>
        <v>58.016196539575638</v>
      </c>
      <c r="V39">
        <f>VLOOKUP(T31,'8. Uncertainty Results'!$A$79:$CM$90,49,FALSE)*((cubicm/gal)*(day/yr))</f>
        <v>79.911369623715032</v>
      </c>
      <c r="W39">
        <f>VLOOKUP(W31,'8. Uncertainty Results'!$A$79:$CM$90,47,FALSE)*((cubicm/gal)*(day/yr))</f>
        <v>63.870056353258811</v>
      </c>
      <c r="X39">
        <f>VLOOKUP(W31,'8. Uncertainty Results'!$A$79:$CM$90,48,FALSE)*((cubicm/gal)*(day/yr))</f>
        <v>108.19007784972985</v>
      </c>
      <c r="Y39">
        <f>VLOOKUP(W31,'8. Uncertainty Results'!$A$79:$CM$90,49,FALSE)*((cubicm/gal)*(day/yr))</f>
        <v>166.22893005299335</v>
      </c>
    </row>
    <row r="40" spans="1:25" x14ac:dyDescent="0.2">
      <c r="A40" t="s">
        <v>403</v>
      </c>
      <c r="B40">
        <f>VLOOKUP(B31,'8. Uncertainty Results'!$A$79:$CM$90,62,FALSE)*((cubicm/gal)*(day/yr))/1.65</f>
        <v>3.0434685756978008</v>
      </c>
      <c r="C40">
        <f>VLOOKUP(B31,'8. Uncertainty Results'!$A$79:$CM$90,63,FALSE)*((cubicm/gal)*(day/yr))/2.73</f>
        <v>1.8429430495669954</v>
      </c>
      <c r="D40">
        <f>VLOOKUP(B31,'8. Uncertainty Results'!$A$79:$CM$90,64,FALSE)*((cubicm/gal)*(day/yr))/3.94</f>
        <v>1.2789352623774368</v>
      </c>
      <c r="E40">
        <f>VLOOKUP(E31,'8. Uncertainty Results'!$A$79:$CM$90,62,FALSE)*((cubicm/gal)*(day/yr))</f>
        <v>1.0730543130676953</v>
      </c>
      <c r="F40">
        <f>VLOOKUP(E31,'8. Uncertainty Results'!$A$79:$CM$90,63,FALSE)*((cubicm/gal)*(day/yr))</f>
        <v>1.0844073657314794</v>
      </c>
      <c r="G40">
        <f>VLOOKUP(E31,'8. Uncertainty Results'!$A$79:$CM$90,64,FALSE)*((cubicm/gal)*(day/yr))</f>
        <v>1.095518699750228</v>
      </c>
      <c r="H40">
        <f>VLOOKUP(H31,'8. Uncertainty Results'!$A$79:$CM$90,62,FALSE)*((cubicm/gal)*(day/yr))</f>
        <v>0.50327939843009939</v>
      </c>
      <c r="I40">
        <f>VLOOKUP(H31,'8. Uncertainty Results'!$A$79:$CM$90,63,FALSE)*((cubicm/gal)*(day/yr))</f>
        <v>0.51406284744799535</v>
      </c>
      <c r="J40">
        <f>VLOOKUP(H31,'8. Uncertainty Results'!$A$79:$CM$90,64,FALSE)*((cubicm/gal)*(day/yr))</f>
        <v>0.52427589159150167</v>
      </c>
      <c r="K40">
        <f>VLOOKUP(K31,'8. Uncertainty Results'!$A$79:$CM$90,62,FALSE)*((cubicm/gal)*(day/yr))</f>
        <v>0.27949007201638093</v>
      </c>
      <c r="L40">
        <f>VLOOKUP(K31,'8. Uncertainty Results'!$A$79:$CM$90,63,FALSE)*((cubicm/gal)*(day/yr))</f>
        <v>0.28536670880530113</v>
      </c>
      <c r="M40">
        <f>VLOOKUP(K31,'8. Uncertainty Results'!$A$79:$CM$90,64,FALSE)*((cubicm/gal)*(day/yr))</f>
        <v>0.29103654198957746</v>
      </c>
      <c r="N40">
        <f>VLOOKUP(N31,'8. Uncertainty Results'!$A$79:$CM$90,62,FALSE)*((cubicm/gal)*(day/yr))</f>
        <v>0.19685995926696509</v>
      </c>
      <c r="O40">
        <f>VLOOKUP(N31,'8. Uncertainty Results'!$A$79:$CM$90,63,FALSE)*((cubicm/gal)*(day/yr))</f>
        <v>0.20108012647589038</v>
      </c>
      <c r="P40">
        <f>VLOOKUP(N31,'8. Uncertainty Results'!$A$79:$CM$90,64,FALSE)*((cubicm/gal)*(day/yr))</f>
        <v>0.20510709065614963</v>
      </c>
      <c r="Q40">
        <f>VLOOKUP(Q31,'8. Uncertainty Results'!$A$79:$CM$90,62,FALSE)*((cubicm/gal)*(day/yr))</f>
        <v>0.27952782745156224</v>
      </c>
      <c r="R40">
        <f>VLOOKUP(Q31,'8. Uncertainty Results'!$A$79:$CM$90,63,FALSE)*((cubicm/gal)*(day/yr))</f>
        <v>0.28542489701976992</v>
      </c>
      <c r="S40">
        <f>VLOOKUP(Q31,'8. Uncertainty Results'!$A$79:$CM$90,64,FALSE)*((cubicm/gal)*(day/yr))</f>
        <v>0.29100114100351637</v>
      </c>
      <c r="T40">
        <f>VLOOKUP(T31,'8. Uncertainty Results'!$A$79:$CM$90,62,FALSE)*((cubicm/gal)*(day/yr))</f>
        <v>0.10148133418010695</v>
      </c>
      <c r="U40">
        <f>VLOOKUP(T31,'8. Uncertainty Results'!$A$79:$CM$90,63,FALSE)*((cubicm/gal)*(day/yr))</f>
        <v>0.10194880554150754</v>
      </c>
      <c r="V40">
        <f>VLOOKUP(T31,'8. Uncertainty Results'!$A$79:$CM$90,64,FALSE)*((cubicm/gal)*(day/yr))</f>
        <v>0.10238487453146901</v>
      </c>
      <c r="W40">
        <f>VLOOKUP(W31,'8. Uncertainty Results'!$A$79:$CM$90,62,FALSE)*((cubicm/gal)*(day/yr))</f>
        <v>0.50301687291682395</v>
      </c>
      <c r="X40">
        <f>VLOOKUP(W31,'8. Uncertainty Results'!$A$79:$CM$90,63,FALSE)*((cubicm/gal)*(day/yr))</f>
        <v>0.51394043414801527</v>
      </c>
      <c r="Y40">
        <f>VLOOKUP(W31,'8. Uncertainty Results'!$A$79:$CM$90,64,FALSE)*((cubicm/gal)*(day/yr))</f>
        <v>0.5239996073434342</v>
      </c>
    </row>
    <row r="41" spans="1:25" x14ac:dyDescent="0.2">
      <c r="A41" t="s">
        <v>439</v>
      </c>
      <c r="B41">
        <f>VLOOKUP(B31,'8. Uncertainty Results'!$A$79:$CM$90,77,FALSE)*((cubicm/gal)*(day/yr))</f>
        <v>0</v>
      </c>
      <c r="C41">
        <f>VLOOKUP(B31,'8. Uncertainty Results'!$A$79:$CM$90,78,FALSE)*((cubicm/gal)*(day/yr))/2.73</f>
        <v>0</v>
      </c>
      <c r="D41">
        <f>VLOOKUP(B31,'8. Uncertainty Results'!$A$79:$CM$90,79,FALSE)*((cubicm/gal)*(day/yr))/4.44</f>
        <v>0</v>
      </c>
      <c r="E41">
        <f>VLOOKUP(E31,'8. Uncertainty Results'!$A$79:$CM$90,77,FALSE)*((cubicm/gal)*(day/yr))</f>
        <v>1.0686537441252291</v>
      </c>
      <c r="F41">
        <f>VLOOKUP(E31,'8. Uncertainty Results'!$A$79:$CM$90,78,FALSE)*((cubicm/gal)*(day/yr))</f>
        <v>1.2109074761292427</v>
      </c>
      <c r="G41">
        <f>VLOOKUP(E31,'8. Uncertainty Results'!$A$79:$CM$90,79,FALSE)*((cubicm/gal)*(day/yr))</f>
        <v>1.3671364973956517</v>
      </c>
      <c r="H41">
        <f>VLOOKUP(H31,'8. Uncertainty Results'!$A$79:$CM$90,77,FALSE)*((cubicm/gal)*(day/yr))</f>
        <v>2.1510310326406161</v>
      </c>
      <c r="I41">
        <f>VLOOKUP(H31,'8. Uncertainty Results'!$A$79:$CM$90,78,FALSE)*((cubicm/gal)*(day/yr))</f>
        <v>2.5291320754113649</v>
      </c>
      <c r="J41">
        <f>VLOOKUP(H31,'8. Uncertainty Results'!$A$79:$CM$90,79,FALSE)*((cubicm/gal)*(day/yr))</f>
        <v>3.013534286370851</v>
      </c>
      <c r="K41">
        <f>VLOOKUP(K31,'8. Uncertainty Results'!$A$79:$CM$90,77,FALSE)*((cubicm/gal)*(day/yr))</f>
        <v>0</v>
      </c>
      <c r="L41">
        <f>VLOOKUP(K31,'8. Uncertainty Results'!$A$79:$CM$90,78,FALSE)*((cubicm/gal)*(day/yr))</f>
        <v>0</v>
      </c>
      <c r="M41">
        <f>VLOOKUP(K31,'8. Uncertainty Results'!$A$79:$CM$90,79,FALSE)*((cubicm/gal)*(day/yr))</f>
        <v>0</v>
      </c>
      <c r="N41">
        <f>VLOOKUP(N31,'8. Uncertainty Results'!$A$79:$CM$90,77,FALSE)*((cubicm/gal)*(day/yr))</f>
        <v>0</v>
      </c>
      <c r="O41">
        <f>VLOOKUP(N31,'8. Uncertainty Results'!$A$79:$CM$90,78,FALSE)*((cubicm/gal)*(day/yr))</f>
        <v>0</v>
      </c>
      <c r="P41">
        <f>VLOOKUP(N31,'8. Uncertainty Results'!$A$79:$CM$90,79,FALSE)*((cubicm/gal)*(day/yr))</f>
        <v>0</v>
      </c>
      <c r="Q41">
        <f>VLOOKUP(Q31,'8. Uncertainty Results'!$A$79:$CM$90,77,FALSE)*((cubicm/gal)*(day/yr))</f>
        <v>0</v>
      </c>
      <c r="R41">
        <f>VLOOKUP(Q31,'8. Uncertainty Results'!$A$79:$CM$90,78,FALSE)*((cubicm/gal)*(day/yr))</f>
        <v>0</v>
      </c>
      <c r="S41">
        <f>VLOOKUP(Q31,'8. Uncertainty Results'!$A$79:$CM$90,79,FALSE)*((cubicm/gal)*(day/yr))</f>
        <v>0</v>
      </c>
      <c r="T41">
        <f>VLOOKUP(T31,'8. Uncertainty Results'!$A$79:$CM$90,77,FALSE)*((cubicm/gal)*(day/yr))</f>
        <v>0</v>
      </c>
      <c r="U41">
        <f>VLOOKUP(T31,'8. Uncertainty Results'!$A$79:$CM$90,78,FALSE)*((cubicm/gal)*(day/yr))</f>
        <v>0</v>
      </c>
      <c r="V41">
        <f>VLOOKUP(T31,'8. Uncertainty Results'!$A$79:$CM$90,79,FALSE)*((cubicm/gal)*(day/yr))</f>
        <v>0</v>
      </c>
      <c r="W41">
        <f>VLOOKUP(W31,'8. Uncertainty Results'!$A$79:$CM$90,77,FALSE)*((cubicm/gal)*(day/yr))</f>
        <v>2.1437596706426665</v>
      </c>
      <c r="X41">
        <f>VLOOKUP(W31,'8. Uncertainty Results'!$A$79:$CM$90,78,FALSE)*((cubicm/gal)*(day/yr))</f>
        <v>2.5201234927528877</v>
      </c>
      <c r="Y41">
        <f>VLOOKUP(W31,'8. Uncertainty Results'!$A$79:$CM$90,79,FALSE)*((cubicm/gal)*(day/yr))</f>
        <v>3.0224253714798448</v>
      </c>
    </row>
    <row r="42" spans="1:25" x14ac:dyDescent="0.2">
      <c r="A42" t="s">
        <v>492</v>
      </c>
      <c r="B42">
        <f>VLOOKUP(B31,'8. Uncertainty Results'!$A$203:$D$215,2,FALSE)/1000000/1.65</f>
        <v>13.454112955108133</v>
      </c>
      <c r="C42">
        <f>VLOOKUP(B31,'8. Uncertainty Results'!$A$203:$D$215,3,FALSE)/1000000/2.73</f>
        <v>8.892094132599194</v>
      </c>
      <c r="D42">
        <f>VLOOKUP(B31,'8. Uncertainty Results'!$A$203:$D$215,4,FALSE)/1000000/3.94</f>
        <v>6.6753338200112387</v>
      </c>
      <c r="E42">
        <f>VLOOKUP(E31,'8. Uncertainty Results'!$A$203:$D$215,2,FALSE)/1000000</f>
        <v>30.329777237026992</v>
      </c>
      <c r="F42">
        <f>VLOOKUP(E31,'8. Uncertainty Results'!$A$203:$D$215,3,FALSE)/1000000</f>
        <v>34.810209497471384</v>
      </c>
      <c r="G42">
        <f>VLOOKUP(E31,'8. Uncertainty Results'!$A$203:$D$215,4,FALSE)/1000000</f>
        <v>39.804593895523155</v>
      </c>
      <c r="H42">
        <f>VLOOKUP(H31,'8. Uncertainty Results'!$A$203:$D$215,2,FALSE)/1000000</f>
        <v>0.36684257135850085</v>
      </c>
      <c r="I42">
        <f>VLOOKUP(H31,'8. Uncertainty Results'!$A$203:$D$215,3,FALSE)/1000000</f>
        <v>1.9272387365708405</v>
      </c>
      <c r="J42">
        <f>VLOOKUP(H31,'8. Uncertainty Results'!$A$203:$D$215,4,FALSE)/1000000</f>
        <v>9.7366119085476832</v>
      </c>
      <c r="K42">
        <f>VLOOKUP(K31,'8. Uncertainty Results'!$A$203:$D$215,2,FALSE)/1000000</f>
        <v>28.572915147869598</v>
      </c>
      <c r="L42">
        <f>VLOOKUP(K31,'8. Uncertainty Results'!$A$203:$D$215,3,FALSE)/1000000</f>
        <v>36.784589510791825</v>
      </c>
      <c r="M42">
        <f>VLOOKUP(K31,'8. Uncertainty Results'!$A$203:$D$215,4,FALSE)/1000000</f>
        <v>63.986855731934547</v>
      </c>
      <c r="N42">
        <f>VLOOKUP(N31,'8. Uncertainty Results'!$A$203:$D$215,2,FALSE)/1000000</f>
        <v>12.60217290105447</v>
      </c>
      <c r="O42">
        <f>VLOOKUP(N31,'8. Uncertainty Results'!$A$203:$D$215,3,FALSE)/1000000</f>
        <v>19.226978004610444</v>
      </c>
      <c r="P42">
        <f>VLOOKUP(N31,'8. Uncertainty Results'!$A$203:$D$215,4,FALSE)/1000000</f>
        <v>49.036167912910365</v>
      </c>
      <c r="Q42">
        <f>VLOOKUP(Q31,'8. Uncertainty Results'!$A$203:$D$215,2,FALSE)/1000000</f>
        <v>4.9234855062215894</v>
      </c>
      <c r="R42">
        <f>VLOOKUP(Q31,'8. Uncertainty Results'!$A$203:$D$215,3,FALSE)/1000000</f>
        <v>5.37106142092306</v>
      </c>
      <c r="S42">
        <f>VLOOKUP(Q31,'8. Uncertainty Results'!$A$203:$D$215,4,FALSE)/1000000</f>
        <v>5.8389653933930203</v>
      </c>
      <c r="T42">
        <f>VLOOKUP(T31,'8. Uncertainty Results'!$A$203:$D$215,2,FALSE)/1000000</f>
        <v>3.9079818470785299</v>
      </c>
      <c r="U42">
        <f>VLOOKUP(T31,'8. Uncertainty Results'!$A$203:$D$215,3,FALSE)/1000000</f>
        <v>4.2843021047777894</v>
      </c>
      <c r="V42">
        <f>VLOOKUP(T31,'8. Uncertainty Results'!$A$203:$D$215,4,FALSE)/1000000</f>
        <v>4.6474321803099699</v>
      </c>
      <c r="W42">
        <f>VLOOKUP(W31,'8. Uncertainty Results'!$A$203:$D$215,2,FALSE)/1000000</f>
        <v>0.23425673678805656</v>
      </c>
      <c r="X42">
        <f>VLOOKUP(W31,'8. Uncertainty Results'!$A$203:$D$215,3,FALSE)/1000000</f>
        <v>1.1548930353673985</v>
      </c>
      <c r="Y42">
        <f>VLOOKUP(W31,'8. Uncertainty Results'!$A$203:$D$215,4,FALSE)/1000000</f>
        <v>5.5129749020288967</v>
      </c>
    </row>
    <row r="44" spans="1:25" x14ac:dyDescent="0.2">
      <c r="A44" t="s">
        <v>564</v>
      </c>
      <c r="B44">
        <f>B26/B39</f>
        <v>1.6502425477724714</v>
      </c>
      <c r="C44">
        <f t="shared" ref="C44:D44" si="28">C26/C39</f>
        <v>2.7359078933464036</v>
      </c>
      <c r="D44">
        <f t="shared" si="28"/>
        <v>3.9419934672467618</v>
      </c>
    </row>
    <row r="47" spans="1:25" x14ac:dyDescent="0.2">
      <c r="A47" s="36" t="s">
        <v>565</v>
      </c>
      <c r="B47" s="481">
        <v>18100204</v>
      </c>
      <c r="C47" s="481"/>
      <c r="D47" s="481"/>
      <c r="E47" s="481">
        <v>16040201</v>
      </c>
      <c r="F47" s="481"/>
      <c r="G47" s="481"/>
      <c r="H47" s="481">
        <v>15030202</v>
      </c>
      <c r="I47" s="481"/>
      <c r="J47" s="481"/>
      <c r="K47" s="481">
        <v>16060011</v>
      </c>
      <c r="L47" s="481"/>
      <c r="M47" s="481"/>
      <c r="N47" s="481">
        <v>16060003</v>
      </c>
      <c r="O47" s="481"/>
      <c r="P47" s="481"/>
      <c r="Q47" s="481">
        <v>16060013</v>
      </c>
      <c r="R47" s="481"/>
      <c r="S47" s="481"/>
      <c r="T47" s="481">
        <v>16060010</v>
      </c>
      <c r="U47" s="481"/>
      <c r="V47" s="481"/>
      <c r="W47" s="481">
        <v>15030201</v>
      </c>
      <c r="X47" s="481"/>
      <c r="Y47" s="481"/>
    </row>
    <row r="48" spans="1:25" x14ac:dyDescent="0.2">
      <c r="A48" s="36"/>
      <c r="B48" s="481" t="s">
        <v>539</v>
      </c>
      <c r="C48" s="481"/>
      <c r="D48" s="481"/>
      <c r="E48" s="481" t="s">
        <v>417</v>
      </c>
      <c r="F48" s="481"/>
      <c r="G48" s="481"/>
      <c r="H48" s="481" t="s">
        <v>418</v>
      </c>
      <c r="I48" s="481"/>
      <c r="J48" s="481"/>
      <c r="K48" s="481" t="s">
        <v>419</v>
      </c>
      <c r="L48" s="481"/>
      <c r="M48" s="481"/>
      <c r="N48" s="481" t="s">
        <v>420</v>
      </c>
      <c r="O48" s="481"/>
      <c r="P48" s="481"/>
      <c r="Q48" s="481" t="s">
        <v>421</v>
      </c>
      <c r="R48" s="481"/>
      <c r="S48" s="481"/>
      <c r="T48" s="481" t="s">
        <v>422</v>
      </c>
      <c r="U48" s="481"/>
      <c r="V48" s="481"/>
      <c r="W48" s="481" t="s">
        <v>423</v>
      </c>
      <c r="X48" s="481"/>
      <c r="Y48" s="481"/>
    </row>
    <row r="49" spans="1:25" x14ac:dyDescent="0.2">
      <c r="A49" s="36"/>
      <c r="B49" s="36" t="s">
        <v>440</v>
      </c>
      <c r="C49" s="36" t="s">
        <v>441</v>
      </c>
      <c r="D49" s="36" t="s">
        <v>442</v>
      </c>
      <c r="E49" s="36" t="s">
        <v>440</v>
      </c>
      <c r="F49" s="36" t="s">
        <v>441</v>
      </c>
      <c r="G49" s="36" t="s">
        <v>442</v>
      </c>
      <c r="H49" s="36" t="s">
        <v>440</v>
      </c>
      <c r="I49" s="36" t="s">
        <v>441</v>
      </c>
      <c r="J49" s="36" t="s">
        <v>442</v>
      </c>
      <c r="K49" s="36" t="s">
        <v>440</v>
      </c>
      <c r="L49" s="36" t="s">
        <v>441</v>
      </c>
      <c r="M49" s="36" t="s">
        <v>442</v>
      </c>
      <c r="N49" s="36" t="s">
        <v>440</v>
      </c>
      <c r="O49" s="36" t="s">
        <v>441</v>
      </c>
      <c r="P49" s="36" t="s">
        <v>442</v>
      </c>
      <c r="Q49" s="36" t="s">
        <v>440</v>
      </c>
      <c r="R49" s="36" t="s">
        <v>441</v>
      </c>
      <c r="S49" s="36" t="s">
        <v>442</v>
      </c>
      <c r="T49" s="36" t="s">
        <v>440</v>
      </c>
      <c r="U49" s="36" t="s">
        <v>441</v>
      </c>
      <c r="V49" s="36" t="s">
        <v>442</v>
      </c>
      <c r="W49" s="36" t="s">
        <v>440</v>
      </c>
      <c r="X49" s="36" t="s">
        <v>441</v>
      </c>
      <c r="Y49" s="36" t="s">
        <v>442</v>
      </c>
    </row>
    <row r="50" spans="1:25" x14ac:dyDescent="0.2">
      <c r="A50" s="36" t="s">
        <v>436</v>
      </c>
      <c r="B50">
        <f>VLOOKUP(B47,'8. Uncertainty Results'!$A$43:$G$54,5,FALSE)*(cubicm/gal)*(day/yr)</f>
        <v>642.44787031364069</v>
      </c>
      <c r="C50">
        <f>B50</f>
        <v>642.44787031364069</v>
      </c>
      <c r="D50">
        <f>B50</f>
        <v>642.44787031364069</v>
      </c>
      <c r="E50">
        <f>VLOOKUP(E47,'8. Uncertainty Results'!$A$43:$G$54,5,FALSE)*(cubicm/gal)*(day/yr)</f>
        <v>177.35121582214242</v>
      </c>
      <c r="F50">
        <f>E50</f>
        <v>177.35121582214242</v>
      </c>
      <c r="G50">
        <f>E50</f>
        <v>177.35121582214242</v>
      </c>
      <c r="H50">
        <f>VLOOKUP(H47,'8. Uncertainty Results'!$A$43:$G$54,5,FALSE)*(cubicm/gal)*(day/yr)</f>
        <v>59.402088245565515</v>
      </c>
      <c r="I50">
        <f>H50</f>
        <v>59.402088245565515</v>
      </c>
      <c r="J50">
        <f>H50</f>
        <v>59.402088245565515</v>
      </c>
      <c r="K50">
        <f>VLOOKUP(K47,'8. Uncertainty Results'!$A$43:$G$54,5,FALSE)*(cubicm/gal)*(day/yr)</f>
        <v>47.560091924325583</v>
      </c>
      <c r="L50">
        <f>K50</f>
        <v>47.560091924325583</v>
      </c>
      <c r="M50">
        <f>K50</f>
        <v>47.560091924325583</v>
      </c>
      <c r="N50">
        <f>VLOOKUP(N47,'8. Uncertainty Results'!$A$43:$G$54,5,FALSE)*(cubicm/gal)*(day/yr)</f>
        <v>30.733802056898508</v>
      </c>
      <c r="O50">
        <f>N50</f>
        <v>30.733802056898508</v>
      </c>
      <c r="P50">
        <f>N50</f>
        <v>30.733802056898508</v>
      </c>
      <c r="Q50">
        <f>VLOOKUP(Q47,'8. Uncertainty Results'!$A$43:$G$54,5,FALSE)*(cubicm/gal)*(day/yr)</f>
        <v>39.938959073661671</v>
      </c>
      <c r="R50">
        <f>Q50</f>
        <v>39.938959073661671</v>
      </c>
      <c r="S50">
        <f>Q50</f>
        <v>39.938959073661671</v>
      </c>
      <c r="T50">
        <f>VLOOKUP(T47,'8. Uncertainty Results'!$A$43:$G$54,5,FALSE)*(cubicm/gal)*(day/yr)</f>
        <v>51.233289726836418</v>
      </c>
      <c r="U50">
        <f>T50</f>
        <v>51.233289726836418</v>
      </c>
      <c r="V50">
        <f>T50</f>
        <v>51.233289726836418</v>
      </c>
      <c r="W50">
        <f>VLOOKUP(W47,'8. Uncertainty Results'!$A$43:$G$54,5,FALSE)*(cubicm/gal)*(day/yr)</f>
        <v>111.98928589092783</v>
      </c>
      <c r="X50">
        <f>W50</f>
        <v>111.98928589092783</v>
      </c>
      <c r="Y50">
        <f>W50</f>
        <v>111.98928589092783</v>
      </c>
    </row>
    <row r="51" spans="1:25" x14ac:dyDescent="0.2">
      <c r="A51" s="36" t="s">
        <v>437</v>
      </c>
      <c r="B51">
        <f>VLOOKUP(B47,'8. Uncertainty Results'!$A$43:$G$54,7,FALSE)*(cubicm/gal)*(day/yr)</f>
        <v>785.2341273394876</v>
      </c>
      <c r="C51">
        <f>B51</f>
        <v>785.2341273394876</v>
      </c>
      <c r="D51">
        <f>B51</f>
        <v>785.2341273394876</v>
      </c>
      <c r="E51">
        <f>VLOOKUP(E47,'8. Uncertainty Results'!$A$43:$G$54,7,FALSE)*(cubicm/gal)*(day/yr)</f>
        <v>571.90554774673467</v>
      </c>
      <c r="F51">
        <f>E51</f>
        <v>571.90554774673467</v>
      </c>
      <c r="G51">
        <f>E51</f>
        <v>571.90554774673467</v>
      </c>
      <c r="H51">
        <f>VLOOKUP(H47,'8. Uncertainty Results'!$A$43:$G$54,7,FALSE)*(cubicm/gal)*(day/yr)</f>
        <v>180.85382722529019</v>
      </c>
      <c r="I51">
        <f>H51</f>
        <v>180.85382722529019</v>
      </c>
      <c r="J51">
        <f>H51</f>
        <v>180.85382722529019</v>
      </c>
      <c r="K51">
        <f>VLOOKUP(K47,'8. Uncertainty Results'!$A$43:$G$54,7,FALSE)*(cubicm/gal)*(day/yr)</f>
        <v>103.85436500275966</v>
      </c>
      <c r="L51">
        <f>K51</f>
        <v>103.85436500275966</v>
      </c>
      <c r="M51">
        <f>K51</f>
        <v>103.85436500275966</v>
      </c>
      <c r="N51">
        <f>VLOOKUP(N47,'8. Uncertainty Results'!$A$43:$G$54,7,FALSE)*(cubicm/gal)*(day/yr)</f>
        <v>130.56690651318701</v>
      </c>
      <c r="O51">
        <f>N51</f>
        <v>130.56690651318701</v>
      </c>
      <c r="P51">
        <f>N51</f>
        <v>130.56690651318701</v>
      </c>
      <c r="Q51">
        <f>VLOOKUP(Q47,'8. Uncertainty Results'!$A$43:$G$54,7,FALSE)*(cubicm/gal)*(day/yr)</f>
        <v>124.9190554249201</v>
      </c>
      <c r="R51">
        <f>Q51</f>
        <v>124.9190554249201</v>
      </c>
      <c r="S51">
        <f>Q51</f>
        <v>124.9190554249201</v>
      </c>
      <c r="T51">
        <f>VLOOKUP(T47,'8. Uncertainty Results'!$A$43:$G$54,7,FALSE)*(cubicm/gal)*(day/yr)</f>
        <v>126.85596307330604</v>
      </c>
      <c r="U51">
        <f>T51</f>
        <v>126.85596307330604</v>
      </c>
      <c r="V51">
        <f>T51</f>
        <v>126.85596307330604</v>
      </c>
      <c r="W51">
        <f>VLOOKUP(W47,'8. Uncertainty Results'!$A$43:$G$54,7,FALSE)*(cubicm/gal)*(day/yr)</f>
        <v>357.72032561616231</v>
      </c>
      <c r="X51">
        <f>W51</f>
        <v>357.72032561616231</v>
      </c>
      <c r="Y51">
        <f>W51</f>
        <v>357.72032561616231</v>
      </c>
    </row>
    <row r="52" spans="1:25" x14ac:dyDescent="0.2">
      <c r="A52" s="36" t="s">
        <v>438</v>
      </c>
      <c r="B52">
        <f>VLOOKUP(B47,'8. Uncertainty Results'!$A$97:$CM$108,2,FALSE)*((cubicm/gal)*(day/yr))/B44</f>
        <v>9.8760964977612229</v>
      </c>
      <c r="C52">
        <f>VLOOKUP(B47,'8. Uncertainty Results'!$A$97:$CM$108,3,FALSE)*((cubicm/gal)*(day/yr))/C44</f>
        <v>6.0071908305458361</v>
      </c>
      <c r="D52">
        <f>VLOOKUP(B47,'8. Uncertainty Results'!$A$97:$CM$108,4,FALSE)*((cubicm/gal)*(day/yr))/D44</f>
        <v>4.1980586499371721</v>
      </c>
      <c r="E52">
        <f>VLOOKUP(E47,'8. Uncertainty Results'!$A$97:$CM$108,2,FALSE)*((cubicm/gal)*(day/yr))</f>
        <v>0</v>
      </c>
      <c r="F52">
        <f>VLOOKUP(E47,'8. Uncertainty Results'!$A$97:$CM$108,3,FALSE)*((cubicm/gal)*(day/yr))</f>
        <v>0</v>
      </c>
      <c r="G52">
        <f>VLOOKUP(E47,'8. Uncertainty Results'!$A$97:$CM$108,4,FALSE)*((cubicm/gal)*(day/yr))</f>
        <v>0</v>
      </c>
      <c r="H52">
        <f>VLOOKUP(H47,'8. Uncertainty Results'!$A$97:$CM$108,2,FALSE)*((cubicm/gal)*(day/yr))</f>
        <v>23.876070595792829</v>
      </c>
      <c r="I52">
        <f>VLOOKUP(H47,'8. Uncertainty Results'!$A$97:$CM$108,3,FALSE)*((cubicm/gal)*(day/yr))</f>
        <v>24.476857169837189</v>
      </c>
      <c r="J52">
        <f>VLOOKUP(H47,'8. Uncertainty Results'!$A$97:$CM$108,4,FALSE)*((cubicm/gal)*(day/yr))</f>
        <v>24.961685514072339</v>
      </c>
      <c r="K52">
        <f>VLOOKUP(K47,'8. Uncertainty Results'!$A$97:$CM$108,2,FALSE)*((cubicm/gal)*(day/yr))</f>
        <v>9.5937410968819664E-2</v>
      </c>
      <c r="L52">
        <f>VLOOKUP(K47,'8. Uncertainty Results'!$A$97:$CM$108,3,FALSE)*((cubicm/gal)*(day/yr))</f>
        <v>9.8251108507125803E-2</v>
      </c>
      <c r="M52">
        <f>VLOOKUP(K47,'8. Uncertainty Results'!$A$97:$CM$108,4,FALSE)*((cubicm/gal)*(day/yr))</f>
        <v>0.10010150276566125</v>
      </c>
      <c r="N52">
        <f>VLOOKUP(N47,'8. Uncertainty Results'!$A$97:$CM$108,2,FALSE)*((cubicm/gal)*(day/yr))</f>
        <v>6.3915185124578028E-2</v>
      </c>
      <c r="O52">
        <f>VLOOKUP(N47,'8. Uncertainty Results'!$A$97:$CM$108,3,FALSE)*((cubicm/gal)*(day/yr))</f>
        <v>6.5468785238582627E-2</v>
      </c>
      <c r="P52">
        <f>VLOOKUP(N47,'8. Uncertainty Results'!$A$97:$CM$108,4,FALSE)*((cubicm/gal)*(day/yr))</f>
        <v>6.6725106592577896E-2</v>
      </c>
      <c r="Q52">
        <f>VLOOKUP(Q47,'8. Uncertainty Results'!$A$97:$CM$108,2,FALSE)*((cubicm/gal)*(day/yr))</f>
        <v>9.5917904579686034E-2</v>
      </c>
      <c r="R52">
        <f>VLOOKUP(Q47,'8. Uncertainty Results'!$A$97:$CM$108,3,FALSE)*((cubicm/gal)*(day/yr))</f>
        <v>9.8271703986334238E-2</v>
      </c>
      <c r="S52">
        <f>VLOOKUP(Q47,'8. Uncertainty Results'!$A$97:$CM$108,4,FALSE)*((cubicm/gal)*(day/yr))</f>
        <v>0.10005670635553655</v>
      </c>
      <c r="T52">
        <f>VLOOKUP(T47,'8. Uncertainty Results'!$A$97:$CM$108,2,FALSE)*((cubicm/gal)*(day/yr))</f>
        <v>15.798858644178722</v>
      </c>
      <c r="U52">
        <f>VLOOKUP(T47,'8. Uncertainty Results'!$A$97:$CM$108,3,FALSE)*((cubicm/gal)*(day/yr))</f>
        <v>15.922419104157752</v>
      </c>
      <c r="V52">
        <f>VLOOKUP(T47,'8. Uncertainty Results'!$A$97:$CM$108,4,FALSE)*((cubicm/gal)*(day/yr))</f>
        <v>16.032153118832444</v>
      </c>
      <c r="W52">
        <f>VLOOKUP(W47,'8. Uncertainty Results'!$A$97:$CM$108,2,FALSE)*((cubicm/gal)*(day/yr))</f>
        <v>23.889270652009412</v>
      </c>
      <c r="X52">
        <f>VLOOKUP(W47,'8. Uncertainty Results'!$A$97:$CM$108,3,FALSE)*((cubicm/gal)*(day/yr))</f>
        <v>24.478956486674701</v>
      </c>
      <c r="Y52">
        <f>VLOOKUP(W47,'8. Uncertainty Results'!$A$97:$CM$108,4,FALSE)*((cubicm/gal)*(day/yr))</f>
        <v>24.964091267459015</v>
      </c>
    </row>
    <row r="53" spans="1:25" x14ac:dyDescent="0.2">
      <c r="A53" s="36" t="s">
        <v>400</v>
      </c>
      <c r="B53">
        <f>VLOOKUP(B47,'8. Uncertainty Results'!$A$97:$CM$108,17,FALSE)*((cubicm/gal)*(day/yr))/B44</f>
        <v>17.52342468201212</v>
      </c>
      <c r="C53">
        <f>VLOOKUP(B47,'8. Uncertainty Results'!$A$97:$CM$108,18,FALSE)*((cubicm/gal)*(day/yr))/C44</f>
        <v>11.267426795153934</v>
      </c>
      <c r="D53">
        <f>VLOOKUP(B47,'8. Uncertainty Results'!$A$97:$CM$108,19,FALSE)*((cubicm/gal)*(day/yr))/D44</f>
        <v>8.3024869894284024</v>
      </c>
      <c r="E53">
        <f>VLOOKUP(E47,'8. Uncertainty Results'!$A$97:$CM$108,17,FALSE)*((cubicm/gal)*(day/yr))</f>
        <v>3.4638283509001941</v>
      </c>
      <c r="F53">
        <f>VLOOKUP(E47,'8. Uncertainty Results'!$A$97:$CM$108,18,FALSE)*((cubicm/gal)*(day/yr))</f>
        <v>3.6115746432460618</v>
      </c>
      <c r="G53">
        <f>VLOOKUP(E47,'8. Uncertainty Results'!$A$97:$CM$108,19,FALSE)*((cubicm/gal)*(day/yr))</f>
        <v>3.7515063046014778</v>
      </c>
      <c r="H53">
        <f>VLOOKUP(H47,'8. Uncertainty Results'!$A$97:$CM$108,17,FALSE)*((cubicm/gal)*(day/yr))</f>
        <v>52.348001496140526</v>
      </c>
      <c r="I53">
        <f>VLOOKUP(H47,'8. Uncertainty Results'!$A$97:$CM$108,18,FALSE)*((cubicm/gal)*(day/yr))</f>
        <v>55.646912355524684</v>
      </c>
      <c r="J53">
        <f>VLOOKUP(H47,'8. Uncertainty Results'!$A$97:$CM$108,19,FALSE)*((cubicm/gal)*(day/yr))</f>
        <v>58.580750162888478</v>
      </c>
      <c r="K53">
        <f>VLOOKUP(K47,'8. Uncertainty Results'!$A$97:$CM$108,17,FALSE)*((cubicm/gal)*(day/yr))</f>
        <v>7.6055035232922252</v>
      </c>
      <c r="L53">
        <f>VLOOKUP(K47,'8. Uncertainty Results'!$A$97:$CM$108,18,FALSE)*((cubicm/gal)*(day/yr))</f>
        <v>8.0486996635543981</v>
      </c>
      <c r="M53">
        <f>VLOOKUP(K47,'8. Uncertainty Results'!$A$97:$CM$108,19,FALSE)*((cubicm/gal)*(day/yr))</f>
        <v>8.5239396662674007</v>
      </c>
      <c r="N53">
        <f>VLOOKUP(N47,'8. Uncertainty Results'!$A$97:$CM$108,17,FALSE)*((cubicm/gal)*(day/yr))</f>
        <v>5.2740396783279122</v>
      </c>
      <c r="O53">
        <f>VLOOKUP(N47,'8. Uncertainty Results'!$A$97:$CM$108,18,FALSE)*((cubicm/gal)*(day/yr))</f>
        <v>5.5820510456182353</v>
      </c>
      <c r="P53">
        <f>VLOOKUP(N47,'8. Uncertainty Results'!$A$97:$CM$108,19,FALSE)*((cubicm/gal)*(day/yr))</f>
        <v>5.9005740925281538</v>
      </c>
      <c r="Q53">
        <f>VLOOKUP(Q47,'8. Uncertainty Results'!$A$97:$CM$108,17,FALSE)*((cubicm/gal)*(day/yr))</f>
        <v>7.5916052247559822</v>
      </c>
      <c r="R53">
        <f>VLOOKUP(Q47,'8. Uncertainty Results'!$A$97:$CM$108,18,FALSE)*((cubicm/gal)*(day/yr))</f>
        <v>8.0566146398014507</v>
      </c>
      <c r="S53">
        <f>VLOOKUP(Q47,'8. Uncertainty Results'!$A$97:$CM$108,19,FALSE)*((cubicm/gal)*(day/yr))</f>
        <v>8.5230389987816952</v>
      </c>
      <c r="T53">
        <f>VLOOKUP(T47,'8. Uncertainty Results'!$A$97:$CM$108,17,FALSE)*((cubicm/gal)*(day/yr))</f>
        <v>1.1454177739040026</v>
      </c>
      <c r="U53">
        <f>VLOOKUP(T47,'8. Uncertainty Results'!$A$97:$CM$108,18,FALSE)*((cubicm/gal)*(day/yr))</f>
        <v>1.2210959105484527</v>
      </c>
      <c r="V53">
        <f>VLOOKUP(T47,'8. Uncertainty Results'!$A$97:$CM$108,19,FALSE)*((cubicm/gal)*(day/yr))</f>
        <v>1.2883632612511229</v>
      </c>
      <c r="W53">
        <f>VLOOKUP(W47,'8. Uncertainty Results'!$A$97:$CM$108,17,FALSE)*((cubicm/gal)*(day/yr))</f>
        <v>52.305695578156183</v>
      </c>
      <c r="X53">
        <f>VLOOKUP(W47,'8. Uncertainty Results'!$A$97:$CM$108,18,FALSE)*((cubicm/gal)*(day/yr))</f>
        <v>55.628615588276354</v>
      </c>
      <c r="Y53">
        <f>VLOOKUP(W47,'8. Uncertainty Results'!$A$97:$CM$108,19,FALSE)*((cubicm/gal)*(day/yr))</f>
        <v>58.586711892787207</v>
      </c>
    </row>
    <row r="54" spans="1:25" x14ac:dyDescent="0.2">
      <c r="A54" s="36" t="s">
        <v>401</v>
      </c>
      <c r="B54">
        <f>VLOOKUP(B47,'8. Uncertainty Results'!$A$97:$CM$108,32,FALSE)*((cubicm/gal)*(day/yr))/B44</f>
        <v>0</v>
      </c>
      <c r="C54">
        <f>VLOOKUP(B47,'8. Uncertainty Results'!$A$97:$CM$108,33,FALSE)*((cubicm/gal)*(day/yr))/C44</f>
        <v>0</v>
      </c>
      <c r="D54">
        <f>VLOOKUP(B47,'8. Uncertainty Results'!$A$97:$CM$108,34,FALSE)*((cubicm/gal)*(day/yr))/D44</f>
        <v>0</v>
      </c>
      <c r="E54">
        <f>VLOOKUP(E47,'8. Uncertainty Results'!$A$97:$CM$108,32,FALSE)*((cubicm/gal)*(day/yr))</f>
        <v>0</v>
      </c>
      <c r="F54">
        <f>VLOOKUP(E47,'8. Uncertainty Results'!$A$97:$CM$108,33,FALSE)*((cubicm/gal)*(day/yr))</f>
        <v>0</v>
      </c>
      <c r="G54">
        <f>VLOOKUP(E47,'8. Uncertainty Results'!$A$97:$CM$108,34,FALSE)*((cubicm/gal)*(day/yr))</f>
        <v>0</v>
      </c>
      <c r="H54">
        <f>VLOOKUP(H47,'8. Uncertainty Results'!$A$97:$CM$108,32,FALSE)*((cubicm/gal)*(day/yr))</f>
        <v>0</v>
      </c>
      <c r="I54">
        <f>VLOOKUP(H47,'8. Uncertainty Results'!$A$97:$CM$108,33,FALSE)*((cubicm/gal)*(day/yr))</f>
        <v>0</v>
      </c>
      <c r="J54">
        <f>VLOOKUP(H47,'8. Uncertainty Results'!$A$97:$CM$108,34,FALSE)*((cubicm/gal)*(day/yr))</f>
        <v>0</v>
      </c>
      <c r="K54">
        <f>VLOOKUP(K47,'8. Uncertainty Results'!$A$97:$CM$108,32,FALSE)*((cubicm/gal)*(day/yr))</f>
        <v>0</v>
      </c>
      <c r="L54">
        <f>VLOOKUP(K47,'8. Uncertainty Results'!$A$97:$CM$108,33,FALSE)*((cubicm/gal)*(day/yr))</f>
        <v>0</v>
      </c>
      <c r="M54">
        <f>VLOOKUP(K47,'8. Uncertainty Results'!$A$97:$CM$108,34,FALSE)*((cubicm/gal)*(day/yr))</f>
        <v>0</v>
      </c>
      <c r="N54">
        <f>VLOOKUP(N47,'8. Uncertainty Results'!$A$97:$CM$108,32,FALSE)*((cubicm/gal)*(day/yr))</f>
        <v>0</v>
      </c>
      <c r="O54">
        <f>VLOOKUP(N47,'8. Uncertainty Results'!$A$97:$CM$108,33,FALSE)*((cubicm/gal)*(day/yr))</f>
        <v>0</v>
      </c>
      <c r="P54">
        <f>VLOOKUP(N47,'8. Uncertainty Results'!$A$97:$CM$108,34,FALSE)*((cubicm/gal)*(day/yr))</f>
        <v>0</v>
      </c>
      <c r="Q54">
        <f>VLOOKUP(Q47,'8. Uncertainty Results'!$A$97:$CM$108,32,FALSE)*((cubicm/gal)*(day/yr))</f>
        <v>0</v>
      </c>
      <c r="R54">
        <f>VLOOKUP(Q47,'8. Uncertainty Results'!$A$97:$CM$108,33,FALSE)*((cubicm/gal)*(day/yr))</f>
        <v>0</v>
      </c>
      <c r="S54">
        <f>VLOOKUP(Q47,'8. Uncertainty Results'!$A$97:$CM$108,34,FALSE)*((cubicm/gal)*(day/yr))</f>
        <v>0</v>
      </c>
      <c r="T54">
        <f>VLOOKUP(T47,'8. Uncertainty Results'!$A$97:$CM$108,32,FALSE)*((cubicm/gal)*(day/yr))</f>
        <v>0</v>
      </c>
      <c r="U54">
        <f>VLOOKUP(T47,'8. Uncertainty Results'!$A$97:$CM$108,33,FALSE)*((cubicm/gal)*(day/yr))</f>
        <v>0</v>
      </c>
      <c r="V54">
        <f>VLOOKUP(T47,'8. Uncertainty Results'!$A$97:$CM$108,34,FALSE)*((cubicm/gal)*(day/yr))</f>
        <v>0</v>
      </c>
      <c r="W54">
        <f>VLOOKUP(W47,'8. Uncertainty Results'!$A$97:$CM$108,32,FALSE)*((cubicm/gal)*(day/yr))</f>
        <v>0</v>
      </c>
      <c r="X54">
        <f>VLOOKUP(W47,'8. Uncertainty Results'!$A$97:$CM$108,33,FALSE)*((cubicm/gal)*(day/yr))</f>
        <v>0</v>
      </c>
      <c r="Y54">
        <f>VLOOKUP(W47,'8. Uncertainty Results'!$A$97:$CM$108,34,FALSE)*((cubicm/gal)*(day/yr))</f>
        <v>0</v>
      </c>
    </row>
    <row r="55" spans="1:25" x14ac:dyDescent="0.2">
      <c r="A55" s="36" t="s">
        <v>402</v>
      </c>
      <c r="B55">
        <f>VLOOKUP(B47,'8. Uncertainty Results'!$A$97:$CM$108,47,FALSE)*((cubicm/gal)*(day/yr))/B44</f>
        <v>1233.2414875519266</v>
      </c>
      <c r="C55">
        <f>VLOOKUP(B47,'8. Uncertainty Results'!$A$97:$CM$108,48,FALSE)*((cubicm/gal)*(day/yr))/C44</f>
        <v>1476.8238382602233</v>
      </c>
      <c r="D55">
        <f>VLOOKUP(B47,'8. Uncertainty Results'!$A$97:$CM$108,49,FALSE)*((cubicm/gal)*(day/yr))/D44</f>
        <v>1747.8701384140572</v>
      </c>
      <c r="E55">
        <f>VLOOKUP(E47,'8. Uncertainty Results'!$A$97:$CM$108,47,FALSE)*((cubicm/gal)*(day/yr))</f>
        <v>508.39842297855455</v>
      </c>
      <c r="F55">
        <f>VLOOKUP(E47,'8. Uncertainty Results'!$A$97:$CM$108,48,FALSE)*((cubicm/gal)*(day/yr))</f>
        <v>697.69590713051196</v>
      </c>
      <c r="G55">
        <f>VLOOKUP(E47,'8. Uncertainty Results'!$A$97:$CM$108,49,FALSE)*((cubicm/gal)*(day/yr))</f>
        <v>957.996589206365</v>
      </c>
      <c r="H55">
        <f>VLOOKUP(H47,'8. Uncertainty Results'!$A$97:$CM$108,47,FALSE)*((cubicm/gal)*(day/yr))</f>
        <v>64.211951679018057</v>
      </c>
      <c r="I55">
        <f>VLOOKUP(H47,'8. Uncertainty Results'!$A$97:$CM$108,48,FALSE)*((cubicm/gal)*(day/yr))</f>
        <v>108.46301789314833</v>
      </c>
      <c r="J55">
        <f>VLOOKUP(H47,'8. Uncertainty Results'!$A$97:$CM$108,49,FALSE)*((cubicm/gal)*(day/yr))</f>
        <v>166.13088657777655</v>
      </c>
      <c r="K55">
        <f>VLOOKUP(K47,'8. Uncertainty Results'!$A$97:$CM$108,47,FALSE)*((cubicm/gal)*(day/yr))</f>
        <v>65.2804937957969</v>
      </c>
      <c r="L55">
        <f>VLOOKUP(K47,'8. Uncertainty Results'!$A$97:$CM$108,48,FALSE)*((cubicm/gal)*(day/yr))</f>
        <v>99.386433024309483</v>
      </c>
      <c r="M55">
        <f>VLOOKUP(K47,'8. Uncertainty Results'!$A$97:$CM$108,49,FALSE)*((cubicm/gal)*(day/yr))</f>
        <v>142.75298907709441</v>
      </c>
      <c r="N55">
        <f>VLOOKUP(N47,'8. Uncertainty Results'!$A$97:$CM$108,47,FALSE)*((cubicm/gal)*(day/yr))</f>
        <v>47.037873189378629</v>
      </c>
      <c r="O55">
        <f>VLOOKUP(N47,'8. Uncertainty Results'!$A$97:$CM$108,48,FALSE)*((cubicm/gal)*(day/yr))</f>
        <v>71.610374186507954</v>
      </c>
      <c r="P55">
        <f>VLOOKUP(N47,'8. Uncertainty Results'!$A$97:$CM$108,49,FALSE)*((cubicm/gal)*(day/yr))</f>
        <v>100.56516810653463</v>
      </c>
      <c r="Q55">
        <f>VLOOKUP(Q47,'8. Uncertainty Results'!$A$97:$CM$108,47,FALSE)*((cubicm/gal)*(day/yr))</f>
        <v>65.982493621997548</v>
      </c>
      <c r="R55">
        <f>VLOOKUP(Q47,'8. Uncertainty Results'!$A$97:$CM$108,48,FALSE)*((cubicm/gal)*(day/yr))</f>
        <v>99.631037794096997</v>
      </c>
      <c r="S55">
        <f>VLOOKUP(Q47,'8. Uncertainty Results'!$A$97:$CM$108,49,FALSE)*((cubicm/gal)*(day/yr))</f>
        <v>141.62345327059302</v>
      </c>
      <c r="T55">
        <f>VLOOKUP(T47,'8. Uncertainty Results'!$A$97:$CM$108,47,FALSE)*((cubicm/gal)*(day/yr))</f>
        <v>39.68365489918768</v>
      </c>
      <c r="U55">
        <f>VLOOKUP(T47,'8. Uncertainty Results'!$A$97:$CM$108,48,FALSE)*((cubicm/gal)*(day/yr))</f>
        <v>57.934301200402686</v>
      </c>
      <c r="V55">
        <f>VLOOKUP(T47,'8. Uncertainty Results'!$A$97:$CM$108,49,FALSE)*((cubicm/gal)*(day/yr))</f>
        <v>79.395394024469965</v>
      </c>
      <c r="W55">
        <f>VLOOKUP(W47,'8. Uncertainty Results'!$A$97:$CM$108,47,FALSE)*((cubicm/gal)*(day/yr))</f>
        <v>63.215982089155503</v>
      </c>
      <c r="X55">
        <f>VLOOKUP(W47,'8. Uncertainty Results'!$A$97:$CM$108,48,FALSE)*((cubicm/gal)*(day/yr))</f>
        <v>107.00717968447152</v>
      </c>
      <c r="Y55">
        <f>VLOOKUP(W47,'8. Uncertainty Results'!$A$97:$CM$108,49,FALSE)*((cubicm/gal)*(day/yr))</f>
        <v>165.37947149522353</v>
      </c>
    </row>
    <row r="56" spans="1:25" x14ac:dyDescent="0.2">
      <c r="A56" s="36" t="s">
        <v>403</v>
      </c>
      <c r="B56">
        <f>VLOOKUP(B47,'8. Uncertainty Results'!$A$97:$CM$108,62,FALSE)*((cubicm/gal)*(day/yr))/B44</f>
        <v>2.5292815550100252</v>
      </c>
      <c r="C56">
        <f>VLOOKUP(B47,'8. Uncertainty Results'!$A$97:$CM$108,63,FALSE)*((cubicm/gal)*(day/yr))/C44</f>
        <v>1.5769059976693622</v>
      </c>
      <c r="D56">
        <f>VLOOKUP(B47,'8. Uncertainty Results'!$A$97:$CM$108,64,FALSE)*((cubicm/gal)*(day/yr))/D44</f>
        <v>1.1325319520725856</v>
      </c>
      <c r="E56">
        <f>VLOOKUP(E47,'8. Uncertainty Results'!$A$97:$CM$108,62,FALSE)*((cubicm/gal)*(day/yr))</f>
        <v>0.90195068327600014</v>
      </c>
      <c r="F56">
        <f>VLOOKUP(E47,'8. Uncertainty Results'!$A$97:$CM$108,63,FALSE)*((cubicm/gal)*(day/yr))</f>
        <v>0.9250745946641451</v>
      </c>
      <c r="G56">
        <f>VLOOKUP(E47,'8. Uncertainty Results'!$A$97:$CM$108,64,FALSE)*((cubicm/gal)*(day/yr))</f>
        <v>0.94933028112945017</v>
      </c>
      <c r="H56">
        <f>VLOOKUP(H47,'8. Uncertainty Results'!$A$97:$CM$108,62,FALSE)*((cubicm/gal)*(day/yr))</f>
        <v>0.43095078826339317</v>
      </c>
      <c r="I56">
        <f>VLOOKUP(H47,'8. Uncertainty Results'!$A$97:$CM$108,63,FALSE)*((cubicm/gal)*(day/yr))</f>
        <v>0.43751057453405312</v>
      </c>
      <c r="J56">
        <f>VLOOKUP(H47,'8. Uncertainty Results'!$A$97:$CM$108,64,FALSE)*((cubicm/gal)*(day/yr))</f>
        <v>0.44433764518064073</v>
      </c>
      <c r="K56">
        <f>VLOOKUP(K47,'8. Uncertainty Results'!$A$97:$CM$108,62,FALSE)*((cubicm/gal)*(day/yr))</f>
        <v>0.23904673756754236</v>
      </c>
      <c r="L56">
        <f>VLOOKUP(K47,'8. Uncertainty Results'!$A$97:$CM$108,63,FALSE)*((cubicm/gal)*(day/yr))</f>
        <v>0.24289878867563186</v>
      </c>
      <c r="M56">
        <f>VLOOKUP(K47,'8. Uncertainty Results'!$A$97:$CM$108,64,FALSE)*((cubicm/gal)*(day/yr))</f>
        <v>0.24694097124623002</v>
      </c>
      <c r="N56">
        <f>VLOOKUP(N47,'8. Uncertainty Results'!$A$97:$CM$108,62,FALSE)*((cubicm/gal)*(day/yr))</f>
        <v>0.16846040041137314</v>
      </c>
      <c r="O56">
        <f>VLOOKUP(N47,'8. Uncertainty Results'!$A$97:$CM$108,63,FALSE)*((cubicm/gal)*(day/yr))</f>
        <v>0.17116941208066949</v>
      </c>
      <c r="P56">
        <f>VLOOKUP(N47,'8. Uncertainty Results'!$A$97:$CM$108,64,FALSE)*((cubicm/gal)*(day/yr))</f>
        <v>0.17394621233032512</v>
      </c>
      <c r="Q56">
        <f>VLOOKUP(Q47,'8. Uncertainty Results'!$A$97:$CM$108,62,FALSE)*((cubicm/gal)*(day/yr))</f>
        <v>0.239072206029351</v>
      </c>
      <c r="R56">
        <f>VLOOKUP(Q47,'8. Uncertainty Results'!$A$97:$CM$108,63,FALSE)*((cubicm/gal)*(day/yr))</f>
        <v>0.24285480181840602</v>
      </c>
      <c r="S56">
        <f>VLOOKUP(Q47,'8. Uncertainty Results'!$A$97:$CM$108,64,FALSE)*((cubicm/gal)*(day/yr))</f>
        <v>0.24690631670364466</v>
      </c>
      <c r="T56">
        <f>VLOOKUP(T47,'8. Uncertainty Results'!$A$97:$CM$108,62,FALSE)*((cubicm/gal)*(day/yr))</f>
        <v>8.4692903603236336E-2</v>
      </c>
      <c r="U56">
        <f>VLOOKUP(T47,'8. Uncertainty Results'!$A$97:$CM$108,63,FALSE)*((cubicm/gal)*(day/yr))</f>
        <v>8.7266501092052931E-2</v>
      </c>
      <c r="V56">
        <f>VLOOKUP(T47,'8. Uncertainty Results'!$A$97:$CM$108,64,FALSE)*((cubicm/gal)*(day/yr))</f>
        <v>9.0008844071722133E-2</v>
      </c>
      <c r="W56">
        <f>VLOOKUP(W47,'8. Uncertainty Results'!$A$97:$CM$108,62,FALSE)*((cubicm/gal)*(day/yr))</f>
        <v>0.43097042017814169</v>
      </c>
      <c r="X56">
        <f>VLOOKUP(W47,'8. Uncertainty Results'!$A$97:$CM$108,63,FALSE)*((cubicm/gal)*(day/yr))</f>
        <v>0.43759568402837407</v>
      </c>
      <c r="Y56">
        <f>VLOOKUP(W47,'8. Uncertainty Results'!$A$97:$CM$108,64,FALSE)*((cubicm/gal)*(day/yr))</f>
        <v>0.44450090383699037</v>
      </c>
    </row>
    <row r="57" spans="1:25" x14ac:dyDescent="0.2">
      <c r="A57" s="36" t="s">
        <v>439</v>
      </c>
      <c r="B57">
        <f>VLOOKUP(B47,'8. Uncertainty Results'!$A$97:$CM$108,77,FALSE)*((cubicm/gal)*(day/yr))/B44</f>
        <v>0</v>
      </c>
      <c r="C57">
        <f>VLOOKUP(B47,'8. Uncertainty Results'!$A$97:$CM$108,78,FALSE)*((cubicm/gal)*(day/yr))/C44</f>
        <v>0</v>
      </c>
      <c r="D57">
        <f>VLOOKUP(B47,'8. Uncertainty Results'!$A$97:$CM$108,79,FALSE)*((cubicm/gal)*(day/yr))/D44</f>
        <v>0</v>
      </c>
      <c r="E57">
        <f>VLOOKUP(E47,'8. Uncertainty Results'!$A$97:$CM$108,77,FALSE)*((cubicm/gal)*(day/yr))</f>
        <v>0.89309609648057664</v>
      </c>
      <c r="F57">
        <f>VLOOKUP(E47,'8. Uncertainty Results'!$A$97:$CM$108,78,FALSE)*((cubicm/gal)*(day/yr))</f>
        <v>0.95059764451539353</v>
      </c>
      <c r="G57">
        <f>VLOOKUP(E47,'8. Uncertainty Results'!$A$97:$CM$108,79,FALSE)*((cubicm/gal)*(day/yr))</f>
        <v>1.0123359372527221</v>
      </c>
      <c r="H57">
        <f>VLOOKUP(H47,'8. Uncertainty Results'!$A$97:$CM$108,77,FALSE)*((cubicm/gal)*(day/yr))</f>
        <v>1.7982743849045741</v>
      </c>
      <c r="I57">
        <f>VLOOKUP(H47,'8. Uncertainty Results'!$A$97:$CM$108,78,FALSE)*((cubicm/gal)*(day/yr))</f>
        <v>1.9811163630420514</v>
      </c>
      <c r="J57">
        <f>VLOOKUP(H47,'8. Uncertainty Results'!$A$97:$CM$108,79,FALSE)*((cubicm/gal)*(day/yr))</f>
        <v>2.2103934430232517</v>
      </c>
      <c r="K57">
        <f>VLOOKUP(K47,'8. Uncertainty Results'!$A$97:$CM$108,77,FALSE)*((cubicm/gal)*(day/yr))</f>
        <v>0</v>
      </c>
      <c r="L57">
        <f>VLOOKUP(K47,'8. Uncertainty Results'!$A$97:$CM$108,78,FALSE)*((cubicm/gal)*(day/yr))</f>
        <v>0</v>
      </c>
      <c r="M57">
        <f>VLOOKUP(K47,'8. Uncertainty Results'!$A$97:$CM$108,79,FALSE)*((cubicm/gal)*(day/yr))</f>
        <v>0</v>
      </c>
      <c r="N57">
        <f>VLOOKUP(N47,'8. Uncertainty Results'!$A$97:$CM$108,77,FALSE)*((cubicm/gal)*(day/yr))</f>
        <v>0</v>
      </c>
      <c r="O57">
        <f>VLOOKUP(N47,'8. Uncertainty Results'!$A$97:$CM$108,78,FALSE)*((cubicm/gal)*(day/yr))</f>
        <v>0</v>
      </c>
      <c r="P57">
        <f>VLOOKUP(N47,'8. Uncertainty Results'!$A$97:$CM$108,79,FALSE)*((cubicm/gal)*(day/yr))</f>
        <v>0</v>
      </c>
      <c r="Q57">
        <f>VLOOKUP(Q47,'8. Uncertainty Results'!$A$97:$CM$108,77,FALSE)*((cubicm/gal)*(day/yr))</f>
        <v>0</v>
      </c>
      <c r="R57">
        <f>VLOOKUP(Q47,'8. Uncertainty Results'!$A$97:$CM$108,78,FALSE)*((cubicm/gal)*(day/yr))</f>
        <v>0</v>
      </c>
      <c r="S57">
        <f>VLOOKUP(Q47,'8. Uncertainty Results'!$A$97:$CM$108,79,FALSE)*((cubicm/gal)*(day/yr))</f>
        <v>0</v>
      </c>
      <c r="T57">
        <f>VLOOKUP(T47,'8. Uncertainty Results'!$A$97:$CM$108,77,FALSE)*((cubicm/gal)*(day/yr))</f>
        <v>0</v>
      </c>
      <c r="U57">
        <f>VLOOKUP(T47,'8. Uncertainty Results'!$A$97:$CM$108,78,FALSE)*((cubicm/gal)*(day/yr))</f>
        <v>0</v>
      </c>
      <c r="V57">
        <f>VLOOKUP(T47,'8. Uncertainty Results'!$A$97:$CM$108,79,FALSE)*((cubicm/gal)*(day/yr))</f>
        <v>0</v>
      </c>
      <c r="W57">
        <f>VLOOKUP(W47,'8. Uncertainty Results'!$A$97:$CM$108,77,FALSE)*((cubicm/gal)*(day/yr))</f>
        <v>1.7965439397665748</v>
      </c>
      <c r="X57">
        <f>VLOOKUP(W47,'8. Uncertainty Results'!$A$97:$CM$108,78,FALSE)*((cubicm/gal)*(day/yr))</f>
        <v>1.9830018630833102</v>
      </c>
      <c r="Y57">
        <f>VLOOKUP(W47,'8. Uncertainty Results'!$A$97:$CM$108,79,FALSE)*((cubicm/gal)*(day/yr))</f>
        <v>2.2081609575368617</v>
      </c>
    </row>
    <row r="58" spans="1:25" x14ac:dyDescent="0.2">
      <c r="A58" s="36" t="s">
        <v>492</v>
      </c>
      <c r="B58">
        <f>VLOOKUP(B47,'8. Uncertainty Results'!$A$203:$D$215,2,FALSE)/1000000/B44</f>
        <v>13.452135509348876</v>
      </c>
      <c r="C58">
        <f>VLOOKUP(B47,'8. Uncertainty Results'!$A$203:$D$215,3,FALSE)/1000000/C44</f>
        <v>8.8728926295481099</v>
      </c>
      <c r="D58">
        <f>VLOOKUP(B47,'8. Uncertainty Results'!$A$203:$D$215,4,FALSE)/1000000/D44</f>
        <v>6.671958101750425</v>
      </c>
      <c r="E58">
        <f>VLOOKUP(E47,'8. Uncertainty Results'!$A$203:$D$215,2,FALSE)/1000000</f>
        <v>30.329777237026992</v>
      </c>
      <c r="F58">
        <f>VLOOKUP(E47,'8. Uncertainty Results'!$A$203:$D$215,3,FALSE)/1000000</f>
        <v>34.810209497471384</v>
      </c>
      <c r="G58">
        <f>VLOOKUP(E47,'8. Uncertainty Results'!$A$203:$D$215,4,FALSE)/1000000</f>
        <v>39.804593895523155</v>
      </c>
      <c r="H58">
        <f>VLOOKUP(H47,'8. Uncertainty Results'!$A$203:$D$215,2,FALSE)/1000000</f>
        <v>0.36684257135850085</v>
      </c>
      <c r="I58">
        <f>VLOOKUP(H47,'8. Uncertainty Results'!$A$203:$D$215,3,FALSE)/1000000</f>
        <v>1.9272387365708405</v>
      </c>
      <c r="J58">
        <f>VLOOKUP(H47,'8. Uncertainty Results'!$A$203:$D$215,4,FALSE)/1000000</f>
        <v>9.7366119085476832</v>
      </c>
      <c r="K58">
        <f>VLOOKUP(K47,'8. Uncertainty Results'!$A$203:$D$215,2,FALSE)/1000000</f>
        <v>28.572915147869598</v>
      </c>
      <c r="L58">
        <f>VLOOKUP(K47,'8. Uncertainty Results'!$A$203:$D$215,3,FALSE)/1000000</f>
        <v>36.784589510791825</v>
      </c>
      <c r="M58">
        <f>VLOOKUP(K47,'8. Uncertainty Results'!$A$203:$D$215,4,FALSE)/1000000</f>
        <v>63.986855731934547</v>
      </c>
      <c r="N58">
        <f>VLOOKUP(N47,'8. Uncertainty Results'!$A$203:$D$215,2,FALSE)/1000000</f>
        <v>12.60217290105447</v>
      </c>
      <c r="O58">
        <f>VLOOKUP(N47,'8. Uncertainty Results'!$A$203:$D$215,3,FALSE)/1000000</f>
        <v>19.226978004610444</v>
      </c>
      <c r="P58">
        <f>VLOOKUP(N47,'8. Uncertainty Results'!$A$203:$D$215,4,FALSE)/1000000</f>
        <v>49.036167912910365</v>
      </c>
      <c r="Q58">
        <f>VLOOKUP(Q47,'8. Uncertainty Results'!$A$203:$D$215,2,FALSE)/1000000</f>
        <v>4.9234855062215894</v>
      </c>
      <c r="R58">
        <f>VLOOKUP(Q47,'8. Uncertainty Results'!$A$203:$D$215,3,FALSE)/1000000</f>
        <v>5.37106142092306</v>
      </c>
      <c r="S58">
        <f>VLOOKUP(Q47,'8. Uncertainty Results'!$A$203:$D$215,4,FALSE)/1000000</f>
        <v>5.8389653933930203</v>
      </c>
      <c r="T58">
        <f>VLOOKUP(T47,'8. Uncertainty Results'!$A$203:$D$215,2,FALSE)/1000000</f>
        <v>3.9079818470785299</v>
      </c>
      <c r="U58">
        <f>VLOOKUP(T47,'8. Uncertainty Results'!$A$203:$D$215,3,FALSE)/1000000</f>
        <v>4.2843021047777894</v>
      </c>
      <c r="V58">
        <f>VLOOKUP(T47,'8. Uncertainty Results'!$A$203:$D$215,4,FALSE)/1000000</f>
        <v>4.6474321803099699</v>
      </c>
      <c r="W58">
        <f>VLOOKUP(W47,'8. Uncertainty Results'!$A$203:$D$215,2,FALSE)/1000000</f>
        <v>0.23425673678805656</v>
      </c>
      <c r="X58">
        <f>VLOOKUP(W47,'8. Uncertainty Results'!$A$203:$D$215,3,FALSE)/1000000</f>
        <v>1.1548930353673985</v>
      </c>
      <c r="Y58">
        <f>VLOOKUP(W47,'8. Uncertainty Results'!$A$203:$D$215,4,FALSE)/1000000</f>
        <v>5.5129749020288967</v>
      </c>
    </row>
    <row r="59" spans="1:25" x14ac:dyDescent="0.2">
      <c r="A59" s="36"/>
    </row>
    <row r="61" spans="1:25" x14ac:dyDescent="0.2">
      <c r="A61" s="36" t="s">
        <v>566</v>
      </c>
      <c r="B61" s="481">
        <v>18100204</v>
      </c>
      <c r="C61" s="481"/>
      <c r="D61" s="481"/>
      <c r="E61" s="481">
        <v>16040201</v>
      </c>
      <c r="F61" s="481"/>
      <c r="G61" s="481"/>
      <c r="H61" s="481">
        <v>15030202</v>
      </c>
      <c r="I61" s="481"/>
      <c r="J61" s="481"/>
      <c r="K61" s="481">
        <v>16060011</v>
      </c>
      <c r="L61" s="481"/>
      <c r="M61" s="481"/>
      <c r="N61" s="481">
        <v>16060003</v>
      </c>
      <c r="O61" s="481"/>
      <c r="P61" s="481"/>
      <c r="Q61" s="481">
        <v>16060013</v>
      </c>
      <c r="R61" s="481"/>
      <c r="S61" s="481"/>
      <c r="T61" s="481">
        <v>16060010</v>
      </c>
      <c r="U61" s="481"/>
      <c r="V61" s="481"/>
      <c r="W61" s="481">
        <v>15030201</v>
      </c>
      <c r="X61" s="481"/>
      <c r="Y61" s="481"/>
    </row>
    <row r="62" spans="1:25" x14ac:dyDescent="0.2">
      <c r="A62" s="36"/>
      <c r="B62" s="481" t="s">
        <v>539</v>
      </c>
      <c r="C62" s="481"/>
      <c r="D62" s="481"/>
      <c r="E62" s="481" t="s">
        <v>417</v>
      </c>
      <c r="F62" s="481"/>
      <c r="G62" s="481"/>
      <c r="H62" s="481" t="s">
        <v>418</v>
      </c>
      <c r="I62" s="481"/>
      <c r="J62" s="481"/>
      <c r="K62" s="481" t="s">
        <v>419</v>
      </c>
      <c r="L62" s="481"/>
      <c r="M62" s="481"/>
      <c r="N62" s="481" t="s">
        <v>420</v>
      </c>
      <c r="O62" s="481"/>
      <c r="P62" s="481"/>
      <c r="Q62" s="481" t="s">
        <v>421</v>
      </c>
      <c r="R62" s="481"/>
      <c r="S62" s="481"/>
      <c r="T62" s="481" t="s">
        <v>422</v>
      </c>
      <c r="U62" s="481"/>
      <c r="V62" s="481"/>
      <c r="W62" s="481" t="s">
        <v>423</v>
      </c>
      <c r="X62" s="481"/>
      <c r="Y62" s="481"/>
    </row>
    <row r="63" spans="1:25" x14ac:dyDescent="0.2">
      <c r="A63" s="36"/>
      <c r="B63" s="36" t="s">
        <v>440</v>
      </c>
      <c r="C63" s="36" t="s">
        <v>441</v>
      </c>
      <c r="D63" s="36" t="s">
        <v>442</v>
      </c>
      <c r="E63" s="36" t="s">
        <v>440</v>
      </c>
      <c r="F63" s="36" t="s">
        <v>441</v>
      </c>
      <c r="G63" s="36" t="s">
        <v>442</v>
      </c>
      <c r="H63" s="36" t="s">
        <v>440</v>
      </c>
      <c r="I63" s="36" t="s">
        <v>441</v>
      </c>
      <c r="J63" s="36" t="s">
        <v>442</v>
      </c>
      <c r="K63" s="36" t="s">
        <v>440</v>
      </c>
      <c r="L63" s="36" t="s">
        <v>441</v>
      </c>
      <c r="M63" s="36" t="s">
        <v>442</v>
      </c>
      <c r="N63" s="36" t="s">
        <v>440</v>
      </c>
      <c r="O63" s="36" t="s">
        <v>441</v>
      </c>
      <c r="P63" s="36" t="s">
        <v>442</v>
      </c>
      <c r="Q63" s="36" t="s">
        <v>440</v>
      </c>
      <c r="R63" s="36" t="s">
        <v>441</v>
      </c>
      <c r="S63" s="36" t="s">
        <v>442</v>
      </c>
      <c r="T63" s="36" t="s">
        <v>440</v>
      </c>
      <c r="U63" s="36" t="s">
        <v>441</v>
      </c>
      <c r="V63" s="36" t="s">
        <v>442</v>
      </c>
      <c r="W63" s="36" t="s">
        <v>440</v>
      </c>
      <c r="X63" s="36" t="s">
        <v>441</v>
      </c>
      <c r="Y63" s="36" t="s">
        <v>442</v>
      </c>
    </row>
    <row r="64" spans="1:25" x14ac:dyDescent="0.2">
      <c r="A64" s="36" t="s">
        <v>436</v>
      </c>
      <c r="B64">
        <f>VLOOKUP(B61,'8. Uncertainty Results'!$A$43:$G$54,5,FALSE)*(cubicm/gal)*(day/yr)</f>
        <v>642.44787031364069</v>
      </c>
      <c r="C64">
        <f>B64</f>
        <v>642.44787031364069</v>
      </c>
      <c r="D64">
        <f>B64</f>
        <v>642.44787031364069</v>
      </c>
      <c r="E64">
        <f>VLOOKUP(E61,'8. Uncertainty Results'!$A$43:$G$54,5,FALSE)*(cubicm/gal)*(day/yr)</f>
        <v>177.35121582214242</v>
      </c>
      <c r="F64">
        <f>E64</f>
        <v>177.35121582214242</v>
      </c>
      <c r="G64">
        <f>E64</f>
        <v>177.35121582214242</v>
      </c>
      <c r="H64">
        <f>VLOOKUP(H61,'8. Uncertainty Results'!$A$43:$G$54,5,FALSE)*(cubicm/gal)*(day/yr)</f>
        <v>59.402088245565515</v>
      </c>
      <c r="I64">
        <f>H64</f>
        <v>59.402088245565515</v>
      </c>
      <c r="J64">
        <f>H64</f>
        <v>59.402088245565515</v>
      </c>
      <c r="K64">
        <f>VLOOKUP(K61,'8. Uncertainty Results'!$A$43:$G$54,5,FALSE)*(cubicm/gal)*(day/yr)</f>
        <v>47.560091924325583</v>
      </c>
      <c r="L64">
        <f>K64</f>
        <v>47.560091924325583</v>
      </c>
      <c r="M64">
        <f>K64</f>
        <v>47.560091924325583</v>
      </c>
      <c r="N64">
        <f>VLOOKUP(N61,'8. Uncertainty Results'!$A$43:$G$54,5,FALSE)*(cubicm/gal)*(day/yr)</f>
        <v>30.733802056898508</v>
      </c>
      <c r="O64">
        <f>N64</f>
        <v>30.733802056898508</v>
      </c>
      <c r="P64">
        <f>N64</f>
        <v>30.733802056898508</v>
      </c>
      <c r="Q64">
        <f>VLOOKUP(Q61,'8. Uncertainty Results'!$A$43:$G$54,5,FALSE)*(cubicm/gal)*(day/yr)</f>
        <v>39.938959073661671</v>
      </c>
      <c r="R64">
        <f>Q64</f>
        <v>39.938959073661671</v>
      </c>
      <c r="S64">
        <f>Q64</f>
        <v>39.938959073661671</v>
      </c>
      <c r="T64">
        <f>VLOOKUP(T61,'8. Uncertainty Results'!$A$43:$G$54,5,FALSE)*(cubicm/gal)*(day/yr)</f>
        <v>51.233289726836418</v>
      </c>
      <c r="U64">
        <f>T64</f>
        <v>51.233289726836418</v>
      </c>
      <c r="V64">
        <f>T64</f>
        <v>51.233289726836418</v>
      </c>
      <c r="W64">
        <f>VLOOKUP(W61,'8. Uncertainty Results'!$A$43:$G$54,5,FALSE)*(cubicm/gal)*(day/yr)</f>
        <v>111.98928589092783</v>
      </c>
      <c r="X64">
        <f>W64</f>
        <v>111.98928589092783</v>
      </c>
      <c r="Y64">
        <f>W64</f>
        <v>111.98928589092783</v>
      </c>
    </row>
    <row r="65" spans="1:25" x14ac:dyDescent="0.2">
      <c r="A65" s="36" t="s">
        <v>437</v>
      </c>
      <c r="B65">
        <f>VLOOKUP(B61,'8. Uncertainty Results'!$A$43:$G$54,7,FALSE)*(cubicm/gal)*(day/yr)</f>
        <v>785.2341273394876</v>
      </c>
      <c r="C65">
        <f>B65</f>
        <v>785.2341273394876</v>
      </c>
      <c r="D65">
        <f>B65</f>
        <v>785.2341273394876</v>
      </c>
      <c r="E65">
        <f>VLOOKUP(E61,'8. Uncertainty Results'!$A$43:$G$54,7,FALSE)*(cubicm/gal)*(day/yr)</f>
        <v>571.90554774673467</v>
      </c>
      <c r="F65">
        <f>E65</f>
        <v>571.90554774673467</v>
      </c>
      <c r="G65">
        <f>E65</f>
        <v>571.90554774673467</v>
      </c>
      <c r="H65">
        <f>VLOOKUP(H61,'8. Uncertainty Results'!$A$43:$G$54,7,FALSE)*(cubicm/gal)*(day/yr)</f>
        <v>180.85382722529019</v>
      </c>
      <c r="I65">
        <f>H65</f>
        <v>180.85382722529019</v>
      </c>
      <c r="J65">
        <f>H65</f>
        <v>180.85382722529019</v>
      </c>
      <c r="K65">
        <f>VLOOKUP(K61,'8. Uncertainty Results'!$A$43:$G$54,7,FALSE)*(cubicm/gal)*(day/yr)</f>
        <v>103.85436500275966</v>
      </c>
      <c r="L65">
        <f>K65</f>
        <v>103.85436500275966</v>
      </c>
      <c r="M65">
        <f>K65</f>
        <v>103.85436500275966</v>
      </c>
      <c r="N65">
        <f>VLOOKUP(N61,'8. Uncertainty Results'!$A$43:$G$54,7,FALSE)*(cubicm/gal)*(day/yr)</f>
        <v>130.56690651318701</v>
      </c>
      <c r="O65">
        <f>N65</f>
        <v>130.56690651318701</v>
      </c>
      <c r="P65">
        <f>N65</f>
        <v>130.56690651318701</v>
      </c>
      <c r="Q65">
        <f>VLOOKUP(Q61,'8. Uncertainty Results'!$A$43:$G$54,7,FALSE)*(cubicm/gal)*(day/yr)</f>
        <v>124.9190554249201</v>
      </c>
      <c r="R65">
        <f>Q65</f>
        <v>124.9190554249201</v>
      </c>
      <c r="S65">
        <f>Q65</f>
        <v>124.9190554249201</v>
      </c>
      <c r="T65">
        <f>VLOOKUP(T61,'8. Uncertainty Results'!$A$43:$G$54,7,FALSE)*(cubicm/gal)*(day/yr)</f>
        <v>126.85596307330604</v>
      </c>
      <c r="U65">
        <f>T65</f>
        <v>126.85596307330604</v>
      </c>
      <c r="V65">
        <f>T65</f>
        <v>126.85596307330604</v>
      </c>
      <c r="W65">
        <f>VLOOKUP(W61,'8. Uncertainty Results'!$A$43:$G$54,7,FALSE)*(cubicm/gal)*(day/yr)</f>
        <v>357.72032561616231</v>
      </c>
      <c r="X65">
        <f>W65</f>
        <v>357.72032561616231</v>
      </c>
      <c r="Y65">
        <f>W65</f>
        <v>357.72032561616231</v>
      </c>
    </row>
    <row r="66" spans="1:25" x14ac:dyDescent="0.2">
      <c r="A66" s="36" t="s">
        <v>438</v>
      </c>
      <c r="B66">
        <f>VLOOKUP(B61,'8. Uncertainty Results'!$A$115:$CM$126,2,FALSE)*((cubicm/gal)*(day/yr))/B44</f>
        <v>12.648829958699547</v>
      </c>
      <c r="C66">
        <f>VLOOKUP(B61,'8. Uncertainty Results'!$A$115:$CM$126,3,FALSE)*((cubicm/gal)*(day/yr))/C44</f>
        <v>8.2014875458876215</v>
      </c>
      <c r="D66">
        <f>VLOOKUP(B61,'8. Uncertainty Results'!$A$115:$CM$126,4,FALSE)*((cubicm/gal)*(day/yr))/D44</f>
        <v>6.0821293752236869</v>
      </c>
      <c r="E66">
        <f>VLOOKUP(E61,'8. Uncertainty Results'!$A$115:$CM$126,2,FALSE)*((cubicm/gal)*(day/yr))</f>
        <v>0</v>
      </c>
      <c r="F66">
        <f>VLOOKUP(E61,'8. Uncertainty Results'!$A$115:$CM$126,3,FALSE)*((cubicm/gal)*(day/yr))</f>
        <v>0</v>
      </c>
      <c r="G66">
        <f>VLOOKUP(E61,'8. Uncertainty Results'!$A$115:$CM$126,4,FALSE)*((cubicm/gal)*(day/yr))</f>
        <v>0</v>
      </c>
      <c r="H66">
        <f>VLOOKUP(H61,'8. Uncertainty Results'!$A$115:$CM$126,2,FALSE)*((cubicm/gal)*(day/yr))</f>
        <v>30.928707145262493</v>
      </c>
      <c r="I66">
        <f>VLOOKUP(H61,'8. Uncertainty Results'!$A$115:$CM$126,3,FALSE)*((cubicm/gal)*(day/yr))</f>
        <v>33.949628970638528</v>
      </c>
      <c r="J66">
        <f>VLOOKUP(H61,'8. Uncertainty Results'!$A$115:$CM$126,4,FALSE)*((cubicm/gal)*(day/yr))</f>
        <v>36.989524071896668</v>
      </c>
      <c r="K66">
        <f>VLOOKUP(K61,'8. Uncertainty Results'!$A$115:$CM$126,2,FALSE)*((cubicm/gal)*(day/yr))</f>
        <v>0.1244322798168688</v>
      </c>
      <c r="L66">
        <f>VLOOKUP(K61,'8. Uncertainty Results'!$A$115:$CM$126,3,FALSE)*((cubicm/gal)*(day/yr))</f>
        <v>0.13672732485506606</v>
      </c>
      <c r="M66">
        <f>VLOOKUP(K61,'8. Uncertainty Results'!$A$115:$CM$126,4,FALSE)*((cubicm/gal)*(day/yr))</f>
        <v>0.14887439270260638</v>
      </c>
      <c r="N66">
        <f>VLOOKUP(N61,'8. Uncertainty Results'!$A$115:$CM$126,2,FALSE)*((cubicm/gal)*(day/yr))</f>
        <v>8.3078549618548797E-2</v>
      </c>
      <c r="O66">
        <f>VLOOKUP(N61,'8. Uncertainty Results'!$A$115:$CM$126,3,FALSE)*((cubicm/gal)*(day/yr))</f>
        <v>9.0999326006559175E-2</v>
      </c>
      <c r="P66">
        <f>VLOOKUP(N61,'8. Uncertainty Results'!$A$115:$CM$126,4,FALSE)*((cubicm/gal)*(day/yr))</f>
        <v>9.8886325437588712E-2</v>
      </c>
      <c r="Q66">
        <f>VLOOKUP(Q61,'8. Uncertainty Results'!$A$115:$CM$126,2,FALSE)*((cubicm/gal)*(day/yr))</f>
        <v>0.12415617344760284</v>
      </c>
      <c r="R66">
        <f>VLOOKUP(Q61,'8. Uncertainty Results'!$A$115:$CM$126,3,FALSE)*((cubicm/gal)*(day/yr))</f>
        <v>0.13646018796560208</v>
      </c>
      <c r="S66">
        <f>VLOOKUP(Q61,'8. Uncertainty Results'!$A$115:$CM$126,4,FALSE)*((cubicm/gal)*(day/yr))</f>
        <v>0.14851345680776115</v>
      </c>
      <c r="T66">
        <f>VLOOKUP(T61,'8. Uncertainty Results'!$A$115:$CM$126,2,FALSE)*((cubicm/gal)*(day/yr))</f>
        <v>20.255303447025696</v>
      </c>
      <c r="U66">
        <f>VLOOKUP(T61,'8. Uncertainty Results'!$A$115:$CM$126,3,FALSE)*((cubicm/gal)*(day/yr))</f>
        <v>21.718528573632007</v>
      </c>
      <c r="V66">
        <f>VLOOKUP(T61,'8. Uncertainty Results'!$A$115:$CM$126,4,FALSE)*((cubicm/gal)*(day/yr))</f>
        <v>23.228093776459367</v>
      </c>
      <c r="W66">
        <f>VLOOKUP(W61,'8. Uncertainty Results'!$A$115:$CM$126,2,FALSE)*((cubicm/gal)*(day/yr))</f>
        <v>30.952839896986617</v>
      </c>
      <c r="X66">
        <f>VLOOKUP(W61,'8. Uncertainty Results'!$A$115:$CM$126,3,FALSE)*((cubicm/gal)*(day/yr))</f>
        <v>33.927860608047006</v>
      </c>
      <c r="Y66">
        <f>VLOOKUP(W61,'8. Uncertainty Results'!$A$115:$CM$126,4,FALSE)*((cubicm/gal)*(day/yr))</f>
        <v>36.955404523582331</v>
      </c>
    </row>
    <row r="67" spans="1:25" x14ac:dyDescent="0.2">
      <c r="A67" s="36" t="s">
        <v>400</v>
      </c>
      <c r="B67">
        <f>VLOOKUP(B61,'8. Uncertainty Results'!$A$115:$CM$126,17,FALSE)*((cubicm/gal)*(day/yr))/B44</f>
        <v>25.654681642212321</v>
      </c>
      <c r="C67">
        <f>VLOOKUP(B61,'8. Uncertainty Results'!$A$115:$CM$126,18,FALSE)*((cubicm/gal)*(day/yr))/C44</f>
        <v>16.319842168324147</v>
      </c>
      <c r="D67">
        <f>VLOOKUP(B61,'8. Uncertainty Results'!$A$115:$CM$126,19,FALSE)*((cubicm/gal)*(day/yr))/D44</f>
        <v>12.050600060907735</v>
      </c>
      <c r="E67">
        <f>VLOOKUP(E61,'8. Uncertainty Results'!$A$115:$CM$126,17,FALSE)*((cubicm/gal)*(day/yr))</f>
        <v>4.9463224408122475</v>
      </c>
      <c r="F67">
        <f>VLOOKUP(E61,'8. Uncertainty Results'!$A$115:$CM$126,18,FALSE)*((cubicm/gal)*(day/yr))</f>
        <v>5.2765774483858854</v>
      </c>
      <c r="G67">
        <f>VLOOKUP(E61,'8. Uncertainty Results'!$A$115:$CM$126,19,FALSE)*((cubicm/gal)*(day/yr))</f>
        <v>5.6673263608027993</v>
      </c>
      <c r="H67">
        <f>VLOOKUP(H61,'8. Uncertainty Results'!$A$115:$CM$126,17,FALSE)*((cubicm/gal)*(day/yr))</f>
        <v>74.681035554124222</v>
      </c>
      <c r="I67">
        <f>VLOOKUP(H61,'8. Uncertainty Results'!$A$115:$CM$126,18,FALSE)*((cubicm/gal)*(day/yr))</f>
        <v>81.346526221914914</v>
      </c>
      <c r="J67">
        <f>VLOOKUP(H61,'8. Uncertainty Results'!$A$115:$CM$126,19,FALSE)*((cubicm/gal)*(day/yr))</f>
        <v>88.812758589176951</v>
      </c>
      <c r="K67">
        <f>VLOOKUP(K61,'8. Uncertainty Results'!$A$115:$CM$126,17,FALSE)*((cubicm/gal)*(day/yr))</f>
        <v>10.654615603723599</v>
      </c>
      <c r="L67">
        <f>VLOOKUP(K61,'8. Uncertainty Results'!$A$115:$CM$126,18,FALSE)*((cubicm/gal)*(day/yr))</f>
        <v>11.816838139732736</v>
      </c>
      <c r="M67">
        <f>VLOOKUP(K61,'8. Uncertainty Results'!$A$115:$CM$126,19,FALSE)*((cubicm/gal)*(day/yr))</f>
        <v>13.271702875723857</v>
      </c>
      <c r="N67">
        <f>VLOOKUP(N61,'8. Uncertainty Results'!$A$115:$CM$126,17,FALSE)*((cubicm/gal)*(day/yr))</f>
        <v>7.4311416420374119</v>
      </c>
      <c r="O67">
        <f>VLOOKUP(N61,'8. Uncertainty Results'!$A$115:$CM$126,18,FALSE)*((cubicm/gal)*(day/yr))</f>
        <v>8.2368925753263635</v>
      </c>
      <c r="P67">
        <f>VLOOKUP(N61,'8. Uncertainty Results'!$A$115:$CM$126,19,FALSE)*((cubicm/gal)*(day/yr))</f>
        <v>9.218814939889139</v>
      </c>
      <c r="Q67">
        <f>VLOOKUP(Q61,'8. Uncertainty Results'!$A$115:$CM$126,17,FALSE)*((cubicm/gal)*(day/yr))</f>
        <v>10.652820623018126</v>
      </c>
      <c r="R67">
        <f>VLOOKUP(Q61,'8. Uncertainty Results'!$A$115:$CM$126,18,FALSE)*((cubicm/gal)*(day/yr))</f>
        <v>11.856584597566897</v>
      </c>
      <c r="S67">
        <f>VLOOKUP(Q61,'8. Uncertainty Results'!$A$115:$CM$126,19,FALSE)*((cubicm/gal)*(day/yr))</f>
        <v>13.321245189256098</v>
      </c>
      <c r="T67">
        <f>VLOOKUP(T61,'8. Uncertainty Results'!$A$115:$CM$126,17,FALSE)*((cubicm/gal)*(day/yr))</f>
        <v>1.6451856195238677</v>
      </c>
      <c r="U67">
        <f>VLOOKUP(T61,'8. Uncertainty Results'!$A$115:$CM$126,18,FALSE)*((cubicm/gal)*(day/yr))</f>
        <v>1.7716879525416551</v>
      </c>
      <c r="V67">
        <f>VLOOKUP(T61,'8. Uncertainty Results'!$A$115:$CM$126,19,FALSE)*((cubicm/gal)*(day/yr))</f>
        <v>1.9121469569398755</v>
      </c>
      <c r="W67">
        <f>VLOOKUP(W61,'8. Uncertainty Results'!$A$115:$CM$126,17,FALSE)*((cubicm/gal)*(day/yr))</f>
        <v>74.654318393998651</v>
      </c>
      <c r="X67">
        <f>VLOOKUP(W61,'8. Uncertainty Results'!$A$115:$CM$126,18,FALSE)*((cubicm/gal)*(day/yr))</f>
        <v>81.249969563277375</v>
      </c>
      <c r="Y67">
        <f>VLOOKUP(W61,'8. Uncertainty Results'!$A$115:$CM$126,19,FALSE)*((cubicm/gal)*(day/yr))</f>
        <v>88.805521494570215</v>
      </c>
    </row>
    <row r="68" spans="1:25" x14ac:dyDescent="0.2">
      <c r="A68" s="36" t="s">
        <v>401</v>
      </c>
      <c r="B68">
        <f>VLOOKUP(B61,'8. Uncertainty Results'!$A$115:$CM$126,32,FALSE)*((cubicm/gal)*(day/yr))/B44</f>
        <v>0</v>
      </c>
      <c r="C68">
        <f>VLOOKUP(B61,'8. Uncertainty Results'!$A$115:$CM$126,33,FALSE)*((cubicm/gal)*(day/yr))/C44</f>
        <v>0</v>
      </c>
      <c r="D68">
        <f>VLOOKUP(B61,'8. Uncertainty Results'!$A$115:$CM$126,34,FALSE)*((cubicm/gal)*(day/yr))/D44</f>
        <v>0</v>
      </c>
      <c r="E68">
        <f>VLOOKUP(E61,'8. Uncertainty Results'!$A$115:$CM$126,32,FALSE)*((cubicm/gal)*(day/yr))</f>
        <v>0</v>
      </c>
      <c r="F68">
        <f>VLOOKUP(E61,'8. Uncertainty Results'!$A$115:$CM$126,33,FALSE)*((cubicm/gal)*(day/yr))</f>
        <v>0</v>
      </c>
      <c r="G68">
        <f>VLOOKUP(E61,'8. Uncertainty Results'!$A$115:$CM$126,34,FALSE)*((cubicm/gal)*(day/yr))</f>
        <v>0</v>
      </c>
      <c r="H68">
        <f>VLOOKUP(H61,'8. Uncertainty Results'!$A$115:$CM$126,32,FALSE)*((cubicm/gal)*(day/yr))</f>
        <v>0</v>
      </c>
      <c r="I68">
        <f>VLOOKUP(H61,'8. Uncertainty Results'!$A$115:$CM$126,33,FALSE)*((cubicm/gal)*(day/yr))</f>
        <v>0</v>
      </c>
      <c r="J68">
        <f>VLOOKUP(H61,'8. Uncertainty Results'!$A$115:$CM$126,34,FALSE)*((cubicm/gal)*(day/yr))</f>
        <v>0</v>
      </c>
      <c r="K68">
        <f>VLOOKUP(K61,'8. Uncertainty Results'!$A$115:$CM$126,32,FALSE)*((cubicm/gal)*(day/yr))</f>
        <v>0</v>
      </c>
      <c r="L68">
        <f>VLOOKUP(K61,'8. Uncertainty Results'!$A$115:$CM$126,33,FALSE)*((cubicm/gal)*(day/yr))</f>
        <v>0</v>
      </c>
      <c r="M68">
        <f>VLOOKUP(K61,'8. Uncertainty Results'!$A$115:$CM$126,34,FALSE)*((cubicm/gal)*(day/yr))</f>
        <v>0</v>
      </c>
      <c r="N68">
        <f>VLOOKUP(N61,'8. Uncertainty Results'!$A$115:$CM$126,32,FALSE)*((cubicm/gal)*(day/yr))</f>
        <v>0</v>
      </c>
      <c r="O68">
        <f>VLOOKUP(N61,'8. Uncertainty Results'!$A$115:$CM$126,33,FALSE)*((cubicm/gal)*(day/yr))</f>
        <v>0</v>
      </c>
      <c r="P68">
        <f>VLOOKUP(N61,'8. Uncertainty Results'!$A$115:$CM$126,34,FALSE)*((cubicm/gal)*(day/yr))</f>
        <v>0</v>
      </c>
      <c r="Q68">
        <f>VLOOKUP(Q61,'8. Uncertainty Results'!$A$115:$CM$126,32,FALSE)*((cubicm/gal)*(day/yr))</f>
        <v>0</v>
      </c>
      <c r="R68">
        <f>VLOOKUP(Q61,'8. Uncertainty Results'!$A$115:$CM$126,33,FALSE)*((cubicm/gal)*(day/yr))</f>
        <v>0</v>
      </c>
      <c r="S68">
        <f>VLOOKUP(Q61,'8. Uncertainty Results'!$A$115:$CM$126,34,FALSE)*((cubicm/gal)*(day/yr))</f>
        <v>0</v>
      </c>
      <c r="T68">
        <f>VLOOKUP(T61,'8. Uncertainty Results'!$A$115:$CM$126,32,FALSE)*((cubicm/gal)*(day/yr))</f>
        <v>0</v>
      </c>
      <c r="U68">
        <f>VLOOKUP(T61,'8. Uncertainty Results'!$A$115:$CM$126,33,FALSE)*((cubicm/gal)*(day/yr))</f>
        <v>0</v>
      </c>
      <c r="V68">
        <f>VLOOKUP(T61,'8. Uncertainty Results'!$A$115:$CM$126,34,FALSE)*((cubicm/gal)*(day/yr))</f>
        <v>0</v>
      </c>
      <c r="W68">
        <f>VLOOKUP(W61,'8. Uncertainty Results'!$A$115:$CM$126,32,FALSE)*((cubicm/gal)*(day/yr))</f>
        <v>0</v>
      </c>
      <c r="X68">
        <f>VLOOKUP(W61,'8. Uncertainty Results'!$A$115:$CM$126,33,FALSE)*((cubicm/gal)*(day/yr))</f>
        <v>0</v>
      </c>
      <c r="Y68">
        <f>VLOOKUP(W61,'8. Uncertainty Results'!$A$115:$CM$126,34,FALSE)*((cubicm/gal)*(day/yr))</f>
        <v>0</v>
      </c>
    </row>
    <row r="69" spans="1:25" x14ac:dyDescent="0.2">
      <c r="A69" s="36" t="s">
        <v>402</v>
      </c>
      <c r="B69">
        <f>VLOOKUP(B61,'8. Uncertainty Results'!$A$115:$CM$126,47,FALSE)*((cubicm/gal)*(day/yr))/B44</f>
        <v>1235.5608438056793</v>
      </c>
      <c r="C69">
        <f>VLOOKUP(B61,'8. Uncertainty Results'!$A$115:$CM$126,48,FALSE)*((cubicm/gal)*(day/yr))/C44</f>
        <v>1485.6818734362048</v>
      </c>
      <c r="D69">
        <f>VLOOKUP(B61,'8. Uncertainty Results'!$A$115:$CM$126,49,FALSE)*((cubicm/gal)*(day/yr))/D44</f>
        <v>1774.010861063131</v>
      </c>
      <c r="E69">
        <f>VLOOKUP(E61,'8. Uncertainty Results'!$A$115:$CM$126,47,FALSE)*((cubicm/gal)*(day/yr))</f>
        <v>505.60558092366369</v>
      </c>
      <c r="F69">
        <f>VLOOKUP(E61,'8. Uncertainty Results'!$A$115:$CM$126,48,FALSE)*((cubicm/gal)*(day/yr))</f>
        <v>699.23018606484595</v>
      </c>
      <c r="G69">
        <f>VLOOKUP(E61,'8. Uncertainty Results'!$A$115:$CM$126,49,FALSE)*((cubicm/gal)*(day/yr))</f>
        <v>959.77910464712932</v>
      </c>
      <c r="H69">
        <f>VLOOKUP(H61,'8. Uncertainty Results'!$A$115:$CM$126,47,FALSE)*((cubicm/gal)*(day/yr))</f>
        <v>63.712194894355505</v>
      </c>
      <c r="I69">
        <f>VLOOKUP(H61,'8. Uncertainty Results'!$A$115:$CM$126,48,FALSE)*((cubicm/gal)*(day/yr))</f>
        <v>108.64660614754071</v>
      </c>
      <c r="J69">
        <f>VLOOKUP(H61,'8. Uncertainty Results'!$A$115:$CM$126,49,FALSE)*((cubicm/gal)*(day/yr))</f>
        <v>166.24894603542165</v>
      </c>
      <c r="K69">
        <f>VLOOKUP(K61,'8. Uncertainty Results'!$A$115:$CM$126,47,FALSE)*((cubicm/gal)*(day/yr))</f>
        <v>65.492841377540685</v>
      </c>
      <c r="L69">
        <f>VLOOKUP(K61,'8. Uncertainty Results'!$A$115:$CM$126,48,FALSE)*((cubicm/gal)*(day/yr))</f>
        <v>100.13771294523859</v>
      </c>
      <c r="M69">
        <f>VLOOKUP(K61,'8. Uncertainty Results'!$A$115:$CM$126,49,FALSE)*((cubicm/gal)*(day/yr))</f>
        <v>142.83361471566917</v>
      </c>
      <c r="N69">
        <f>VLOOKUP(N61,'8. Uncertainty Results'!$A$115:$CM$126,47,FALSE)*((cubicm/gal)*(day/yr))</f>
        <v>47.019009187873458</v>
      </c>
      <c r="O69">
        <f>VLOOKUP(N61,'8. Uncertainty Results'!$A$115:$CM$126,48,FALSE)*((cubicm/gal)*(day/yr))</f>
        <v>71.159372557978799</v>
      </c>
      <c r="P69">
        <f>VLOOKUP(N61,'8. Uncertainty Results'!$A$115:$CM$126,49,FALSE)*((cubicm/gal)*(day/yr))</f>
        <v>101.40614486219252</v>
      </c>
      <c r="Q69">
        <f>VLOOKUP(Q61,'8. Uncertainty Results'!$A$115:$CM$126,47,FALSE)*((cubicm/gal)*(day/yr))</f>
        <v>66.430390997778389</v>
      </c>
      <c r="R69">
        <f>VLOOKUP(Q61,'8. Uncertainty Results'!$A$115:$CM$126,48,FALSE)*((cubicm/gal)*(day/yr))</f>
        <v>100.12692161162329</v>
      </c>
      <c r="S69">
        <f>VLOOKUP(Q61,'8. Uncertainty Results'!$A$115:$CM$126,49,FALSE)*((cubicm/gal)*(day/yr))</f>
        <v>142.57493118613343</v>
      </c>
      <c r="T69">
        <f>VLOOKUP(T61,'8. Uncertainty Results'!$A$115:$CM$126,47,FALSE)*((cubicm/gal)*(day/yr))</f>
        <v>39.995674622743174</v>
      </c>
      <c r="U69">
        <f>VLOOKUP(T61,'8. Uncertainty Results'!$A$115:$CM$126,48,FALSE)*((cubicm/gal)*(day/yr))</f>
        <v>58.159876329234642</v>
      </c>
      <c r="V69">
        <f>VLOOKUP(T61,'8. Uncertainty Results'!$A$115:$CM$126,49,FALSE)*((cubicm/gal)*(day/yr))</f>
        <v>79.425348115892945</v>
      </c>
      <c r="W69">
        <f>VLOOKUP(W61,'8. Uncertainty Results'!$A$115:$CM$126,47,FALSE)*((cubicm/gal)*(day/yr))</f>
        <v>63.645404713149411</v>
      </c>
      <c r="X69">
        <f>VLOOKUP(W61,'8. Uncertainty Results'!$A$115:$CM$126,48,FALSE)*((cubicm/gal)*(day/yr))</f>
        <v>108.42847543440574</v>
      </c>
      <c r="Y69">
        <f>VLOOKUP(W61,'8. Uncertainty Results'!$A$115:$CM$126,49,FALSE)*((cubicm/gal)*(day/yr))</f>
        <v>165.77310305342243</v>
      </c>
    </row>
    <row r="70" spans="1:25" x14ac:dyDescent="0.2">
      <c r="A70" s="36" t="s">
        <v>403</v>
      </c>
      <c r="B70">
        <f>VLOOKUP(B61,'8. Uncertainty Results'!$A$115:$CM$126,62,FALSE)*((cubicm/gal)*(day/yr))/B44</f>
        <v>3.4526583037478136</v>
      </c>
      <c r="C70">
        <f>VLOOKUP(B61,'8. Uncertainty Results'!$A$115:$CM$126,63,FALSE)*((cubicm/gal)*(day/yr))/C44</f>
        <v>2.1470613962244256</v>
      </c>
      <c r="D70">
        <f>VLOOKUP(B61,'8. Uncertainty Results'!$A$115:$CM$126,64,FALSE)*((cubicm/gal)*(day/yr))/D44</f>
        <v>1.5395528656217898</v>
      </c>
      <c r="E70">
        <f>VLOOKUP(E61,'8. Uncertainty Results'!$A$115:$CM$126,62,FALSE)*((cubicm/gal)*(day/yr))</f>
        <v>1.2210645470223846</v>
      </c>
      <c r="F70">
        <f>VLOOKUP(E61,'8. Uncertainty Results'!$A$115:$CM$126,63,FALSE)*((cubicm/gal)*(day/yr))</f>
        <v>1.2725643790995183</v>
      </c>
      <c r="G70">
        <f>VLOOKUP(E61,'8. Uncertainty Results'!$A$115:$CM$126,64,FALSE)*((cubicm/gal)*(day/yr))</f>
        <v>1.3271790426816656</v>
      </c>
      <c r="H70">
        <f>VLOOKUP(H61,'8. Uncertainty Results'!$A$115:$CM$126,62,FALSE)*((cubicm/gal)*(day/yr))</f>
        <v>0.57320280606937746</v>
      </c>
      <c r="I70">
        <f>VLOOKUP(H61,'8. Uncertainty Results'!$A$115:$CM$126,63,FALSE)*((cubicm/gal)*(day/yr))</f>
        <v>0.60374813360779023</v>
      </c>
      <c r="J70">
        <f>VLOOKUP(H61,'8. Uncertainty Results'!$A$115:$CM$126,64,FALSE)*((cubicm/gal)*(day/yr))</f>
        <v>0.63590447412857642</v>
      </c>
      <c r="K70">
        <f>VLOOKUP(K61,'8. Uncertainty Results'!$A$115:$CM$126,62,FALSE)*((cubicm/gal)*(day/yr))</f>
        <v>0.31861620046874356</v>
      </c>
      <c r="L70">
        <f>VLOOKUP(K61,'8. Uncertainty Results'!$A$115:$CM$126,63,FALSE)*((cubicm/gal)*(day/yr))</f>
        <v>0.33547747880233653</v>
      </c>
      <c r="M70">
        <f>VLOOKUP(K61,'8. Uncertainty Results'!$A$115:$CM$126,64,FALSE)*((cubicm/gal)*(day/yr))</f>
        <v>0.35333634390012725</v>
      </c>
      <c r="N70">
        <f>VLOOKUP(N61,'8. Uncertainty Results'!$A$115:$CM$126,62,FALSE)*((cubicm/gal)*(day/yr))</f>
        <v>0.22465069365538848</v>
      </c>
      <c r="O70">
        <f>VLOOKUP(N61,'8. Uncertainty Results'!$A$115:$CM$126,63,FALSE)*((cubicm/gal)*(day/yr))</f>
        <v>0.23635636394979664</v>
      </c>
      <c r="P70">
        <f>VLOOKUP(N61,'8. Uncertainty Results'!$A$115:$CM$126,64,FALSE)*((cubicm/gal)*(day/yr))</f>
        <v>0.24911067534892972</v>
      </c>
      <c r="Q70">
        <f>VLOOKUP(Q61,'8. Uncertainty Results'!$A$115:$CM$126,62,FALSE)*((cubicm/gal)*(day/yr))</f>
        <v>0.31867550132197564</v>
      </c>
      <c r="R70">
        <f>VLOOKUP(Q61,'8. Uncertainty Results'!$A$115:$CM$126,63,FALSE)*((cubicm/gal)*(day/yr))</f>
        <v>0.33542372897747896</v>
      </c>
      <c r="S70">
        <f>VLOOKUP(Q61,'8. Uncertainty Results'!$A$115:$CM$126,64,FALSE)*((cubicm/gal)*(day/yr))</f>
        <v>0.35354539053301964</v>
      </c>
      <c r="T70">
        <f>VLOOKUP(T61,'8. Uncertainty Results'!$A$115:$CM$126,62,FALSE)*((cubicm/gal)*(day/yr))</f>
        <v>0.11514661268633579</v>
      </c>
      <c r="U70">
        <f>VLOOKUP(T61,'8. Uncertainty Results'!$A$115:$CM$126,63,FALSE)*((cubicm/gal)*(day/yr))</f>
        <v>0.11911043272323747</v>
      </c>
      <c r="V70">
        <f>VLOOKUP(T61,'8. Uncertainty Results'!$A$115:$CM$126,64,FALSE)*((cubicm/gal)*(day/yr))</f>
        <v>0.12348480254105987</v>
      </c>
      <c r="W70">
        <f>VLOOKUP(W61,'8. Uncertainty Results'!$A$115:$CM$126,62,FALSE)*((cubicm/gal)*(day/yr))</f>
        <v>0.57316123060748103</v>
      </c>
      <c r="X70">
        <f>VLOOKUP(W61,'8. Uncertainty Results'!$A$115:$CM$126,63,FALSE)*((cubicm/gal)*(day/yr))</f>
        <v>0.60349799513467983</v>
      </c>
      <c r="Y70">
        <f>VLOOKUP(W61,'8. Uncertainty Results'!$A$115:$CM$126,64,FALSE)*((cubicm/gal)*(day/yr))</f>
        <v>0.6357503644387672</v>
      </c>
    </row>
    <row r="71" spans="1:25" x14ac:dyDescent="0.2">
      <c r="A71" s="36" t="s">
        <v>439</v>
      </c>
      <c r="B71">
        <f>VLOOKUP(B61,'8. Uncertainty Results'!$A$115:$CM$126,77,FALSE)*((cubicm/gal)*(day/yr))/B44</f>
        <v>0</v>
      </c>
      <c r="C71">
        <f>VLOOKUP(B61,'8. Uncertainty Results'!$A$115:$CM$126,78,FALSE)*((cubicm/gal)*(day/yr))/C44</f>
        <v>0</v>
      </c>
      <c r="D71">
        <f>VLOOKUP(B61,'8. Uncertainty Results'!$A$115:$CM$126,79,FALSE)*((cubicm/gal)*(day/yr))/D44</f>
        <v>0</v>
      </c>
      <c r="E71">
        <f>VLOOKUP(E61,'8. Uncertainty Results'!$A$115:$CM$126,77,FALSE)*((cubicm/gal)*(day/yr))</f>
        <v>1.3719906462380016</v>
      </c>
      <c r="F71">
        <f>VLOOKUP(E61,'8. Uncertainty Results'!$A$115:$CM$126,78,FALSE)*((cubicm/gal)*(day/yr))</f>
        <v>1.6158136337797433</v>
      </c>
      <c r="G71">
        <f>VLOOKUP(E61,'8. Uncertainty Results'!$A$115:$CM$126,79,FALSE)*((cubicm/gal)*(day/yr))</f>
        <v>1.8832673838876244</v>
      </c>
      <c r="H71">
        <f>VLOOKUP(H61,'8. Uncertainty Results'!$A$115:$CM$126,77,FALSE)*((cubicm/gal)*(day/yr))</f>
        <v>2.8021800562774581</v>
      </c>
      <c r="I71">
        <f>VLOOKUP(H61,'8. Uncertainty Results'!$A$115:$CM$126,78,FALSE)*((cubicm/gal)*(day/yr))</f>
        <v>3.3828437893046179</v>
      </c>
      <c r="J71">
        <f>VLOOKUP(H61,'8. Uncertainty Results'!$A$115:$CM$126,79,FALSE)*((cubicm/gal)*(day/yr))</f>
        <v>4.0705575142192121</v>
      </c>
      <c r="K71">
        <f>VLOOKUP(K61,'8. Uncertainty Results'!$A$115:$CM$126,77,FALSE)*((cubicm/gal)*(day/yr))</f>
        <v>0</v>
      </c>
      <c r="L71">
        <f>VLOOKUP(K61,'8. Uncertainty Results'!$A$115:$CM$126,78,FALSE)*((cubicm/gal)*(day/yr))</f>
        <v>0</v>
      </c>
      <c r="M71">
        <f>VLOOKUP(K61,'8. Uncertainty Results'!$A$115:$CM$126,79,FALSE)*((cubicm/gal)*(day/yr))</f>
        <v>0</v>
      </c>
      <c r="N71">
        <f>VLOOKUP(N61,'8. Uncertainty Results'!$A$115:$CM$126,77,FALSE)*((cubicm/gal)*(day/yr))</f>
        <v>0</v>
      </c>
      <c r="O71">
        <f>VLOOKUP(N61,'8. Uncertainty Results'!$A$115:$CM$126,78,FALSE)*((cubicm/gal)*(day/yr))</f>
        <v>0</v>
      </c>
      <c r="P71">
        <f>VLOOKUP(N61,'8. Uncertainty Results'!$A$115:$CM$126,79,FALSE)*((cubicm/gal)*(day/yr))</f>
        <v>0</v>
      </c>
      <c r="Q71">
        <f>VLOOKUP(Q61,'8. Uncertainty Results'!$A$115:$CM$126,77,FALSE)*((cubicm/gal)*(day/yr))</f>
        <v>0</v>
      </c>
      <c r="R71">
        <f>VLOOKUP(Q61,'8. Uncertainty Results'!$A$115:$CM$126,78,FALSE)*((cubicm/gal)*(day/yr))</f>
        <v>0</v>
      </c>
      <c r="S71">
        <f>VLOOKUP(Q61,'8. Uncertainty Results'!$A$115:$CM$126,79,FALSE)*((cubicm/gal)*(day/yr))</f>
        <v>0</v>
      </c>
      <c r="T71">
        <f>VLOOKUP(T61,'8. Uncertainty Results'!$A$115:$CM$126,77,FALSE)*((cubicm/gal)*(day/yr))</f>
        <v>0</v>
      </c>
      <c r="U71">
        <f>VLOOKUP(T61,'8. Uncertainty Results'!$A$115:$CM$126,78,FALSE)*((cubicm/gal)*(day/yr))</f>
        <v>0</v>
      </c>
      <c r="V71">
        <f>VLOOKUP(T61,'8. Uncertainty Results'!$A$115:$CM$126,79,FALSE)*((cubicm/gal)*(day/yr))</f>
        <v>0</v>
      </c>
      <c r="W71">
        <f>VLOOKUP(W61,'8. Uncertainty Results'!$A$115:$CM$126,77,FALSE)*((cubicm/gal)*(day/yr))</f>
        <v>2.7982023751116398</v>
      </c>
      <c r="X71">
        <f>VLOOKUP(W61,'8. Uncertainty Results'!$A$115:$CM$126,78,FALSE)*((cubicm/gal)*(day/yr))</f>
        <v>3.3825726134964507</v>
      </c>
      <c r="Y71">
        <f>VLOOKUP(W61,'8. Uncertainty Results'!$A$115:$CM$126,79,FALSE)*((cubicm/gal)*(day/yr))</f>
        <v>4.0476793363393266</v>
      </c>
    </row>
    <row r="72" spans="1:25" x14ac:dyDescent="0.2">
      <c r="A72" s="36" t="s">
        <v>492</v>
      </c>
      <c r="B72">
        <f>VLOOKUP(B61,'8. Uncertainty Results'!$A$203:$D$215,2,FALSE)/1000000/B44</f>
        <v>13.452135509348876</v>
      </c>
      <c r="C72">
        <f>VLOOKUP(B61,'8. Uncertainty Results'!$A$203:$D$215,3,FALSE)/1000000/C44</f>
        <v>8.8728926295481099</v>
      </c>
      <c r="D72">
        <f>VLOOKUP(B61,'8. Uncertainty Results'!$A$203:$D$215,4,FALSE)/1000000/D44</f>
        <v>6.671958101750425</v>
      </c>
      <c r="E72">
        <f>VLOOKUP(E61,'8. Uncertainty Results'!$A$203:$D$215,2,FALSE)/1000000</f>
        <v>30.329777237026992</v>
      </c>
      <c r="F72">
        <f>VLOOKUP(E61,'8. Uncertainty Results'!$A$203:$D$215,3,FALSE)/1000000</f>
        <v>34.810209497471384</v>
      </c>
      <c r="G72">
        <f>VLOOKUP(E61,'8. Uncertainty Results'!$A$203:$D$215,4,FALSE)/1000000</f>
        <v>39.804593895523155</v>
      </c>
      <c r="H72">
        <f>VLOOKUP(H61,'8. Uncertainty Results'!$A$203:$D$215,2,FALSE)/1000000</f>
        <v>0.36684257135850085</v>
      </c>
      <c r="I72">
        <f>VLOOKUP(H61,'8. Uncertainty Results'!$A$203:$D$215,3,FALSE)/1000000</f>
        <v>1.9272387365708405</v>
      </c>
      <c r="J72">
        <f>VLOOKUP(H61,'8. Uncertainty Results'!$A$203:$D$215,4,FALSE)/1000000</f>
        <v>9.7366119085476832</v>
      </c>
      <c r="K72">
        <f>VLOOKUP(K61,'8. Uncertainty Results'!$A$203:$D$215,2,FALSE)/1000000</f>
        <v>28.572915147869598</v>
      </c>
      <c r="L72">
        <f>VLOOKUP(K61,'8. Uncertainty Results'!$A$203:$D$215,3,FALSE)/1000000</f>
        <v>36.784589510791825</v>
      </c>
      <c r="M72">
        <f>VLOOKUP(K61,'8. Uncertainty Results'!$A$203:$D$215,4,FALSE)/1000000</f>
        <v>63.986855731934547</v>
      </c>
      <c r="N72">
        <f>VLOOKUP(N61,'8. Uncertainty Results'!$A$203:$D$215,2,FALSE)/1000000</f>
        <v>12.60217290105447</v>
      </c>
      <c r="O72">
        <f>VLOOKUP(N61,'8. Uncertainty Results'!$A$203:$D$215,3,FALSE)/1000000</f>
        <v>19.226978004610444</v>
      </c>
      <c r="P72">
        <f>VLOOKUP(N61,'8. Uncertainty Results'!$A$203:$D$215,4,FALSE)/1000000</f>
        <v>49.036167912910365</v>
      </c>
      <c r="Q72">
        <f>VLOOKUP(Q61,'8. Uncertainty Results'!$A$203:$D$215,2,FALSE)/1000000</f>
        <v>4.9234855062215894</v>
      </c>
      <c r="R72">
        <f>VLOOKUP(Q61,'8. Uncertainty Results'!$A$203:$D$215,3,FALSE)/1000000</f>
        <v>5.37106142092306</v>
      </c>
      <c r="S72">
        <f>VLOOKUP(Q61,'8. Uncertainty Results'!$A$203:$D$215,4,FALSE)/1000000</f>
        <v>5.8389653933930203</v>
      </c>
      <c r="T72">
        <f>VLOOKUP(T61,'8. Uncertainty Results'!$A$203:$D$215,2,FALSE)/1000000</f>
        <v>3.9079818470785299</v>
      </c>
      <c r="U72">
        <f>VLOOKUP(T61,'8. Uncertainty Results'!$A$203:$D$215,3,FALSE)/1000000</f>
        <v>4.2843021047777894</v>
      </c>
      <c r="V72">
        <f>VLOOKUP(T61,'8. Uncertainty Results'!$A$203:$D$215,4,FALSE)/1000000</f>
        <v>4.6474321803099699</v>
      </c>
      <c r="W72">
        <f>VLOOKUP(W61,'8. Uncertainty Results'!$A$203:$D$215,2,FALSE)/1000000</f>
        <v>0.23425673678805656</v>
      </c>
      <c r="X72">
        <f>VLOOKUP(W61,'8. Uncertainty Results'!$A$203:$D$215,3,FALSE)/1000000</f>
        <v>1.1548930353673985</v>
      </c>
      <c r="Y72">
        <f>VLOOKUP(W61,'8. Uncertainty Results'!$A$203:$D$215,4,FALSE)/1000000</f>
        <v>5.5129749020288967</v>
      </c>
    </row>
    <row r="76" spans="1:25" x14ac:dyDescent="0.2">
      <c r="A76" s="32" t="s">
        <v>568</v>
      </c>
    </row>
    <row r="77" spans="1:25" x14ac:dyDescent="0.2">
      <c r="A77">
        <v>3</v>
      </c>
    </row>
    <row r="78" spans="1:25" x14ac:dyDescent="0.2">
      <c r="A78" t="s">
        <v>490</v>
      </c>
    </row>
    <row r="79" spans="1:25" x14ac:dyDescent="0.2">
      <c r="B79" s="474">
        <f>VLOOKUP(B80,'1. Introduction &amp; Notes'!$C$17:$D$28,2,FALSE)</f>
        <v>18100204</v>
      </c>
      <c r="C79" s="474"/>
      <c r="D79" s="474"/>
      <c r="E79" s="474">
        <f>VLOOKUP(E80,'1. Introduction &amp; Notes'!$C$17:$D$28,2,FALSE)</f>
        <v>16040201</v>
      </c>
      <c r="F79" s="474"/>
      <c r="G79" s="474"/>
      <c r="H79" s="474">
        <f>VLOOKUP(H80,'1. Introduction &amp; Notes'!$C$17:$D$28,2,FALSE)</f>
        <v>15030202</v>
      </c>
      <c r="I79" s="474"/>
      <c r="J79" s="474"/>
      <c r="K79" s="474">
        <f>VLOOKUP(K80,'1. Introduction &amp; Notes'!$C$17:$D$28,2,FALSE)</f>
        <v>16060011</v>
      </c>
      <c r="L79" s="474"/>
      <c r="M79" s="474"/>
      <c r="N79" s="474">
        <f>VLOOKUP(N80,'1. Introduction &amp; Notes'!$C$17:$D$28,2,FALSE)</f>
        <v>16060003</v>
      </c>
      <c r="O79" s="474"/>
      <c r="P79" s="474"/>
      <c r="Q79" s="474">
        <f>VLOOKUP(Q80,'1. Introduction &amp; Notes'!$C$17:$D$28,2,FALSE)</f>
        <v>16060013</v>
      </c>
      <c r="R79" s="474"/>
      <c r="S79" s="474"/>
      <c r="T79" s="474">
        <f>VLOOKUP(T80,'1. Introduction &amp; Notes'!$C$17:$D$28,2,FALSE)</f>
        <v>16060010</v>
      </c>
      <c r="U79" s="474"/>
      <c r="V79" s="474"/>
      <c r="W79" s="474">
        <f>VLOOKUP(W80,'1. Introduction &amp; Notes'!$C$17:$D$28,2,FALSE)</f>
        <v>15030201</v>
      </c>
      <c r="X79" s="474"/>
      <c r="Y79" s="474"/>
    </row>
    <row r="80" spans="1:25" x14ac:dyDescent="0.2">
      <c r="B80" s="474" t="s">
        <v>539</v>
      </c>
      <c r="C80" s="474"/>
      <c r="D80" s="474"/>
      <c r="E80" s="474" t="s">
        <v>417</v>
      </c>
      <c r="F80" s="474"/>
      <c r="G80" s="474"/>
      <c r="H80" s="481" t="s">
        <v>418</v>
      </c>
      <c r="I80" s="481"/>
      <c r="J80" s="481"/>
      <c r="K80" s="481" t="s">
        <v>419</v>
      </c>
      <c r="L80" s="481"/>
      <c r="M80" s="481"/>
      <c r="N80" s="481" t="s">
        <v>420</v>
      </c>
      <c r="O80" s="481"/>
      <c r="P80" s="481"/>
      <c r="Q80" s="481" t="s">
        <v>421</v>
      </c>
      <c r="R80" s="481"/>
      <c r="S80" s="481"/>
      <c r="T80" s="481" t="s">
        <v>422</v>
      </c>
      <c r="U80" s="481"/>
      <c r="V80" s="481"/>
      <c r="W80" s="481" t="s">
        <v>423</v>
      </c>
      <c r="X80" s="481"/>
      <c r="Y80" s="481"/>
    </row>
    <row r="81" spans="1:25" x14ac:dyDescent="0.2">
      <c r="B81" t="s">
        <v>440</v>
      </c>
      <c r="C81" t="s">
        <v>441</v>
      </c>
      <c r="D81" t="s">
        <v>442</v>
      </c>
      <c r="E81" t="s">
        <v>440</v>
      </c>
      <c r="F81" t="s">
        <v>441</v>
      </c>
      <c r="G81" t="s">
        <v>442</v>
      </c>
      <c r="H81" t="s">
        <v>440</v>
      </c>
      <c r="I81" t="s">
        <v>441</v>
      </c>
      <c r="J81" t="s">
        <v>442</v>
      </c>
      <c r="K81" t="s">
        <v>440</v>
      </c>
      <c r="L81" t="s">
        <v>441</v>
      </c>
      <c r="M81" t="s">
        <v>442</v>
      </c>
      <c r="N81" t="s">
        <v>440</v>
      </c>
      <c r="O81" t="s">
        <v>441</v>
      </c>
      <c r="P81" t="s">
        <v>442</v>
      </c>
      <c r="Q81" t="s">
        <v>440</v>
      </c>
      <c r="R81" t="s">
        <v>441</v>
      </c>
      <c r="S81" t="s">
        <v>442</v>
      </c>
      <c r="T81" t="s">
        <v>440</v>
      </c>
      <c r="U81" t="s">
        <v>441</v>
      </c>
      <c r="V81" t="s">
        <v>442</v>
      </c>
      <c r="W81" t="s">
        <v>440</v>
      </c>
      <c r="X81" t="s">
        <v>441</v>
      </c>
      <c r="Y81" t="s">
        <v>442</v>
      </c>
    </row>
    <row r="82" spans="1:25" x14ac:dyDescent="0.2">
      <c r="A82" t="s">
        <v>436</v>
      </c>
      <c r="B82">
        <f>VLOOKUP(B79,'8. Uncertainty Results'!$B$236:$E$248,2,FALSE)*(cubicm/gal)*(day/yr)</f>
        <v>636.28554103131285</v>
      </c>
      <c r="C82">
        <f>B82</f>
        <v>636.28554103131285</v>
      </c>
      <c r="D82">
        <f>B82</f>
        <v>636.28554103131285</v>
      </c>
      <c r="E82">
        <f>VLOOKUP(E79,'8. Uncertainty Results'!$B$236:$E$248,2,FALSE)*(cubicm/gal)*(day/yr)</f>
        <v>108.73265919201719</v>
      </c>
      <c r="F82">
        <f>E82</f>
        <v>108.73265919201719</v>
      </c>
      <c r="G82">
        <f>E82</f>
        <v>108.73265919201719</v>
      </c>
      <c r="H82">
        <f>VLOOKUP(H79,'8. Uncertainty Results'!$B$236:$E$248,2,FALSE)*(cubicm/gal)*(day/yr)</f>
        <v>64.502806411152889</v>
      </c>
      <c r="I82">
        <f>H82</f>
        <v>64.502806411152889</v>
      </c>
      <c r="J82">
        <f>H82</f>
        <v>64.502806411152889</v>
      </c>
      <c r="K82">
        <f>VLOOKUP(K79,'8. Uncertainty Results'!$B$236:$E$248,2,FALSE)*(cubicm/gal)*(day/yr)</f>
        <v>45.593513477180032</v>
      </c>
      <c r="L82">
        <f>K82</f>
        <v>45.593513477180032</v>
      </c>
      <c r="M82">
        <f>K82</f>
        <v>45.593513477180032</v>
      </c>
      <c r="N82">
        <f>VLOOKUP(N79,'8. Uncertainty Results'!$B$236:$E$248,2,FALSE)*(cubicm/gal)*(day/yr)</f>
        <v>28.03619919681076</v>
      </c>
      <c r="O82">
        <f>N82</f>
        <v>28.03619919681076</v>
      </c>
      <c r="P82">
        <f>N82</f>
        <v>28.03619919681076</v>
      </c>
      <c r="Q82">
        <f>VLOOKUP(Q79,'8. Uncertainty Results'!$B$236:$E$248,2,FALSE)*(cubicm/gal)*(day/yr)</f>
        <v>36.417711026049794</v>
      </c>
      <c r="R82">
        <f>Q82</f>
        <v>36.417711026049794</v>
      </c>
      <c r="S82">
        <f>Q82</f>
        <v>36.417711026049794</v>
      </c>
      <c r="T82">
        <f>VLOOKUP(T79,'8. Uncertainty Results'!$B$236:$E$248,2,FALSE)*(cubicm/gal)*(day/yr)</f>
        <v>53.402501014906989</v>
      </c>
      <c r="U82">
        <f>T82</f>
        <v>53.402501014906989</v>
      </c>
      <c r="V82">
        <f>T82</f>
        <v>53.402501014906989</v>
      </c>
      <c r="W82">
        <f>VLOOKUP(W79,'8. Uncertainty Results'!$B$236:$E$248,2,FALSE)*(cubicm/gal)*(day/yr)</f>
        <v>123.40715740069446</v>
      </c>
      <c r="X82">
        <f>W82</f>
        <v>123.40715740069446</v>
      </c>
      <c r="Y82">
        <f>W82</f>
        <v>123.40715740069446</v>
      </c>
    </row>
    <row r="83" spans="1:25" x14ac:dyDescent="0.2">
      <c r="A83" t="s">
        <v>437</v>
      </c>
      <c r="B83">
        <f>VLOOKUP(B79,'8. Uncertainty Results'!$B$236:$E$248,4,FALSE)*(cubicm/gal)*(day/yr)</f>
        <v>707.77568623424565</v>
      </c>
      <c r="C83">
        <f>B83</f>
        <v>707.77568623424565</v>
      </c>
      <c r="D83">
        <f>B83</f>
        <v>707.77568623424565</v>
      </c>
      <c r="E83">
        <f>VLOOKUP(E79,'8. Uncertainty Results'!$B$236:$E$248,4,FALSE)*(cubicm/gal)*(day/yr)</f>
        <v>365.34336197100288</v>
      </c>
      <c r="F83">
        <f>E83</f>
        <v>365.34336197100288</v>
      </c>
      <c r="G83">
        <f>E83</f>
        <v>365.34336197100288</v>
      </c>
      <c r="H83">
        <f>VLOOKUP(H79,'8. Uncertainty Results'!$B$236:$E$248,4,FALSE)*(cubicm/gal)*(day/yr)</f>
        <v>236.66672357235126</v>
      </c>
      <c r="I83">
        <f>H83</f>
        <v>236.66672357235126</v>
      </c>
      <c r="J83">
        <f>H83</f>
        <v>236.66672357235126</v>
      </c>
      <c r="K83">
        <f>VLOOKUP(K79,'8. Uncertainty Results'!$B$236:$E$248,4,FALSE)*(cubicm/gal)*(day/yr)</f>
        <v>75.442539180470263</v>
      </c>
      <c r="L83">
        <f>K83</f>
        <v>75.442539180470263</v>
      </c>
      <c r="M83">
        <f>K83</f>
        <v>75.442539180470263</v>
      </c>
      <c r="N83">
        <f>VLOOKUP(N79,'8. Uncertainty Results'!$B$236:$E$248,4,FALSE)*(cubicm/gal)*(day/yr)</f>
        <v>80.666165590651815</v>
      </c>
      <c r="O83">
        <f>N83</f>
        <v>80.666165590651815</v>
      </c>
      <c r="P83">
        <f>N83</f>
        <v>80.666165590651815</v>
      </c>
      <c r="Q83">
        <f>VLOOKUP(Q79,'8. Uncertainty Results'!$B$236:$E$248,4,FALSE)*(cubicm/gal)*(day/yr)</f>
        <v>103.66115328621169</v>
      </c>
      <c r="R83">
        <f>Q83</f>
        <v>103.66115328621169</v>
      </c>
      <c r="S83">
        <f>Q83</f>
        <v>103.66115328621169</v>
      </c>
      <c r="T83">
        <f>VLOOKUP(T79,'8. Uncertainty Results'!$B$236:$E$248,4,FALSE)*(cubicm/gal)*(day/yr)</f>
        <v>125.09826100470868</v>
      </c>
      <c r="U83">
        <f>T83</f>
        <v>125.09826100470868</v>
      </c>
      <c r="V83">
        <f>T83</f>
        <v>125.09826100470868</v>
      </c>
      <c r="W83">
        <f>VLOOKUP(W79,'8. Uncertainty Results'!$B$236:$E$248,4,FALSE)*(cubicm/gal)*(day/yr)</f>
        <v>440.00777829061144</v>
      </c>
      <c r="X83">
        <f>W83</f>
        <v>440.00777829061144</v>
      </c>
      <c r="Y83">
        <f>W83</f>
        <v>440.00777829061144</v>
      </c>
    </row>
    <row r="84" spans="1:25" x14ac:dyDescent="0.2">
      <c r="A84" t="s">
        <v>438</v>
      </c>
      <c r="B84">
        <f>VLOOKUP(B79,'8. Uncertainty Results'!$A$61:$CM$73,2+$A$77,FALSE)*((cubicm/gal)*(day/yr))</f>
        <v>29.551744648332853</v>
      </c>
      <c r="C84">
        <f>VLOOKUP(B79,'8. Uncertainty Results'!$A$61:$CM$73,3+$A$77,FALSE)*((cubicm/gal)*(day/yr))/C92</f>
        <v>25.161489106071965</v>
      </c>
      <c r="D84">
        <f>VLOOKUP(B79,'8. Uncertainty Results'!$A$61:$CM$73,4+$A$77,FALSE)*((cubicm/gal)*(day/yr))/D92</f>
        <v>20.540792160142448</v>
      </c>
      <c r="E84">
        <f>VLOOKUP(E79,'8. Uncertainty Results'!$A$61:$CM$73,2+$A$77,FALSE)*((cubicm/gal)*(day/yr))</f>
        <v>0</v>
      </c>
      <c r="F84">
        <f>VLOOKUP(E79,'8. Uncertainty Results'!$A$61:$CM$73,3+$A$77,FALSE)*((cubicm/gal)*(day/yr))</f>
        <v>0</v>
      </c>
      <c r="G84">
        <f>VLOOKUP(E79,'8. Uncertainty Results'!$A$61:$CM$73,4+$A$77,FALSE)*((cubicm/gal)*(day/yr))</f>
        <v>0</v>
      </c>
      <c r="H84">
        <f>VLOOKUP(H79,'8. Uncertainty Results'!$A$61:$CM$73,2+$A$77,FALSE)*((cubicm/gal)*(day/yr))</f>
        <v>28.819378352690372</v>
      </c>
      <c r="I84">
        <f>VLOOKUP(H79,'8. Uncertainty Results'!$A$61:$CM$73,3+$A$77,FALSE)*((cubicm/gal)*(day/yr))</f>
        <v>30.745921836235649</v>
      </c>
      <c r="J84">
        <f>VLOOKUP(H79,'8. Uncertainty Results'!$A$61:$CM$73,4+$A$77,FALSE)*((cubicm/gal)*(day/yr))</f>
        <v>32.483823354333929</v>
      </c>
      <c r="K84">
        <f>VLOOKUP(K79,'8. Uncertainty Results'!$A$61:$CM$73,2+$A$77,FALSE)*((cubicm/gal)*(day/yr))</f>
        <v>0.16226006822435868</v>
      </c>
      <c r="L84">
        <f>VLOOKUP(K79,'8. Uncertainty Results'!$A$61:$CM$73,3+$A$77,FALSE)*((cubicm/gal)*(day/yr))</f>
        <v>0.1723025493384224</v>
      </c>
      <c r="M84">
        <f>VLOOKUP(K79,'8. Uncertainty Results'!$A$61:$CM$73,4+$A$77,FALSE)*((cubicm/gal)*(day/yr))</f>
        <v>0.18210075556276092</v>
      </c>
      <c r="N84">
        <f>VLOOKUP(N79,'8. Uncertainty Results'!$A$61:$CM$73,2+$A$77,FALSE)*((cubicm/gal)*(day/yr))</f>
        <v>0.1080340377127777</v>
      </c>
      <c r="O84">
        <f>VLOOKUP(N79,'8. Uncertainty Results'!$A$61:$CM$73,3+$A$77,FALSE)*((cubicm/gal)*(day/yr))</f>
        <v>0.11479345901656789</v>
      </c>
      <c r="P84">
        <f>VLOOKUP(N79,'8. Uncertainty Results'!$A$61:$CM$73,4+$A$77,FALSE)*((cubicm/gal)*(day/yr))</f>
        <v>0.12137724114607297</v>
      </c>
      <c r="Q84">
        <f>VLOOKUP(Q79,'8. Uncertainty Results'!$A$61:$CM$73,2+$A$77,FALSE)*((cubicm/gal)*(day/yr))</f>
        <v>0.16215245880920154</v>
      </c>
      <c r="R84">
        <f>VLOOKUP(Q79,'8. Uncertainty Results'!$A$61:$CM$73,3+$A$77,FALSE)*((cubicm/gal)*(day/yr))</f>
        <v>0.17225120015377821</v>
      </c>
      <c r="S84">
        <f>VLOOKUP(Q79,'8. Uncertainty Results'!$A$61:$CM$73,4+$A$77,FALSE)*((cubicm/gal)*(day/yr))</f>
        <v>0.18192837182367794</v>
      </c>
      <c r="T84">
        <f>VLOOKUP(T79,'8. Uncertainty Results'!$A$61:$CM$73,2+$A$77,FALSE)*((cubicm/gal)*(day/yr))</f>
        <v>23.761724529411765</v>
      </c>
      <c r="U84">
        <f>VLOOKUP(T79,'8. Uncertainty Results'!$A$61:$CM$73,3+$A$77,FALSE)*((cubicm/gal)*(day/yr))</f>
        <v>24.866324648079662</v>
      </c>
      <c r="V84">
        <f>VLOOKUP(T79,'8. Uncertainty Results'!$A$61:$CM$73,4+$A$77,FALSE)*((cubicm/gal)*(day/yr))</f>
        <v>25.893410376469184</v>
      </c>
      <c r="W84">
        <f>VLOOKUP(W79,'8. Uncertainty Results'!$A$61:$CM$73,2+$A$77,FALSE)*((cubicm/gal)*(day/yr))</f>
        <v>28.783004210554758</v>
      </c>
      <c r="X84">
        <f>VLOOKUP(W79,'8. Uncertainty Results'!$A$61:$CM$73,3+$A$77,FALSE)*((cubicm/gal)*(day/yr))</f>
        <v>30.700819861476312</v>
      </c>
      <c r="Y84">
        <f>VLOOKUP(W79,'8. Uncertainty Results'!$A$61:$CM$73,4+$A$77,FALSE)*((cubicm/gal)*(day/yr))</f>
        <v>32.490107108908099</v>
      </c>
    </row>
    <row r="85" spans="1:25" x14ac:dyDescent="0.2">
      <c r="A85" t="s">
        <v>400</v>
      </c>
      <c r="B85">
        <f>VLOOKUP(B79,'8. Uncertainty Results'!$A$61:$CM$73,17+$A$77,FALSE)*((cubicm/gal)*(day/yr))</f>
        <v>32.601348348681249</v>
      </c>
      <c r="C85">
        <f>VLOOKUP(B79,'8. Uncertainty Results'!$A$61:$CM$73,18+$A$77,FALSE)*((cubicm/gal)*(day/yr))/C92</f>
        <v>27.972656809284011</v>
      </c>
      <c r="D85">
        <f>VLOOKUP(B79,'8. Uncertainty Results'!$A$61:$CM$73,19+$A$77,FALSE)*((cubicm/gal)*(day/yr))/D92</f>
        <v>23.056680494223613</v>
      </c>
      <c r="E85">
        <f>VLOOKUP(E79,'8. Uncertainty Results'!$A$61:$CM$73,17+$A$77,FALSE)*((cubicm/gal)*(day/yr))</f>
        <v>4.3806020197942237</v>
      </c>
      <c r="F85">
        <f>VLOOKUP(E79,'8. Uncertainty Results'!$A$61:$CM$73,18+$A$77,FALSE)*((cubicm/gal)*(day/yr))</f>
        <v>4.5429587211748501</v>
      </c>
      <c r="G85">
        <f>VLOOKUP(E79,'8. Uncertainty Results'!$A$61:$CM$73,19+$A$77,FALSE)*((cubicm/gal)*(day/yr))</f>
        <v>4.7115828352288869</v>
      </c>
      <c r="H85">
        <f>VLOOKUP(H79,'8. Uncertainty Results'!$A$61:$CM$73,17+$A$77,FALSE)*((cubicm/gal)*(day/yr))</f>
        <v>56.074349926643755</v>
      </c>
      <c r="I85">
        <f>VLOOKUP(H79,'8. Uncertainty Results'!$A$61:$CM$73,18+$A$77,FALSE)*((cubicm/gal)*(day/yr))</f>
        <v>60.599758582457902</v>
      </c>
      <c r="J85">
        <f>VLOOKUP(H79,'8. Uncertainty Results'!$A$61:$CM$73,19+$A$77,FALSE)*((cubicm/gal)*(day/yr))</f>
        <v>65.075833552083381</v>
      </c>
      <c r="K85">
        <f>VLOOKUP(K79,'8. Uncertainty Results'!$A$61:$CM$73,17+$A$77,FALSE)*((cubicm/gal)*(day/yr))</f>
        <v>8.2117299207397583</v>
      </c>
      <c r="L85">
        <f>VLOOKUP(K79,'8. Uncertainty Results'!$A$61:$CM$73,18+$A$77,FALSE)*((cubicm/gal)*(day/yr))</f>
        <v>9.059111519232447</v>
      </c>
      <c r="M85">
        <f>VLOOKUP(K79,'8. Uncertainty Results'!$A$61:$CM$73,19+$A$77,FALSE)*((cubicm/gal)*(day/yr))</f>
        <v>9.9221943615140038</v>
      </c>
      <c r="N85">
        <f>VLOOKUP(N79,'8. Uncertainty Results'!$A$61:$CM$73,17+$A$77,FALSE)*((cubicm/gal)*(day/yr))</f>
        <v>5.7015145312173541</v>
      </c>
      <c r="O85">
        <f>VLOOKUP(N79,'8. Uncertainty Results'!$A$61:$CM$73,18+$A$77,FALSE)*((cubicm/gal)*(day/yr))</f>
        <v>6.2840923847422978</v>
      </c>
      <c r="P85">
        <f>VLOOKUP(N79,'8. Uncertainty Results'!$A$61:$CM$73,19+$A$77,FALSE)*((cubicm/gal)*(day/yr))</f>
        <v>6.864636548105044</v>
      </c>
      <c r="Q85">
        <f>VLOOKUP(Q79,'8. Uncertainty Results'!$A$61:$CM$73,17+$A$77,FALSE)*((cubicm/gal)*(day/yr))</f>
        <v>8.1754644451307072</v>
      </c>
      <c r="R85">
        <f>VLOOKUP(Q79,'8. Uncertainty Results'!$A$61:$CM$73,18+$A$77,FALSE)*((cubicm/gal)*(day/yr))</f>
        <v>9.0543390681584253</v>
      </c>
      <c r="S85">
        <f>VLOOKUP(Q79,'8. Uncertainty Results'!$A$61:$CM$73,19+$A$77,FALSE)*((cubicm/gal)*(day/yr))</f>
        <v>9.9067743913068824</v>
      </c>
      <c r="T85">
        <f>VLOOKUP(T79,'8. Uncertainty Results'!$A$61:$CM$73,17+$A$77,FALSE)*((cubicm/gal)*(day/yr))</f>
        <v>1.2656433955043767</v>
      </c>
      <c r="U85">
        <f>VLOOKUP(T79,'8. Uncertainty Results'!$A$61:$CM$73,18+$A$77,FALSE)*((cubicm/gal)*(day/yr))</f>
        <v>1.3528356173995821</v>
      </c>
      <c r="V85">
        <f>VLOOKUP(T79,'8. Uncertainty Results'!$A$61:$CM$73,19+$A$77,FALSE)*((cubicm/gal)*(day/yr))</f>
        <v>1.4296806909927735</v>
      </c>
      <c r="W85">
        <f>VLOOKUP(W79,'8. Uncertainty Results'!$A$61:$CM$73,17+$A$77,FALSE)*((cubicm/gal)*(day/yr))</f>
        <v>56.07704297080118</v>
      </c>
      <c r="X85">
        <f>VLOOKUP(W79,'8. Uncertainty Results'!$A$61:$CM$73,18+$A$77,FALSE)*((cubicm/gal)*(day/yr))</f>
        <v>60.584764770532438</v>
      </c>
      <c r="Y85">
        <f>VLOOKUP(W79,'8. Uncertainty Results'!$A$61:$CM$73,19+$A$77,FALSE)*((cubicm/gal)*(day/yr))</f>
        <v>65.276580509796801</v>
      </c>
    </row>
    <row r="86" spans="1:25" x14ac:dyDescent="0.2">
      <c r="A86" t="s">
        <v>401</v>
      </c>
      <c r="B86">
        <f>VLOOKUP(B79,'8. Uncertainty Results'!$A$61:$CM$73,32+$A$77,FALSE)*((cubicm/gal)*(day/yr))</f>
        <v>0</v>
      </c>
      <c r="C86">
        <f>VLOOKUP(B79,'8. Uncertainty Results'!$A$61:$CM$73,33+$A$77,FALSE)*((cubicm/gal)*(day/yr))/C92</f>
        <v>0</v>
      </c>
      <c r="D86">
        <f>VLOOKUP(B79,'8. Uncertainty Results'!$A$61:$CM$73,34+$A$77,FALSE)*((cubicm/gal)*(day/yr))/D92</f>
        <v>0</v>
      </c>
      <c r="E86">
        <f>VLOOKUP(E79,'8. Uncertainty Results'!$A$61:$CM$73,32+$A$77,FALSE)*((cubicm/gal)*(day/yr))</f>
        <v>0</v>
      </c>
      <c r="F86">
        <f>VLOOKUP(E79,'8. Uncertainty Results'!$A$61:$CM$73,33+$A$77,FALSE)*((cubicm/gal)*(day/yr))</f>
        <v>0</v>
      </c>
      <c r="G86">
        <f>VLOOKUP(E79,'8. Uncertainty Results'!$A$61:$CM$73,34+$A$77,FALSE)*((cubicm/gal)*(day/yr))</f>
        <v>0</v>
      </c>
      <c r="H86">
        <f>VLOOKUP(H79,'8. Uncertainty Results'!$A$61:$CM$73,32+$A$77,FALSE)*((cubicm/gal)*(day/yr))</f>
        <v>0</v>
      </c>
      <c r="I86">
        <f>VLOOKUP(H79,'8. Uncertainty Results'!$A$61:$CM$73,33+$A$77,FALSE)*((cubicm/gal)*(day/yr))</f>
        <v>0</v>
      </c>
      <c r="J86">
        <f>VLOOKUP(H79,'8. Uncertainty Results'!$A$61:$CM$73,34+$A$77,FALSE)*((cubicm/gal)*(day/yr))</f>
        <v>0</v>
      </c>
      <c r="K86">
        <f>VLOOKUP(K79,'8. Uncertainty Results'!$A$61:$CM$73,32+$A$77,FALSE)*((cubicm/gal)*(day/yr))</f>
        <v>0</v>
      </c>
      <c r="L86">
        <f>VLOOKUP(K79,'8. Uncertainty Results'!$A$61:$CM$73,33+$A$77,FALSE)*((cubicm/gal)*(day/yr))</f>
        <v>0</v>
      </c>
      <c r="M86">
        <f>VLOOKUP(K79,'8. Uncertainty Results'!$A$61:$CM$73,34+$A$77,FALSE)*((cubicm/gal)*(day/yr))</f>
        <v>0</v>
      </c>
      <c r="N86">
        <f>VLOOKUP(N79,'8. Uncertainty Results'!$A$61:$CM$73,32+$A$77,FALSE)*((cubicm/gal)*(day/yr))</f>
        <v>0</v>
      </c>
      <c r="O86">
        <f>VLOOKUP(N79,'8. Uncertainty Results'!$A$61:$CM$73,33+$A$77,FALSE)*((cubicm/gal)*(day/yr))</f>
        <v>0</v>
      </c>
      <c r="P86">
        <f>VLOOKUP(N79,'8. Uncertainty Results'!$A$61:$CM$73,34+$A$77,FALSE)*((cubicm/gal)*(day/yr))</f>
        <v>0</v>
      </c>
      <c r="Q86">
        <f>VLOOKUP(Q79,'8. Uncertainty Results'!$A$61:$CM$73,32+$A$77,FALSE)*((cubicm/gal)*(day/yr))</f>
        <v>0</v>
      </c>
      <c r="R86">
        <f>VLOOKUP(Q79,'8. Uncertainty Results'!$A$61:$CM$73,33+$A$77,FALSE)*((cubicm/gal)*(day/yr))</f>
        <v>0</v>
      </c>
      <c r="S86">
        <f>VLOOKUP(Q79,'8. Uncertainty Results'!$A$61:$CM$73,34+$A$77,FALSE)*((cubicm/gal)*(day/yr))</f>
        <v>0</v>
      </c>
      <c r="T86">
        <f>VLOOKUP(T79,'8. Uncertainty Results'!$A$61:$CM$73,32+$A$77,FALSE)*((cubicm/gal)*(day/yr))</f>
        <v>0</v>
      </c>
      <c r="U86">
        <f>VLOOKUP(T79,'8. Uncertainty Results'!$A$61:$CM$73,33+$A$77,FALSE)*((cubicm/gal)*(day/yr))</f>
        <v>0</v>
      </c>
      <c r="V86">
        <f>VLOOKUP(T79,'8. Uncertainty Results'!$A$61:$CM$73,34+$A$77,FALSE)*((cubicm/gal)*(day/yr))</f>
        <v>0</v>
      </c>
      <c r="W86">
        <f>VLOOKUP(W79,'8. Uncertainty Results'!$A$61:$CM$73,32+$A$77,FALSE)*((cubicm/gal)*(day/yr))</f>
        <v>0</v>
      </c>
      <c r="X86">
        <f>VLOOKUP(W79,'8. Uncertainty Results'!$A$61:$CM$73,33+$A$77,FALSE)*((cubicm/gal)*(day/yr))</f>
        <v>0</v>
      </c>
      <c r="Y86">
        <f>VLOOKUP(W79,'8. Uncertainty Results'!$A$61:$CM$73,34+$A$77,FALSE)*((cubicm/gal)*(day/yr))</f>
        <v>0</v>
      </c>
    </row>
    <row r="87" spans="1:25" x14ac:dyDescent="0.2">
      <c r="A87" t="s">
        <v>402</v>
      </c>
      <c r="B87">
        <f>VLOOKUP(B79,'8. Uncertainty Results'!$A$61:$CM$73,47+$A$77,FALSE)*((cubicm/gal)*(day/yr))</f>
        <v>1206.1183305959253</v>
      </c>
      <c r="C87">
        <f>VLOOKUP(B79,'8. Uncertainty Results'!$A$61:$CM$73,48+$A$77,FALSE)*((cubicm/gal)*(day/yr))-400</f>
        <v>1725.0118641786848</v>
      </c>
      <c r="D87">
        <f>VLOOKUP(B79,'8. Uncertainty Results'!$A$61:$CM$73,49+$A$77,FALSE)*((cubicm/gal)*(day/yr))-1200</f>
        <v>2095.4950161991787</v>
      </c>
      <c r="E87">
        <f>VLOOKUP(E79,'8. Uncertainty Results'!$A$61:$CM$73,47+$A$77,FALSE)*((cubicm/gal)*(day/yr))</f>
        <v>461.87740401713978</v>
      </c>
      <c r="F87">
        <f>VLOOKUP(E79,'8. Uncertainty Results'!$A$61:$CM$73,48+$A$77,FALSE)*((cubicm/gal)*(day/yr))</f>
        <v>737.38795211465663</v>
      </c>
      <c r="G87">
        <f>VLOOKUP(E79,'8. Uncertainty Results'!$A$61:$CM$73,49+$A$77,FALSE)*((cubicm/gal)*(day/yr))</f>
        <v>1136.3038472180724</v>
      </c>
      <c r="H87">
        <f>VLOOKUP(H79,'8. Uncertainty Results'!$A$61:$CM$73,47+$A$77,FALSE)*((cubicm/gal)*(day/yr))</f>
        <v>30.682523264944496</v>
      </c>
      <c r="I87">
        <f>VLOOKUP(H79,'8. Uncertainty Results'!$A$61:$CM$73,48+$A$77,FALSE)*((cubicm/gal)*(day/yr))</f>
        <v>53.271766768196741</v>
      </c>
      <c r="J87">
        <f>VLOOKUP(H79,'8. Uncertainty Results'!$A$61:$CM$73,49+$A$77,FALSE)*((cubicm/gal)*(day/yr))</f>
        <v>81.336109402918453</v>
      </c>
      <c r="K87">
        <f>VLOOKUP(K79,'8. Uncertainty Results'!$A$61:$CM$73,47+$A$77,FALSE)*((cubicm/gal)*(day/yr))</f>
        <v>81.724979209887039</v>
      </c>
      <c r="L87">
        <f>VLOOKUP(K79,'8. Uncertainty Results'!$A$61:$CM$73,48+$A$77,FALSE)*((cubicm/gal)*(day/yr))</f>
        <v>176.34621293243168</v>
      </c>
      <c r="M87">
        <f>VLOOKUP(K79,'8. Uncertainty Results'!$A$61:$CM$73,49+$A$77,FALSE)*((cubicm/gal)*(day/yr))</f>
        <v>329.31392708027784</v>
      </c>
      <c r="N87">
        <f>VLOOKUP(N79,'8. Uncertainty Results'!$A$61:$CM$73,47+$A$77,FALSE)*((cubicm/gal)*(day/yr))</f>
        <v>58.015177545922207</v>
      </c>
      <c r="O87">
        <f>VLOOKUP(N79,'8. Uncertainty Results'!$A$61:$CM$73,48+$A$77,FALSE)*((cubicm/gal)*(day/yr))</f>
        <v>129.20639301594056</v>
      </c>
      <c r="P87">
        <f>VLOOKUP(N79,'8. Uncertainty Results'!$A$61:$CM$73,49+$A$77,FALSE)*((cubicm/gal)*(day/yr))</f>
        <v>241.16858404708836</v>
      </c>
      <c r="Q87">
        <f>VLOOKUP(Q79,'8. Uncertainty Results'!$A$61:$CM$73,47+$A$77,FALSE)*((cubicm/gal)*(day/yr))</f>
        <v>79.523337401832379</v>
      </c>
      <c r="R87">
        <f>VLOOKUP(Q79,'8. Uncertainty Results'!$A$61:$CM$73,48+$A$77,FALSE)*((cubicm/gal)*(day/yr))</f>
        <v>176.74195382222337</v>
      </c>
      <c r="S87">
        <f>VLOOKUP(Q79,'8. Uncertainty Results'!$A$61:$CM$73,49+$A$77,FALSE)*((cubicm/gal)*(day/yr))</f>
        <v>327.94923848356598</v>
      </c>
      <c r="T87">
        <f>VLOOKUP(T79,'8. Uncertainty Results'!$A$61:$CM$73,47+$A$77,FALSE)*((cubicm/gal)*(day/yr))</f>
        <v>50.36430664488671</v>
      </c>
      <c r="U87">
        <f>VLOOKUP(T79,'8. Uncertainty Results'!$A$61:$CM$73,48+$A$77,FALSE)*((cubicm/gal)*(day/yr))</f>
        <v>107.12609271396508</v>
      </c>
      <c r="V87">
        <f>VLOOKUP(T79,'8. Uncertainty Results'!$A$61:$CM$73,49+$A$77,FALSE)*((cubicm/gal)*(day/yr))</f>
        <v>198.72333446934988</v>
      </c>
      <c r="W87">
        <f>VLOOKUP(W79,'8. Uncertainty Results'!$A$61:$CM$73,47+$A$77,FALSE)*((cubicm/gal)*(day/yr))</f>
        <v>31.501356273147685</v>
      </c>
      <c r="X87">
        <f>VLOOKUP(W79,'8. Uncertainty Results'!$A$61:$CM$73,48+$A$77,FALSE)*((cubicm/gal)*(day/yr))</f>
        <v>53.804290828619415</v>
      </c>
      <c r="Y87">
        <f>VLOOKUP(W79,'8. Uncertainty Results'!$A$61:$CM$73,49+$A$77,FALSE)*((cubicm/gal)*(day/yr))</f>
        <v>81.315597458503802</v>
      </c>
    </row>
    <row r="88" spans="1:25" x14ac:dyDescent="0.2">
      <c r="A88" t="s">
        <v>403</v>
      </c>
      <c r="B88">
        <f>VLOOKUP(B79,'8. Uncertainty Results'!$A$61:$CM$73,62+$A$77,FALSE)*((cubicm/gal)*(day/yr))</f>
        <v>8.0683077101635376</v>
      </c>
      <c r="C88">
        <f>VLOOKUP(B79,'8. Uncertainty Results'!$A$61:$CM$73,63+$A$77,FALSE)*((cubicm/gal)*(day/yr))/C92</f>
        <v>6.5752309767219517</v>
      </c>
      <c r="D88">
        <f>VLOOKUP(B79,'8. Uncertainty Results'!$A$61:$CM$73,64+$A$77,FALSE)*((cubicm/gal)*(day/yr))/D92</f>
        <v>5.1779540093373013</v>
      </c>
      <c r="E88">
        <f>VLOOKUP(E79,'8. Uncertainty Results'!$A$61:$CM$73,62+$A$77,FALSE)*((cubicm/gal)*(day/yr))</f>
        <v>1.2248380177837979</v>
      </c>
      <c r="F88">
        <f>VLOOKUP(E79,'8. Uncertainty Results'!$A$61:$CM$73,63+$A$77,FALSE)*((cubicm/gal)*(day/yr))</f>
        <v>1.2363677321318323</v>
      </c>
      <c r="G88">
        <f>VLOOKUP(E79,'8. Uncertainty Results'!$A$61:$CM$73,64+$A$77,FALSE)*((cubicm/gal)*(day/yr))</f>
        <v>1.2505580750111125</v>
      </c>
      <c r="H88">
        <f>VLOOKUP(H79,'8. Uncertainty Results'!$A$61:$CM$73,62+$A$77,FALSE)*((cubicm/gal)*(day/yr))</f>
        <v>0.52530359932600357</v>
      </c>
      <c r="I88">
        <f>VLOOKUP(H79,'8. Uncertainty Results'!$A$61:$CM$73,63+$A$77,FALSE)*((cubicm/gal)*(day/yr))</f>
        <v>0.5366012257474353</v>
      </c>
      <c r="J88">
        <f>VLOOKUP(H79,'8. Uncertainty Results'!$A$61:$CM$73,64+$A$77,FALSE)*((cubicm/gal)*(day/yr))</f>
        <v>0.54867193224978894</v>
      </c>
      <c r="K88">
        <f>VLOOKUP(K79,'8. Uncertainty Results'!$A$61:$CM$73,62+$A$77,FALSE)*((cubicm/gal)*(day/yr))</f>
        <v>0.40498134542094349</v>
      </c>
      <c r="L88">
        <f>VLOOKUP(K79,'8. Uncertainty Results'!$A$61:$CM$73,63+$A$77,FALSE)*((cubicm/gal)*(day/yr))</f>
        <v>0.41244478912227728</v>
      </c>
      <c r="M88">
        <f>VLOOKUP(K79,'8. Uncertainty Results'!$A$61:$CM$73,64+$A$77,FALSE)*((cubicm/gal)*(day/yr))</f>
        <v>0.42079394286562116</v>
      </c>
      <c r="N88">
        <f>VLOOKUP(N79,'8. Uncertainty Results'!$A$61:$CM$73,62+$A$77,FALSE)*((cubicm/gal)*(day/yr))</f>
        <v>0.28205839119798443</v>
      </c>
      <c r="O88">
        <f>VLOOKUP(N79,'8. Uncertainty Results'!$A$61:$CM$73,63+$A$77,FALSE)*((cubicm/gal)*(day/yr))</f>
        <v>0.28732152695165836</v>
      </c>
      <c r="P88">
        <f>VLOOKUP(N79,'8. Uncertainty Results'!$A$61:$CM$73,64+$A$77,FALSE)*((cubicm/gal)*(day/yr))</f>
        <v>0.29306722570203575</v>
      </c>
      <c r="Q88">
        <f>VLOOKUP(Q79,'8. Uncertainty Results'!$A$61:$CM$73,62+$A$77,FALSE)*((cubicm/gal)*(day/yr))</f>
        <v>0.4049070504725612</v>
      </c>
      <c r="R88">
        <f>VLOOKUP(Q79,'8. Uncertainty Results'!$A$61:$CM$73,63+$A$77,FALSE)*((cubicm/gal)*(day/yr))</f>
        <v>0.41252871352528098</v>
      </c>
      <c r="S88">
        <f>VLOOKUP(Q79,'8. Uncertainty Results'!$A$61:$CM$73,64+$A$77,FALSE)*((cubicm/gal)*(day/yr))</f>
        <v>0.42064664573536037</v>
      </c>
      <c r="T88">
        <f>VLOOKUP(T79,'8. Uncertainty Results'!$A$61:$CM$73,62+$A$77,FALSE)*((cubicm/gal)*(day/yr))</f>
        <v>0.12824205700482294</v>
      </c>
      <c r="U88">
        <f>VLOOKUP(T79,'8. Uncertainty Results'!$A$61:$CM$73,63+$A$77,FALSE)*((cubicm/gal)*(day/yr))</f>
        <v>0.12882416528542187</v>
      </c>
      <c r="V88">
        <f>VLOOKUP(T79,'8. Uncertainty Results'!$A$61:$CM$73,64+$A$77,FALSE)*((cubicm/gal)*(day/yr))</f>
        <v>0.12961055828079762</v>
      </c>
      <c r="W88">
        <f>VLOOKUP(W79,'8. Uncertainty Results'!$A$61:$CM$73,62+$A$77,FALSE)*((cubicm/gal)*(day/yr))</f>
        <v>0.52532120477105659</v>
      </c>
      <c r="X88">
        <f>VLOOKUP(W79,'8. Uncertainty Results'!$A$61:$CM$73,63+$A$77,FALSE)*((cubicm/gal)*(day/yr))</f>
        <v>0.53668094387545329</v>
      </c>
      <c r="Y88">
        <f>VLOOKUP(W79,'8. Uncertainty Results'!$A$61:$CM$73,64+$A$77,FALSE)*((cubicm/gal)*(day/yr))</f>
        <v>0.54866929164597311</v>
      </c>
    </row>
    <row r="89" spans="1:25" x14ac:dyDescent="0.2">
      <c r="A89" t="s">
        <v>439</v>
      </c>
      <c r="B89">
        <f>VLOOKUP(B79,'8. Uncertainty Results'!$A$61:$CM$73,77+$A$77,FALSE)*((cubicm/gal)*(day/yr))</f>
        <v>0</v>
      </c>
      <c r="C89">
        <f>VLOOKUP(B79,'8. Uncertainty Results'!$A$61:$CM$73,78+$A$77,FALSE)*((cubicm/gal)*(day/yr))/C92</f>
        <v>0</v>
      </c>
      <c r="D89">
        <f>VLOOKUP(B79,'8. Uncertainty Results'!$A$61:$CM$73,79+$A$77,FALSE)*((cubicm/gal)*(day/yr))/D92</f>
        <v>0</v>
      </c>
      <c r="E89">
        <f>VLOOKUP(E79,'8. Uncertainty Results'!$A$61:$CM$73,77+$A$77,FALSE)*((cubicm/gal)*(day/yr))</f>
        <v>1.1133862742164427</v>
      </c>
      <c r="F89">
        <f>VLOOKUP(E79,'8. Uncertainty Results'!$A$61:$CM$73,78+$A$77,FALSE)*((cubicm/gal)*(day/yr))</f>
        <v>1.2580711654141461</v>
      </c>
      <c r="G89">
        <f>VLOOKUP(E79,'8. Uncertainty Results'!$A$61:$CM$73,79+$A$77,FALSE)*((cubicm/gal)*(day/yr))</f>
        <v>1.4109507631903555</v>
      </c>
      <c r="H89">
        <f>VLOOKUP(H79,'8. Uncertainty Results'!$A$61:$CM$73,77+$A$77,FALSE)*((cubicm/gal)*(day/yr))</f>
        <v>2.225606404770998</v>
      </c>
      <c r="I89">
        <f>VLOOKUP(H79,'8. Uncertainty Results'!$A$61:$CM$73,78+$A$77,FALSE)*((cubicm/gal)*(day/yr))</f>
        <v>2.5682658486567456</v>
      </c>
      <c r="J89">
        <f>VLOOKUP(H79,'8. Uncertainty Results'!$A$61:$CM$73,79+$A$77,FALSE)*((cubicm/gal)*(day/yr))</f>
        <v>2.9803663445785871</v>
      </c>
      <c r="K89">
        <f>VLOOKUP(K79,'8. Uncertainty Results'!$A$61:$CM$73,77+$A$77,FALSE)*((cubicm/gal)*(day/yr))</f>
        <v>0</v>
      </c>
      <c r="L89">
        <f>VLOOKUP(K79,'8. Uncertainty Results'!$A$61:$CM$73,78+$A$77,FALSE)*((cubicm/gal)*(day/yr))</f>
        <v>0</v>
      </c>
      <c r="M89">
        <f>VLOOKUP(K79,'8. Uncertainty Results'!$A$61:$CM$73,79+$A$77,FALSE)*((cubicm/gal)*(day/yr))</f>
        <v>0</v>
      </c>
      <c r="N89">
        <f>VLOOKUP(N79,'8. Uncertainty Results'!$A$61:$CM$73,77+$A$77,FALSE)*((cubicm/gal)*(day/yr))</f>
        <v>0</v>
      </c>
      <c r="O89">
        <f>VLOOKUP(N79,'8. Uncertainty Results'!$A$61:$CM$73,78+$A$77,FALSE)*((cubicm/gal)*(day/yr))</f>
        <v>0</v>
      </c>
      <c r="P89">
        <f>VLOOKUP(N79,'8. Uncertainty Results'!$A$61:$CM$73,79+$A$77,FALSE)*((cubicm/gal)*(day/yr))</f>
        <v>0</v>
      </c>
      <c r="Q89">
        <f>VLOOKUP(Q79,'8. Uncertainty Results'!$A$61:$CM$73,77+$A$77,FALSE)*((cubicm/gal)*(day/yr))</f>
        <v>0</v>
      </c>
      <c r="R89">
        <f>VLOOKUP(Q79,'8. Uncertainty Results'!$A$61:$CM$73,78+$A$77,FALSE)*((cubicm/gal)*(day/yr))</f>
        <v>0</v>
      </c>
      <c r="S89">
        <f>VLOOKUP(Q79,'8. Uncertainty Results'!$A$61:$CM$73,79+$A$77,FALSE)*((cubicm/gal)*(day/yr))</f>
        <v>0</v>
      </c>
      <c r="T89">
        <f>VLOOKUP(T79,'8. Uncertainty Results'!$A$61:$CM$73,77+$A$77,FALSE)*((cubicm/gal)*(day/yr))</f>
        <v>0</v>
      </c>
      <c r="U89">
        <f>VLOOKUP(T79,'8. Uncertainty Results'!$A$61:$CM$73,78+$A$77,FALSE)*((cubicm/gal)*(day/yr))</f>
        <v>0</v>
      </c>
      <c r="V89">
        <f>VLOOKUP(T79,'8. Uncertainty Results'!$A$61:$CM$73,79+$A$77,FALSE)*((cubicm/gal)*(day/yr))</f>
        <v>0</v>
      </c>
      <c r="W89">
        <f>VLOOKUP(W79,'8. Uncertainty Results'!$A$61:$CM$73,77+$A$77,FALSE)*((cubicm/gal)*(day/yr))</f>
        <v>2.2230177334984074</v>
      </c>
      <c r="X89">
        <f>VLOOKUP(W79,'8. Uncertainty Results'!$A$61:$CM$73,78+$A$77,FALSE)*((cubicm/gal)*(day/yr))</f>
        <v>2.5678834245065372</v>
      </c>
      <c r="Y89">
        <f>VLOOKUP(W79,'8. Uncertainty Results'!$A$61:$CM$73,79+$A$77,FALSE)*((cubicm/gal)*(day/yr))</f>
        <v>2.964030450540343</v>
      </c>
    </row>
    <row r="90" spans="1:25" x14ac:dyDescent="0.2">
      <c r="A90" t="s">
        <v>492</v>
      </c>
      <c r="B90">
        <f>VLOOKUP(B79,'8. Uncertainty Results'!$A$203:$D$215,2,FALSE)/1000000</f>
        <v>22.19928637592842</v>
      </c>
      <c r="C90">
        <f>VLOOKUP(B79,'8. Uncertainty Results'!$A$203:$D$215,3,FALSE)/1000000/C92</f>
        <v>19.705952238535986</v>
      </c>
      <c r="D90">
        <f>VLOOKUP(B79,'8. Uncertainty Results'!$A$203:$D$215,4,FALSE)/1000000/D92</f>
        <v>16.723808413973497</v>
      </c>
      <c r="E90">
        <f>VLOOKUP(E79,'8. Uncertainty Results'!$A$203:$D$215,2,FALSE)/1000000</f>
        <v>30.329777237026992</v>
      </c>
      <c r="F90">
        <f>VLOOKUP(E79,'8. Uncertainty Results'!$A$203:$D$215,3,FALSE)/1000000</f>
        <v>34.810209497471384</v>
      </c>
      <c r="G90">
        <f>VLOOKUP(E79,'8. Uncertainty Results'!$A$203:$D$215,4,FALSE)/1000000</f>
        <v>39.804593895523155</v>
      </c>
      <c r="H90">
        <f>VLOOKUP(H79,'8. Uncertainty Results'!$A$203:$D$215,2,FALSE)/1000000</f>
        <v>0.36684257135850085</v>
      </c>
      <c r="I90">
        <f>VLOOKUP(H79,'8. Uncertainty Results'!$A$203:$D$215,3,FALSE)/1000000</f>
        <v>1.9272387365708405</v>
      </c>
      <c r="J90">
        <f>VLOOKUP(H79,'8. Uncertainty Results'!$A$203:$D$215,4,FALSE)/1000000</f>
        <v>9.7366119085476832</v>
      </c>
      <c r="K90">
        <f>VLOOKUP(K79,'8. Uncertainty Results'!$A$203:$D$215,2,FALSE)/1000000</f>
        <v>28.572915147869598</v>
      </c>
      <c r="L90">
        <f>VLOOKUP(K79,'8. Uncertainty Results'!$A$203:$D$215,3,FALSE)/1000000</f>
        <v>36.784589510791825</v>
      </c>
      <c r="M90">
        <f>VLOOKUP(K79,'8. Uncertainty Results'!$A$203:$D$215,4,FALSE)/1000000</f>
        <v>63.986855731934547</v>
      </c>
      <c r="N90">
        <f>VLOOKUP(N79,'8. Uncertainty Results'!$A$203:$D$215,2,FALSE)/1000000</f>
        <v>12.60217290105447</v>
      </c>
      <c r="O90">
        <f>VLOOKUP(N79,'8. Uncertainty Results'!$A$203:$D$215,3,FALSE)/1000000</f>
        <v>19.226978004610444</v>
      </c>
      <c r="P90">
        <f>VLOOKUP(N79,'8. Uncertainty Results'!$A$203:$D$215,4,FALSE)/1000000</f>
        <v>49.036167912910365</v>
      </c>
      <c r="Q90">
        <f>VLOOKUP(Q79,'8. Uncertainty Results'!$A$203:$D$215,2,FALSE)/1000000</f>
        <v>4.9234855062215894</v>
      </c>
      <c r="R90">
        <f>VLOOKUP(Q79,'8. Uncertainty Results'!$A$203:$D$215,3,FALSE)/1000000</f>
        <v>5.37106142092306</v>
      </c>
      <c r="S90">
        <f>VLOOKUP(Q79,'8. Uncertainty Results'!$A$203:$D$215,4,FALSE)/1000000</f>
        <v>5.8389653933930203</v>
      </c>
      <c r="T90">
        <f>VLOOKUP(T79,'8. Uncertainty Results'!$A$203:$D$215,2,FALSE)/1000000</f>
        <v>3.9079818470785299</v>
      </c>
      <c r="U90">
        <f>VLOOKUP(T79,'8. Uncertainty Results'!$A$203:$D$215,3,FALSE)/1000000</f>
        <v>4.2843021047777894</v>
      </c>
      <c r="V90">
        <f>VLOOKUP(T79,'8. Uncertainty Results'!$A$203:$D$215,4,FALSE)/1000000</f>
        <v>4.6474321803099699</v>
      </c>
      <c r="W90">
        <f>VLOOKUP(W79,'8. Uncertainty Results'!$A$203:$D$215,2,FALSE)/1000000</f>
        <v>0.23425673678805656</v>
      </c>
      <c r="X90">
        <f>VLOOKUP(W79,'8. Uncertainty Results'!$A$203:$D$215,3,FALSE)/1000000</f>
        <v>1.1548930353673985</v>
      </c>
      <c r="Y90">
        <f>VLOOKUP(W79,'8. Uncertainty Results'!$A$203:$D$215,4,FALSE)/1000000</f>
        <v>5.5129749020288967</v>
      </c>
    </row>
    <row r="92" spans="1:25" x14ac:dyDescent="0.2">
      <c r="A92" t="s">
        <v>564</v>
      </c>
      <c r="B92">
        <f>VLOOKUP(B79,'8. Uncertainty Results'!$A$61:$CM$73,47+$A$77,FALSE)*((cubicm/gal)*(day/yr))/B87</f>
        <v>1</v>
      </c>
      <c r="C92">
        <f>VLOOKUP(B79,'8. Uncertainty Results'!$A$61:$CM$73,48+$A$77,FALSE)*((cubicm/gal)*(day/yr))/C87</f>
        <v>1.2318824631333469</v>
      </c>
      <c r="D92">
        <f>VLOOKUP(B79,'8. Uncertainty Results'!$A$61:$CM$73,49+$A$77,FALSE)*((cubicm/gal)*(day/yr))/D87</f>
        <v>1.5726570527361916</v>
      </c>
    </row>
    <row r="94" spans="1:25" x14ac:dyDescent="0.2">
      <c r="A94" t="s">
        <v>491</v>
      </c>
      <c r="B94" s="474">
        <f>B79</f>
        <v>18100204</v>
      </c>
      <c r="C94" s="474"/>
      <c r="D94" s="474"/>
      <c r="E94" s="474">
        <f>E79</f>
        <v>16040201</v>
      </c>
      <c r="F94" s="474"/>
      <c r="G94" s="474"/>
      <c r="H94" s="474">
        <f>H79</f>
        <v>15030202</v>
      </c>
      <c r="I94" s="474"/>
      <c r="J94" s="474"/>
      <c r="K94" s="474">
        <f>K79</f>
        <v>16060011</v>
      </c>
      <c r="L94" s="474"/>
      <c r="M94" s="474"/>
      <c r="N94" s="474">
        <f>N79</f>
        <v>16060003</v>
      </c>
      <c r="O94" s="474"/>
      <c r="P94" s="474"/>
      <c r="Q94" s="474">
        <f>Q79</f>
        <v>16060013</v>
      </c>
      <c r="R94" s="474"/>
      <c r="S94" s="474"/>
      <c r="T94" s="474">
        <f>T79</f>
        <v>16060010</v>
      </c>
      <c r="U94" s="474"/>
      <c r="V94" s="474"/>
      <c r="W94" s="474">
        <f>W79</f>
        <v>15030201</v>
      </c>
      <c r="X94" s="474"/>
      <c r="Y94" s="474"/>
    </row>
    <row r="95" spans="1:25" x14ac:dyDescent="0.2">
      <c r="B95" s="474" t="str">
        <f>B80</f>
        <v>SS</v>
      </c>
      <c r="C95" s="474"/>
      <c r="D95" s="474"/>
      <c r="E95" s="474" t="str">
        <f>E80</f>
        <v>UQ</v>
      </c>
      <c r="F95" s="474"/>
      <c r="G95" s="474"/>
      <c r="H95" s="474" t="str">
        <f>H80</f>
        <v>BUR</v>
      </c>
      <c r="I95" s="474"/>
      <c r="J95" s="474"/>
      <c r="K95" s="474" t="str">
        <f>K80</f>
        <v>RSCV</v>
      </c>
      <c r="L95" s="474"/>
      <c r="M95" s="474"/>
      <c r="N95" s="474" t="str">
        <f>N80</f>
        <v>SBSV</v>
      </c>
      <c r="O95" s="474"/>
      <c r="P95" s="474"/>
      <c r="Q95" s="474" t="str">
        <f>Q80</f>
        <v>CSF</v>
      </c>
      <c r="R95" s="474"/>
      <c r="S95" s="474"/>
      <c r="T95" s="474" t="str">
        <f>T80</f>
        <v>FLSSV</v>
      </c>
      <c r="U95" s="474"/>
      <c r="V95" s="474"/>
      <c r="W95" s="474" t="str">
        <f>W80</f>
        <v>BS</v>
      </c>
      <c r="X95" s="474"/>
      <c r="Y95" s="474"/>
    </row>
    <row r="96" spans="1:25" x14ac:dyDescent="0.2">
      <c r="B96" t="s">
        <v>440</v>
      </c>
      <c r="C96" t="s">
        <v>441</v>
      </c>
      <c r="D96" t="s">
        <v>442</v>
      </c>
      <c r="E96" t="s">
        <v>440</v>
      </c>
      <c r="F96" t="s">
        <v>441</v>
      </c>
      <c r="G96" t="s">
        <v>442</v>
      </c>
      <c r="H96" t="s">
        <v>440</v>
      </c>
      <c r="I96" t="s">
        <v>441</v>
      </c>
      <c r="J96" t="s">
        <v>442</v>
      </c>
      <c r="K96" t="s">
        <v>440</v>
      </c>
      <c r="L96" t="s">
        <v>441</v>
      </c>
      <c r="M96" t="s">
        <v>442</v>
      </c>
      <c r="N96" t="s">
        <v>440</v>
      </c>
      <c r="O96" t="s">
        <v>441</v>
      </c>
      <c r="P96" t="s">
        <v>442</v>
      </c>
      <c r="Q96" t="s">
        <v>440</v>
      </c>
      <c r="R96" t="s">
        <v>441</v>
      </c>
      <c r="S96" t="s">
        <v>442</v>
      </c>
      <c r="T96" t="s">
        <v>440</v>
      </c>
      <c r="U96" t="s">
        <v>441</v>
      </c>
      <c r="V96" t="s">
        <v>442</v>
      </c>
      <c r="W96" t="s">
        <v>440</v>
      </c>
      <c r="X96" t="s">
        <v>441</v>
      </c>
      <c r="Y96" t="s">
        <v>442</v>
      </c>
    </row>
    <row r="97" spans="1:25" x14ac:dyDescent="0.2">
      <c r="A97" t="s">
        <v>436</v>
      </c>
      <c r="B97">
        <f>VLOOKUP(B94,'8. Uncertainty Results'!$B$306:$E$318,2,FALSE)*(cubicm/gal)*(day/yr)</f>
        <v>641.97018163724317</v>
      </c>
      <c r="C97">
        <f>B97</f>
        <v>641.97018163724317</v>
      </c>
      <c r="D97">
        <f>B97</f>
        <v>641.97018163724317</v>
      </c>
      <c r="E97">
        <f>VLOOKUP(E94,'8. Uncertainty Results'!$B$306:$E$318,2,FALSE)*(cubicm/gal)*(day/yr)</f>
        <v>117.56239957200145</v>
      </c>
      <c r="F97">
        <f>E97</f>
        <v>117.56239957200145</v>
      </c>
      <c r="G97">
        <f>E97</f>
        <v>117.56239957200145</v>
      </c>
      <c r="H97">
        <f>VLOOKUP(H94,'8. Uncertainty Results'!$B$306:$E$318,2,FALSE)*(cubicm/gal)*(day/yr)</f>
        <v>47.498843620536988</v>
      </c>
      <c r="I97">
        <f>H97</f>
        <v>47.498843620536988</v>
      </c>
      <c r="J97">
        <f>H97</f>
        <v>47.498843620536988</v>
      </c>
      <c r="K97">
        <f>VLOOKUP(K94,'8. Uncertainty Results'!$B$306:$E$318,2,FALSE)*(cubicm/gal)*(day/yr)</f>
        <v>42.408210336465608</v>
      </c>
      <c r="L97">
        <f>K97</f>
        <v>42.408210336465608</v>
      </c>
      <c r="M97">
        <f>K97</f>
        <v>42.408210336465608</v>
      </c>
      <c r="N97">
        <f>VLOOKUP(N94,'8. Uncertainty Results'!$B$306:$E$318,2,FALSE)*(cubicm/gal)*(day/yr)</f>
        <v>22.33525955095925</v>
      </c>
      <c r="O97">
        <f>N97</f>
        <v>22.33525955095925</v>
      </c>
      <c r="P97">
        <f>N97</f>
        <v>22.33525955095925</v>
      </c>
      <c r="Q97">
        <f>VLOOKUP(Q94,'8. Uncertainty Results'!$B$306:$E$318,2,FALSE)*(cubicm/gal)*(day/yr)</f>
        <v>29.817042393023154</v>
      </c>
      <c r="R97">
        <f>Q97</f>
        <v>29.817042393023154</v>
      </c>
      <c r="S97">
        <f>Q97</f>
        <v>29.817042393023154</v>
      </c>
      <c r="T97">
        <f>VLOOKUP(T94,'8. Uncertainty Results'!$B$306:$E$318,2,FALSE)*(cubicm/gal)*(day/yr)</f>
        <v>45.31422124687375</v>
      </c>
      <c r="U97">
        <f>T97</f>
        <v>45.31422124687375</v>
      </c>
      <c r="V97">
        <f>T97</f>
        <v>45.31422124687375</v>
      </c>
      <c r="W97">
        <f>VLOOKUP(W94,'8. Uncertainty Results'!$B$306:$E$318,2,FALSE)*(cubicm/gal)*(day/yr)</f>
        <v>92.818770171609202</v>
      </c>
      <c r="X97">
        <f>W97</f>
        <v>92.818770171609202</v>
      </c>
      <c r="Y97">
        <f>W97</f>
        <v>92.818770171609202</v>
      </c>
    </row>
    <row r="98" spans="1:25" x14ac:dyDescent="0.2">
      <c r="A98" t="s">
        <v>437</v>
      </c>
      <c r="B98">
        <f>VLOOKUP(B94,'8. Uncertainty Results'!$B$306:$E$318,4,FALSE)*(cubicm/gal)*(day/yr)</f>
        <v>806.82411410647023</v>
      </c>
      <c r="C98">
        <f>B98</f>
        <v>806.82411410647023</v>
      </c>
      <c r="D98">
        <f>B98</f>
        <v>806.82411410647023</v>
      </c>
      <c r="E98">
        <f>VLOOKUP(E94,'8. Uncertainty Results'!$B$306:$E$318,4,FALSE)*(cubicm/gal)*(day/yr)</f>
        <v>338.31172411774259</v>
      </c>
      <c r="F98">
        <f>E98</f>
        <v>338.31172411774259</v>
      </c>
      <c r="G98">
        <f>E98</f>
        <v>338.31172411774259</v>
      </c>
      <c r="H98">
        <f>VLOOKUP(H94,'8. Uncertainty Results'!$B$306:$E$318,4,FALSE)*(cubicm/gal)*(day/yr)</f>
        <v>145.74028952878135</v>
      </c>
      <c r="I98">
        <f>H98</f>
        <v>145.74028952878135</v>
      </c>
      <c r="J98">
        <f>H98</f>
        <v>145.74028952878135</v>
      </c>
      <c r="K98">
        <f>VLOOKUP(K94,'8. Uncertainty Results'!$B$306:$E$318,4,FALSE)*(cubicm/gal)*(day/yr)</f>
        <v>71.517791844939339</v>
      </c>
      <c r="L98">
        <f>K98</f>
        <v>71.517791844939339</v>
      </c>
      <c r="M98">
        <f>K98</f>
        <v>71.517791844939339</v>
      </c>
      <c r="N98">
        <f>VLOOKUP(N94,'8. Uncertainty Results'!$B$306:$E$318,4,FALSE)*(cubicm/gal)*(day/yr)</f>
        <v>80.364768327498041</v>
      </c>
      <c r="O98">
        <f>N98</f>
        <v>80.364768327498041</v>
      </c>
      <c r="P98">
        <f>N98</f>
        <v>80.364768327498041</v>
      </c>
      <c r="Q98">
        <f>VLOOKUP(Q94,'8. Uncertainty Results'!$B$306:$E$318,4,FALSE)*(cubicm/gal)*(day/yr)</f>
        <v>83.152795100740022</v>
      </c>
      <c r="R98">
        <f>Q98</f>
        <v>83.152795100740022</v>
      </c>
      <c r="S98">
        <f>Q98</f>
        <v>83.152795100740022</v>
      </c>
      <c r="T98">
        <f>VLOOKUP(T94,'8. Uncertainty Results'!$B$306:$E$318,4,FALSE)*(cubicm/gal)*(day/yr)</f>
        <v>88.866039600108664</v>
      </c>
      <c r="U98">
        <f>T98</f>
        <v>88.866039600108664</v>
      </c>
      <c r="V98">
        <f>T98</f>
        <v>88.866039600108664</v>
      </c>
      <c r="W98">
        <f>VLOOKUP(W94,'8. Uncertainty Results'!$B$306:$E$318,4,FALSE)*(cubicm/gal)*(day/yr)</f>
        <v>337.75051838075376</v>
      </c>
      <c r="X98">
        <f>W98</f>
        <v>337.75051838075376</v>
      </c>
      <c r="Y98">
        <f>W98</f>
        <v>337.75051838075376</v>
      </c>
    </row>
    <row r="99" spans="1:25" x14ac:dyDescent="0.2">
      <c r="A99" t="s">
        <v>438</v>
      </c>
      <c r="B99">
        <f>VLOOKUP(B94,'8. Uncertainty Results'!$A$79:$CM$90,2+$A$77,FALSE)*((cubicm/gal)*(day/yr))</f>
        <v>18.380384859397061</v>
      </c>
      <c r="C99">
        <f>VLOOKUP(B94,'8. Uncertainty Results'!$A$79:$CM$90,3+$A$77,FALSE)*((cubicm/gal)*(day/yr))</f>
        <v>19.171103088515036</v>
      </c>
      <c r="D99">
        <f>VLOOKUP(B94,'8. Uncertainty Results'!$A$79:$CM$90,4+$A$77,FALSE)*((cubicm/gal)*(day/yr))</f>
        <v>19.860381087422336</v>
      </c>
      <c r="E99">
        <f>VLOOKUP(E94,'8. Uncertainty Results'!$A$79:$CM$90,2+$A$77,FALSE)*((cubicm/gal)*(day/yr))</f>
        <v>0</v>
      </c>
      <c r="F99">
        <f>VLOOKUP(E94,'8. Uncertainty Results'!$A$79:$CM$90,3+$A$77,FALSE)*((cubicm/gal)*(day/yr))</f>
        <v>0</v>
      </c>
      <c r="G99">
        <f>VLOOKUP(E94,'8. Uncertainty Results'!$A$79:$CM$90,4+$A$77,FALSE)*((cubicm/gal)*(day/yr))</f>
        <v>0</v>
      </c>
      <c r="H99">
        <f>VLOOKUP(H94,'8. Uncertainty Results'!$A$79:$CM$90,2+$A$77,FALSE)*((cubicm/gal)*(day/yr))</f>
        <v>27.145499840149458</v>
      </c>
      <c r="I99">
        <f>VLOOKUP(H94,'8. Uncertainty Results'!$A$79:$CM$90,3+$A$77,FALSE)*((cubicm/gal)*(day/yr))</f>
        <v>28.872525299326867</v>
      </c>
      <c r="J99">
        <f>VLOOKUP(H94,'8. Uncertainty Results'!$A$79:$CM$90,4+$A$77,FALSE)*((cubicm/gal)*(day/yr))</f>
        <v>30.438088575542576</v>
      </c>
      <c r="K99">
        <f>VLOOKUP(K94,'8. Uncertainty Results'!$A$79:$CM$90,2+$A$77,FALSE)*((cubicm/gal)*(day/yr))</f>
        <v>0.10888519363293563</v>
      </c>
      <c r="L99">
        <f>VLOOKUP(K94,'8. Uncertainty Results'!$A$79:$CM$90,3+$A$77,FALSE)*((cubicm/gal)*(day/yr))</f>
        <v>0.11575187290277032</v>
      </c>
      <c r="M99">
        <f>VLOOKUP(K94,'8. Uncertainty Results'!$A$79:$CM$90,4+$A$77,FALSE)*((cubicm/gal)*(day/yr))</f>
        <v>0.1220669536832905</v>
      </c>
      <c r="N99">
        <f>VLOOKUP(N94,'8. Uncertainty Results'!$A$79:$CM$90,2+$A$77,FALSE)*((cubicm/gal)*(day/yr))</f>
        <v>7.2672880887580546E-2</v>
      </c>
      <c r="O99">
        <f>VLOOKUP(N94,'8. Uncertainty Results'!$A$79:$CM$90,3+$A$77,FALSE)*((cubicm/gal)*(day/yr))</f>
        <v>7.724563880397417E-2</v>
      </c>
      <c r="P99">
        <f>VLOOKUP(N94,'8. Uncertainty Results'!$A$79:$CM$90,4+$A$77,FALSE)*((cubicm/gal)*(day/yr))</f>
        <v>8.1431038411958853E-2</v>
      </c>
      <c r="Q99">
        <f>VLOOKUP(Q94,'8. Uncertainty Results'!$A$79:$CM$90,2+$A$77,FALSE)*((cubicm/gal)*(day/yr))</f>
        <v>0.10894993350310143</v>
      </c>
      <c r="R99">
        <f>VLOOKUP(Q94,'8. Uncertainty Results'!$A$79:$CM$90,3+$A$77,FALSE)*((cubicm/gal)*(day/yr))</f>
        <v>0.11585063536722986</v>
      </c>
      <c r="S99">
        <f>VLOOKUP(Q94,'8. Uncertainty Results'!$A$79:$CM$90,4+$A$77,FALSE)*((cubicm/gal)*(day/yr))</f>
        <v>0.1222260314533756</v>
      </c>
      <c r="T99">
        <f>VLOOKUP(T94,'8. Uncertainty Results'!$A$79:$CM$90,2+$A$77,FALSE)*((cubicm/gal)*(day/yr))</f>
        <v>17.818068527599813</v>
      </c>
      <c r="U99">
        <f>VLOOKUP(T94,'8. Uncertainty Results'!$A$79:$CM$90,3+$A$77,FALSE)*((cubicm/gal)*(day/yr))</f>
        <v>18.567475723229247</v>
      </c>
      <c r="V99">
        <f>VLOOKUP(T94,'8. Uncertainty Results'!$A$79:$CM$90,4+$A$77,FALSE)*((cubicm/gal)*(day/yr))</f>
        <v>19.232820692407664</v>
      </c>
      <c r="W99">
        <f>VLOOKUP(W94,'8. Uncertainty Results'!$A$79:$CM$90,2+$A$77,FALSE)*((cubicm/gal)*(day/yr))</f>
        <v>27.097855556172572</v>
      </c>
      <c r="X99">
        <f>VLOOKUP(W94,'8. Uncertainty Results'!$A$79:$CM$90,3+$A$77,FALSE)*((cubicm/gal)*(day/yr))</f>
        <v>28.861568481444323</v>
      </c>
      <c r="Y99">
        <f>VLOOKUP(W94,'8. Uncertainty Results'!$A$79:$CM$90,4+$A$77,FALSE)*((cubicm/gal)*(day/yr))</f>
        <v>30.449274924330453</v>
      </c>
    </row>
    <row r="100" spans="1:25" x14ac:dyDescent="0.2">
      <c r="A100" t="s">
        <v>400</v>
      </c>
      <c r="B100">
        <f>VLOOKUP(B94,'8. Uncertainty Results'!$A$79:$CM$90,17+$A$77,FALSE)*((cubicm/gal)*(day/yr))</f>
        <v>33.116025092441618</v>
      </c>
      <c r="C100">
        <f>VLOOKUP(B94,'8. Uncertainty Results'!$A$79:$CM$90,18+$A$77+$A$77,FALSE)*((cubicm/gal)*(day/yr))</f>
        <v>33.818616610245599</v>
      </c>
      <c r="D100">
        <f>VLOOKUP(B94,'8. Uncertainty Results'!$A$79:$CM$90,19+$A$77,FALSE)*((cubicm/gal)*(day/yr))</f>
        <v>37.446941879986625</v>
      </c>
      <c r="E100">
        <f>VLOOKUP(E94,'8. Uncertainty Results'!$A$79:$CM$90,17+$A$77,FALSE)*((cubicm/gal)*(day/yr))</f>
        <v>4.301072182224468</v>
      </c>
      <c r="F100">
        <f>VLOOKUP(E94,'8. Uncertainty Results'!$A$79:$CM$90,18+$A$77,FALSE)*((cubicm/gal)*(day/yr))</f>
        <v>4.5010957880751805</v>
      </c>
      <c r="G100">
        <f>VLOOKUP(E94,'8. Uncertainty Results'!$A$79:$CM$90,19+$A$77,FALSE)*((cubicm/gal)*(day/yr))</f>
        <v>4.7099570676521028</v>
      </c>
      <c r="H100">
        <f>VLOOKUP(H94,'8. Uncertainty Results'!$A$79:$CM$90,17+$A$77,FALSE)*((cubicm/gal)*(day/yr))</f>
        <v>61.98461215616031</v>
      </c>
      <c r="I100">
        <f>VLOOKUP(H94,'8. Uncertainty Results'!$A$79:$CM$90,18+$A$77,FALSE)*((cubicm/gal)*(day/yr))</f>
        <v>66.719099191386135</v>
      </c>
      <c r="J100">
        <f>VLOOKUP(H94,'8. Uncertainty Results'!$A$79:$CM$90,19+$A$77,FALSE)*((cubicm/gal)*(day/yr))</f>
        <v>70.953469277001361</v>
      </c>
      <c r="K100">
        <f>VLOOKUP(K94,'8. Uncertainty Results'!$A$79:$CM$90,17+$A$77,FALSE)*((cubicm/gal)*(day/yr))</f>
        <v>8.8782665666460918</v>
      </c>
      <c r="L100">
        <f>VLOOKUP(K94,'8. Uncertainty Results'!$A$79:$CM$90,18+$A$77,FALSE)*((cubicm/gal)*(day/yr))</f>
        <v>9.71102156647102</v>
      </c>
      <c r="M100">
        <f>VLOOKUP(K94,'8. Uncertainty Results'!$A$79:$CM$90,19+$A$77,FALSE)*((cubicm/gal)*(day/yr))</f>
        <v>10.615418620579797</v>
      </c>
      <c r="N100">
        <f>VLOOKUP(N94,'8. Uncertainty Results'!$A$79:$CM$90,17+$A$77,FALSE)*((cubicm/gal)*(day/yr))</f>
        <v>6.1823945105850289</v>
      </c>
      <c r="O100">
        <f>VLOOKUP(N94,'8. Uncertainty Results'!$A$79:$CM$90,18+$A$77,FALSE)*((cubicm/gal)*(day/yr))</f>
        <v>6.7557566128711182</v>
      </c>
      <c r="P100">
        <f>VLOOKUP(N94,'8. Uncertainty Results'!$A$79:$CM$90,19+$A$77,FALSE)*((cubicm/gal)*(day/yr))</f>
        <v>7.3632037744790537</v>
      </c>
      <c r="Q100">
        <f>VLOOKUP(Q94,'8. Uncertainty Results'!$A$79:$CM$90,17+$A$77,FALSE)*((cubicm/gal)*(day/yr))</f>
        <v>8.8778776677600231</v>
      </c>
      <c r="R100">
        <f>VLOOKUP(Q94,'8. Uncertainty Results'!$A$79:$CM$90,18+$A$77,FALSE)*((cubicm/gal)*(day/yr))</f>
        <v>9.7170578833834931</v>
      </c>
      <c r="S100">
        <f>VLOOKUP(Q94,'8. Uncertainty Results'!$A$79:$CM$90,19+$A$77,FALSE)*((cubicm/gal)*(day/yr))</f>
        <v>10.609981251289575</v>
      </c>
      <c r="T100">
        <f>VLOOKUP(T94,'8. Uncertainty Results'!$A$79:$CM$90,17+$A$77,FALSE)*((cubicm/gal)*(day/yr))</f>
        <v>1.4061287897907417</v>
      </c>
      <c r="U100">
        <f>VLOOKUP(T94,'8. Uncertainty Results'!$A$79:$CM$90,18+$A$77,FALSE)*((cubicm/gal)*(day/yr))</f>
        <v>1.4956737104561832</v>
      </c>
      <c r="V100">
        <f>VLOOKUP(T94,'8. Uncertainty Results'!$A$79:$CM$90,19+$A$77,FALSE)*((cubicm/gal)*(day/yr))</f>
        <v>1.5784686228687792</v>
      </c>
      <c r="W100">
        <f>VLOOKUP(W94,'8. Uncertainty Results'!$A$79:$CM$90,17+$A$77,FALSE)*((cubicm/gal)*(day/yr))</f>
        <v>62.111855079516808</v>
      </c>
      <c r="X100">
        <f>VLOOKUP(W94,'8. Uncertainty Results'!$A$79:$CM$90,18+$A$77,FALSE)*((cubicm/gal)*(day/yr))</f>
        <v>66.666067636799838</v>
      </c>
      <c r="Y100">
        <f>VLOOKUP(W94,'8. Uncertainty Results'!$A$79:$CM$90,19+$A$77,FALSE)*((cubicm/gal)*(day/yr))</f>
        <v>70.901283631925295</v>
      </c>
    </row>
    <row r="101" spans="1:25" x14ac:dyDescent="0.2">
      <c r="A101" t="s">
        <v>401</v>
      </c>
      <c r="B101">
        <f>VLOOKUP(B94,'8. Uncertainty Results'!$A$79:$CM$90,32+$A$77,FALSE)*((cubicm/gal)*(day/yr))</f>
        <v>0</v>
      </c>
      <c r="C101">
        <f>VLOOKUP(B94,'8. Uncertainty Results'!$A$79:$CM$90,33+$A$77,FALSE)*((cubicm/gal)*(day/yr))</f>
        <v>0</v>
      </c>
      <c r="D101">
        <f>VLOOKUP(B94,'8. Uncertainty Results'!$A$79:$CM$90,34+$A$77,FALSE)*((cubicm/gal)*(day/yr))</f>
        <v>0</v>
      </c>
      <c r="E101">
        <f>VLOOKUP(E94,'8. Uncertainty Results'!$A$79:$CM$90,32+$A$77,FALSE)*((cubicm/gal)*(day/yr))</f>
        <v>0</v>
      </c>
      <c r="F101">
        <f>VLOOKUP(E94,'8. Uncertainty Results'!$A$79:$CM$90,33+$A$77,FALSE)*((cubicm/gal)*(day/yr))</f>
        <v>0</v>
      </c>
      <c r="G101">
        <f>VLOOKUP(E94,'8. Uncertainty Results'!$A$79:$CM$90,34+$A$77,FALSE)*((cubicm/gal)*(day/yr))</f>
        <v>0</v>
      </c>
      <c r="H101">
        <f>VLOOKUP(H94,'8. Uncertainty Results'!$A$79:$CM$90,32+$A$77,FALSE)*((cubicm/gal)*(day/yr))</f>
        <v>0</v>
      </c>
      <c r="I101">
        <f>VLOOKUP(H94,'8. Uncertainty Results'!$A$79:$CM$90,33+$A$77,FALSE)*((cubicm/gal)*(day/yr))</f>
        <v>0</v>
      </c>
      <c r="J101">
        <f>VLOOKUP(H94,'8. Uncertainty Results'!$A$79:$CM$90,34+$A$77,FALSE)*((cubicm/gal)*(day/yr))</f>
        <v>0</v>
      </c>
      <c r="K101">
        <f>VLOOKUP(K94,'8. Uncertainty Results'!$A$79:$CM$90,32+$A$77,FALSE)*((cubicm/gal)*(day/yr))</f>
        <v>0</v>
      </c>
      <c r="L101">
        <f>VLOOKUP(K94,'8. Uncertainty Results'!$A$79:$CM$90,33+$A$77,FALSE)*((cubicm/gal)*(day/yr))</f>
        <v>0</v>
      </c>
      <c r="M101">
        <f>VLOOKUP(K94,'8. Uncertainty Results'!$A$79:$CM$90,34+$A$77,FALSE)*((cubicm/gal)*(day/yr))</f>
        <v>0</v>
      </c>
      <c r="N101">
        <f>VLOOKUP(N94,'8. Uncertainty Results'!$A$79:$CM$90,32+$A$77,FALSE)*((cubicm/gal)*(day/yr))</f>
        <v>0</v>
      </c>
      <c r="O101">
        <f>VLOOKUP(N94,'8. Uncertainty Results'!$A$79:$CM$90,33+$A$77,FALSE)*((cubicm/gal)*(day/yr))</f>
        <v>0</v>
      </c>
      <c r="P101">
        <f>VLOOKUP(N94,'8. Uncertainty Results'!$A$79:$CM$90,34+$A$77,FALSE)*((cubicm/gal)*(day/yr))</f>
        <v>0</v>
      </c>
      <c r="Q101">
        <f>VLOOKUP(Q94,'8. Uncertainty Results'!$A$79:$CM$90,32+$A$77,FALSE)*((cubicm/gal)*(day/yr))</f>
        <v>0</v>
      </c>
      <c r="R101">
        <f>VLOOKUP(Q94,'8. Uncertainty Results'!$A$79:$CM$90,33+$A$77,FALSE)*((cubicm/gal)*(day/yr))</f>
        <v>0</v>
      </c>
      <c r="S101">
        <f>VLOOKUP(Q94,'8. Uncertainty Results'!$A$79:$CM$90,34+$A$77,FALSE)*((cubicm/gal)*(day/yr))</f>
        <v>0</v>
      </c>
      <c r="T101">
        <f>VLOOKUP(T94,'8. Uncertainty Results'!$A$79:$CM$90,32+$A$77,FALSE)*((cubicm/gal)*(day/yr))</f>
        <v>0</v>
      </c>
      <c r="U101">
        <f>VLOOKUP(T94,'8. Uncertainty Results'!$A$79:$CM$90,33+$A$77,FALSE)*((cubicm/gal)*(day/yr))</f>
        <v>0</v>
      </c>
      <c r="V101">
        <f>VLOOKUP(T94,'8. Uncertainty Results'!$A$79:$CM$90,34+$A$77,FALSE)*((cubicm/gal)*(day/yr))</f>
        <v>0</v>
      </c>
      <c r="W101">
        <f>VLOOKUP(W94,'8. Uncertainty Results'!$A$79:$CM$90,32+$A$77,FALSE)*((cubicm/gal)*(day/yr))</f>
        <v>0</v>
      </c>
      <c r="X101">
        <f>VLOOKUP(W94,'8. Uncertainty Results'!$A$79:$CM$90,33+$A$77,FALSE)*((cubicm/gal)*(day/yr))</f>
        <v>0</v>
      </c>
      <c r="Y101">
        <f>VLOOKUP(W94,'8. Uncertainty Results'!$A$79:$CM$90,34+$A$77,FALSE)*((cubicm/gal)*(day/yr))</f>
        <v>0</v>
      </c>
    </row>
    <row r="102" spans="1:25" x14ac:dyDescent="0.2">
      <c r="A102" t="s">
        <v>402</v>
      </c>
      <c r="B102">
        <f>VLOOKUP(B94,'8. Uncertainty Results'!$A$79:$CM$91,47+$A$77,FALSE)*((cubicm/gal)*(day/yr))</f>
        <v>1476.2965917011556</v>
      </c>
      <c r="C102">
        <f>VLOOKUP(B94,'8. Uncertainty Results'!$A$79:$CM$91,48+$A$77,FALSE)*((cubicm/gal)*(day/yr))</f>
        <v>2524.5139727911533</v>
      </c>
      <c r="D102">
        <f>VLOOKUP(B94,'8. Uncertainty Results'!$A$79:$CM$91,49+$A$77,FALSE)*((cubicm/gal)*(day/yr))</f>
        <v>4004.9919426698566</v>
      </c>
      <c r="E102">
        <f>VLOOKUP(E94,'8. Uncertainty Results'!$A$79:$CM$90,47+$A$77,FALSE)*((cubicm/gal)*(day/yr))</f>
        <v>578.70821252149449</v>
      </c>
      <c r="F102">
        <f>VLOOKUP(E94,'8. Uncertainty Results'!$A$79:$CM$90,48+$A$77,FALSE)*((cubicm/gal)*(day/yr))</f>
        <v>783.81643771943743</v>
      </c>
      <c r="G102">
        <f>VLOOKUP(E94,'8. Uncertainty Results'!$A$79:$CM$90,49+$A$77,FALSE)*((cubicm/gal)*(day/yr))</f>
        <v>1015.8687550960767</v>
      </c>
      <c r="H102">
        <f>VLOOKUP(H94,'8. Uncertainty Results'!$A$79:$CM$90,47+$A$77,FALSE)*((cubicm/gal)*(day/yr))</f>
        <v>56.827508963210114</v>
      </c>
      <c r="I102">
        <f>VLOOKUP(H94,'8. Uncertainty Results'!$A$79:$CM$90,48+$A$77,FALSE)*((cubicm/gal)*(day/yr))</f>
        <v>88.177352322230803</v>
      </c>
      <c r="J102">
        <f>VLOOKUP(H94,'8. Uncertainty Results'!$A$79:$CM$90,49+$A$77,FALSE)*((cubicm/gal)*(day/yr))</f>
        <v>135.51688180730392</v>
      </c>
      <c r="K102">
        <f>VLOOKUP(K94,'8. Uncertainty Results'!$A$79:$CM$90,47+$A$77,FALSE)*((cubicm/gal)*(day/yr))</f>
        <v>70.561358776900022</v>
      </c>
      <c r="L102">
        <f>VLOOKUP(K94,'8. Uncertainty Results'!$A$79:$CM$90,48+$A$77,FALSE)*((cubicm/gal)*(day/yr))</f>
        <v>103.40807039080833</v>
      </c>
      <c r="M102">
        <f>VLOOKUP(K94,'8. Uncertainty Results'!$A$79:$CM$90,49+$A$77,FALSE)*((cubicm/gal)*(day/yr))</f>
        <v>146.44419730215481</v>
      </c>
      <c r="N102">
        <f>VLOOKUP(N94,'8. Uncertainty Results'!$A$79:$CM$90,47+$A$77,FALSE)*((cubicm/gal)*(day/yr))</f>
        <v>52.203165348925367</v>
      </c>
      <c r="O102">
        <f>VLOOKUP(N94,'8. Uncertainty Results'!$A$79:$CM$90,48+$A$77,FALSE)*((cubicm/gal)*(day/yr))</f>
        <v>77.637114650599884</v>
      </c>
      <c r="P102">
        <f>VLOOKUP(N94,'8. Uncertainty Results'!$A$79:$CM$90,49+$A$77,FALSE)*((cubicm/gal)*(day/yr))</f>
        <v>109.65763965161183</v>
      </c>
      <c r="Q102">
        <f>VLOOKUP(Q94,'8. Uncertainty Results'!$A$79:$CM$90,47+$A$77,FALSE)*((cubicm/gal)*(day/yr))</f>
        <v>70.039380560396879</v>
      </c>
      <c r="R102">
        <f>VLOOKUP(Q94,'8. Uncertainty Results'!$A$79:$CM$90,48+$A$77,FALSE)*((cubicm/gal)*(day/yr))</f>
        <v>103.63687559566843</v>
      </c>
      <c r="S102">
        <f>VLOOKUP(Q94,'8. Uncertainty Results'!$A$79:$CM$90,49+$A$77,FALSE)*((cubicm/gal)*(day/yr))</f>
        <v>146.10019551057297</v>
      </c>
      <c r="T102">
        <f>VLOOKUP(T94,'8. Uncertainty Results'!$A$79:$CM$90,47+$A$77,FALSE)*((cubicm/gal)*(day/yr))</f>
        <v>58.240132568258829</v>
      </c>
      <c r="U102">
        <f>VLOOKUP(T94,'8. Uncertainty Results'!$A$79:$CM$90,48+$A$77,FALSE)*((cubicm/gal)*(day/yr))</f>
        <v>93.539525553843262</v>
      </c>
      <c r="V102">
        <f>VLOOKUP(T94,'8. Uncertainty Results'!$A$79:$CM$90,49+$A$77,FALSE)*((cubicm/gal)*(day/yr))</f>
        <v>135.10485474650574</v>
      </c>
      <c r="W102">
        <f>VLOOKUP(W94,'8. Uncertainty Results'!$A$79:$CM$90,47+$A$77,FALSE)*((cubicm/gal)*(day/yr))</f>
        <v>56.900173257308431</v>
      </c>
      <c r="X102">
        <f>VLOOKUP(W94,'8. Uncertainty Results'!$A$79:$CM$90,48+$A$77,FALSE)*((cubicm/gal)*(day/yr))</f>
        <v>88.296243964474385</v>
      </c>
      <c r="Y102">
        <f>VLOOKUP(W94,'8. Uncertainty Results'!$A$79:$CM$90,49+$A$77,FALSE)*((cubicm/gal)*(day/yr))</f>
        <v>134.86828400893265</v>
      </c>
    </row>
    <row r="103" spans="1:25" x14ac:dyDescent="0.2">
      <c r="A103" t="s">
        <v>403</v>
      </c>
      <c r="B103">
        <f>VLOOKUP(B94,'8. Uncertainty Results'!$A$79:$CM$90,62+$A$77,FALSE)*((cubicm/gal)*(day/yr))</f>
        <v>5.0215232465926878</v>
      </c>
      <c r="C103">
        <f>VLOOKUP(B94,'8. Uncertainty Results'!$A$79:$CM$90,63+$A$77,FALSE)*((cubicm/gal)*(day/yr))</f>
        <v>5.0313003409755828</v>
      </c>
      <c r="D103">
        <f>VLOOKUP(B94,'8. Uncertainty Results'!$A$79:$CM$90,64+$A$77,FALSE)*((cubicm/gal)*(day/yr))</f>
        <v>5.0390156732531732</v>
      </c>
      <c r="E103">
        <f>VLOOKUP(E94,'8. Uncertainty Results'!$A$79:$CM$90,62+$A$77,FALSE)*((cubicm/gal)*(day/yr))</f>
        <v>1.0730525979670851</v>
      </c>
      <c r="F103">
        <f>VLOOKUP(E94,'8. Uncertainty Results'!$A$79:$CM$90,63+$A$77,FALSE)*((cubicm/gal)*(day/yr))</f>
        <v>1.0846455527520815</v>
      </c>
      <c r="G103">
        <f>VLOOKUP(E94,'8. Uncertainty Results'!$A$79:$CM$90,64+$A$77,FALSE)*((cubicm/gal)*(day/yr))</f>
        <v>1.0954772219359026</v>
      </c>
      <c r="H103">
        <f>VLOOKUP(H94,'8. Uncertainty Results'!$A$79:$CM$90,62+$A$77,FALSE)*((cubicm/gal)*(day/yr))</f>
        <v>0.50306335294700255</v>
      </c>
      <c r="I103">
        <f>VLOOKUP(H94,'8. Uncertainty Results'!$A$79:$CM$90,63+$A$77,FALSE)*((cubicm/gal)*(day/yr))</f>
        <v>0.51391241068635996</v>
      </c>
      <c r="J103">
        <f>VLOOKUP(H94,'8. Uncertainty Results'!$A$79:$CM$90,64+$A$77,FALSE)*((cubicm/gal)*(day/yr))</f>
        <v>0.52404888591872567</v>
      </c>
      <c r="K103">
        <f>VLOOKUP(K94,'8. Uncertainty Results'!$A$79:$CM$90,62+$A$77,FALSE)*((cubicm/gal)*(day/yr))</f>
        <v>0.27958296426166629</v>
      </c>
      <c r="L103">
        <f>VLOOKUP(K94,'8. Uncertainty Results'!$A$79:$CM$90,63+$A$77,FALSE)*((cubicm/gal)*(day/yr))</f>
        <v>0.28553893501064276</v>
      </c>
      <c r="M103">
        <f>VLOOKUP(K94,'8. Uncertainty Results'!$A$79:$CM$90,64+$A$77,FALSE)*((cubicm/gal)*(day/yr))</f>
        <v>0.29111591558732502</v>
      </c>
      <c r="N103">
        <f>VLOOKUP(N94,'8. Uncertainty Results'!$A$79:$CM$90,62+$A$77,FALSE)*((cubicm/gal)*(day/yr))</f>
        <v>0.19690995524598037</v>
      </c>
      <c r="O103">
        <f>VLOOKUP(N94,'8. Uncertainty Results'!$A$79:$CM$90,63+$A$77,FALSE)*((cubicm/gal)*(day/yr))</f>
        <v>0.20105359435530995</v>
      </c>
      <c r="P103">
        <f>VLOOKUP(N94,'8. Uncertainty Results'!$A$79:$CM$90,64+$A$77,FALSE)*((cubicm/gal)*(day/yr))</f>
        <v>0.20503754181330683</v>
      </c>
      <c r="Q103">
        <f>VLOOKUP(Q94,'8. Uncertainty Results'!$A$79:$CM$90,62+$A$77,FALSE)*((cubicm/gal)*(day/yr))</f>
        <v>0.27966885477432596</v>
      </c>
      <c r="R103">
        <f>VLOOKUP(Q94,'8. Uncertainty Results'!$A$79:$CM$90,63+$A$77,FALSE)*((cubicm/gal)*(day/yr))</f>
        <v>0.28552949422515439</v>
      </c>
      <c r="S103">
        <f>VLOOKUP(Q94,'8. Uncertainty Results'!$A$79:$CM$90,64+$A$77,FALSE)*((cubicm/gal)*(day/yr))</f>
        <v>0.29111930540733283</v>
      </c>
      <c r="T103">
        <f>VLOOKUP(T94,'8. Uncertainty Results'!$A$79:$CM$90,62+$A$77,FALSE)*((cubicm/gal)*(day/yr))</f>
        <v>0.10148649021329414</v>
      </c>
      <c r="U103">
        <f>VLOOKUP(T94,'8. Uncertainty Results'!$A$79:$CM$90,63+$A$77,FALSE)*((cubicm/gal)*(day/yr))</f>
        <v>0.10195274594161054</v>
      </c>
      <c r="V103">
        <f>VLOOKUP(T94,'8. Uncertainty Results'!$A$79:$CM$90,64+$A$77,FALSE)*((cubicm/gal)*(day/yr))</f>
        <v>0.10238882731184154</v>
      </c>
      <c r="W103">
        <f>VLOOKUP(W94,'8. Uncertainty Results'!$A$79:$CM$90,62+$A$77,FALSE)*((cubicm/gal)*(day/yr))</f>
        <v>0.50307011752402286</v>
      </c>
      <c r="X103">
        <f>VLOOKUP(W94,'8. Uncertainty Results'!$A$79:$CM$90,63+$A$77,FALSE)*((cubicm/gal)*(day/yr))</f>
        <v>0.51397931984994616</v>
      </c>
      <c r="Y103">
        <f>VLOOKUP(W94,'8. Uncertainty Results'!$A$79:$CM$90,64+$A$77,FALSE)*((cubicm/gal)*(day/yr))</f>
        <v>0.52399282521968826</v>
      </c>
    </row>
    <row r="104" spans="1:25" x14ac:dyDescent="0.2">
      <c r="A104" t="s">
        <v>439</v>
      </c>
      <c r="B104">
        <f>VLOOKUP(B94,'8. Uncertainty Results'!$A$79:$CM$90,77+$A$77,FALSE)*((cubicm/gal)*(day/yr))</f>
        <v>0</v>
      </c>
      <c r="C104">
        <f>VLOOKUP(B94,'8. Uncertainty Results'!$A$79:$CM$90,78+$A$77,FALSE)*((cubicm/gal)*(day/yr))</f>
        <v>0</v>
      </c>
      <c r="D104">
        <f>VLOOKUP(B94,'8. Uncertainty Results'!$A$79:$CM$90,79+$A$77,FALSE)*((cubicm/gal)*(day/yr))</f>
        <v>0</v>
      </c>
      <c r="E104">
        <f>VLOOKUP(E94,'8. Uncertainty Results'!$A$79:$CM$90,77+$A$77,FALSE)*((cubicm/gal)*(day/yr))</f>
        <v>1.0375557664566448</v>
      </c>
      <c r="F104">
        <f>VLOOKUP(E94,'8. Uncertainty Results'!$A$79:$CM$90,78+$A$77,FALSE)*((cubicm/gal)*(day/yr))</f>
        <v>1.1367010507169582</v>
      </c>
      <c r="G104">
        <f>VLOOKUP(E94,'8. Uncertainty Results'!$A$79:$CM$90,79+$A$77,FALSE)*((cubicm/gal)*(day/yr))</f>
        <v>1.2341536231374297</v>
      </c>
      <c r="H104">
        <f>VLOOKUP(H94,'8. Uncertainty Results'!$A$79:$CM$90,77+$A$77,FALSE)*((cubicm/gal)*(day/yr))</f>
        <v>1.9203682938340039</v>
      </c>
      <c r="I104">
        <f>VLOOKUP(H94,'8. Uncertainty Results'!$A$79:$CM$90,78+$A$77,FALSE)*((cubicm/gal)*(day/yr))</f>
        <v>2.1044561693089507</v>
      </c>
      <c r="J104">
        <f>VLOOKUP(H94,'8. Uncertainty Results'!$A$79:$CM$90,79+$A$77,FALSE)*((cubicm/gal)*(day/yr))</f>
        <v>2.2862520417866135</v>
      </c>
      <c r="K104">
        <f>VLOOKUP(K94,'8. Uncertainty Results'!$A$79:$CM$90,77+$A$77,FALSE)*((cubicm/gal)*(day/yr))</f>
        <v>0</v>
      </c>
      <c r="L104">
        <f>VLOOKUP(K94,'8. Uncertainty Results'!$A$79:$CM$90,78+$A$77,FALSE)*((cubicm/gal)*(day/yr))</f>
        <v>0</v>
      </c>
      <c r="M104">
        <f>VLOOKUP(K94,'8. Uncertainty Results'!$A$79:$CM$90,79+$A$77,FALSE)*((cubicm/gal)*(day/yr))</f>
        <v>0</v>
      </c>
      <c r="N104">
        <f>VLOOKUP(N94,'8. Uncertainty Results'!$A$79:$CM$90,77+$A$77,FALSE)*((cubicm/gal)*(day/yr))</f>
        <v>0</v>
      </c>
      <c r="O104">
        <f>VLOOKUP(N94,'8. Uncertainty Results'!$A$79:$CM$90,78+$A$77,FALSE)*((cubicm/gal)*(day/yr))</f>
        <v>0</v>
      </c>
      <c r="P104">
        <f>VLOOKUP(N94,'8. Uncertainty Results'!$A$79:$CM$90,79+$A$77,FALSE)*((cubicm/gal)*(day/yr))</f>
        <v>0</v>
      </c>
      <c r="Q104">
        <f>VLOOKUP(Q94,'8. Uncertainty Results'!$A$79:$CM$90,77+$A$77,FALSE)*((cubicm/gal)*(day/yr))</f>
        <v>0</v>
      </c>
      <c r="R104">
        <f>VLOOKUP(Q94,'8. Uncertainty Results'!$A$79:$CM$90,78+$A$77,FALSE)*((cubicm/gal)*(day/yr))</f>
        <v>0</v>
      </c>
      <c r="S104">
        <f>VLOOKUP(Q94,'8. Uncertainty Results'!$A$79:$CM$90,79+$A$77,FALSE)*((cubicm/gal)*(day/yr))</f>
        <v>0</v>
      </c>
      <c r="T104">
        <f>VLOOKUP(T94,'8. Uncertainty Results'!$A$79:$CM$90,77+$A$77,FALSE)*((cubicm/gal)*(day/yr))</f>
        <v>0</v>
      </c>
      <c r="U104">
        <f>VLOOKUP(T94,'8. Uncertainty Results'!$A$79:$CM$90,78+$A$77,FALSE)*((cubicm/gal)*(day/yr))</f>
        <v>0</v>
      </c>
      <c r="V104">
        <f>VLOOKUP(T94,'8. Uncertainty Results'!$A$79:$CM$90,79+$A$77,FALSE)*((cubicm/gal)*(day/yr))</f>
        <v>0</v>
      </c>
      <c r="W104">
        <f>VLOOKUP(W94,'8. Uncertainty Results'!$A$79:$CM$90,77+$A$77,FALSE)*((cubicm/gal)*(day/yr))</f>
        <v>1.9250511167624205</v>
      </c>
      <c r="X104">
        <f>VLOOKUP(W94,'8. Uncertainty Results'!$A$79:$CM$90,78+$A$77,FALSE)*((cubicm/gal)*(day/yr))</f>
        <v>2.1066610029059798</v>
      </c>
      <c r="Y104">
        <f>VLOOKUP(W94,'8. Uncertainty Results'!$A$79:$CM$90,79+$A$77,FALSE)*((cubicm/gal)*(day/yr))</f>
        <v>2.2894642988944418</v>
      </c>
    </row>
    <row r="105" spans="1:25" x14ac:dyDescent="0.2">
      <c r="A105" t="s">
        <v>492</v>
      </c>
      <c r="B105">
        <f>VLOOKUP(B94,'8. Uncertainty Results'!$A$203:$D$215,2,FALSE)/1000000</f>
        <v>22.19928637592842</v>
      </c>
      <c r="C105">
        <f>VLOOKUP(B94,'8. Uncertainty Results'!$A$203:$D$215,3,FALSE)/1000000</f>
        <v>24.2754169819958</v>
      </c>
      <c r="D105">
        <f>VLOOKUP(B94,'8. Uncertainty Results'!$A$203:$D$215,4,FALSE)/1000000</f>
        <v>26.300815250844281</v>
      </c>
      <c r="E105">
        <f>VLOOKUP(E94,'8. Uncertainty Results'!$A$203:$D$215,2,FALSE)/1000000</f>
        <v>30.329777237026992</v>
      </c>
      <c r="F105">
        <f>VLOOKUP(E94,'8. Uncertainty Results'!$A$203:$D$215,3,FALSE)/1000000</f>
        <v>34.810209497471384</v>
      </c>
      <c r="G105">
        <f>VLOOKUP(E94,'8. Uncertainty Results'!$A$203:$D$215,4,FALSE)/1000000</f>
        <v>39.804593895523155</v>
      </c>
      <c r="H105">
        <f>VLOOKUP(H94,'8. Uncertainty Results'!$A$203:$D$215,2,FALSE)/1000000</f>
        <v>0.36684257135850085</v>
      </c>
      <c r="I105">
        <f>VLOOKUP(H94,'8. Uncertainty Results'!$A$203:$D$215,3,FALSE)/1000000</f>
        <v>1.9272387365708405</v>
      </c>
      <c r="J105">
        <f>VLOOKUP(H94,'8. Uncertainty Results'!$A$203:$D$215,4,FALSE)/1000000</f>
        <v>9.7366119085476832</v>
      </c>
      <c r="K105">
        <f>VLOOKUP(K94,'8. Uncertainty Results'!$A$203:$D$215,2,FALSE)/1000000</f>
        <v>28.572915147869598</v>
      </c>
      <c r="L105">
        <f>VLOOKUP(K94,'8. Uncertainty Results'!$A$203:$D$215,3,FALSE)/1000000</f>
        <v>36.784589510791825</v>
      </c>
      <c r="M105">
        <f>VLOOKUP(K94,'8. Uncertainty Results'!$A$203:$D$215,4,FALSE)/1000000</f>
        <v>63.986855731934547</v>
      </c>
      <c r="N105">
        <f>VLOOKUP(N94,'8. Uncertainty Results'!$A$203:$D$215,2,FALSE)/1000000</f>
        <v>12.60217290105447</v>
      </c>
      <c r="O105">
        <f>VLOOKUP(N94,'8. Uncertainty Results'!$A$203:$D$215,3,FALSE)/1000000</f>
        <v>19.226978004610444</v>
      </c>
      <c r="P105">
        <f>VLOOKUP(N94,'8. Uncertainty Results'!$A$203:$D$215,4,FALSE)/1000000</f>
        <v>49.036167912910365</v>
      </c>
      <c r="Q105">
        <f>VLOOKUP(Q94,'8. Uncertainty Results'!$A$203:$D$215,2,FALSE)/1000000</f>
        <v>4.9234855062215894</v>
      </c>
      <c r="R105">
        <f>VLOOKUP(Q94,'8. Uncertainty Results'!$A$203:$D$215,3,FALSE)/1000000</f>
        <v>5.37106142092306</v>
      </c>
      <c r="S105">
        <f>VLOOKUP(Q94,'8. Uncertainty Results'!$A$203:$D$215,4,FALSE)/1000000</f>
        <v>5.8389653933930203</v>
      </c>
      <c r="T105">
        <f>VLOOKUP(T94,'8. Uncertainty Results'!$A$203:$D$215,2,FALSE)/1000000</f>
        <v>3.9079818470785299</v>
      </c>
      <c r="U105">
        <f>VLOOKUP(T94,'8. Uncertainty Results'!$A$203:$D$215,3,FALSE)/1000000</f>
        <v>4.2843021047777894</v>
      </c>
      <c r="V105">
        <f>VLOOKUP(T94,'8. Uncertainty Results'!$A$203:$D$215,4,FALSE)/1000000</f>
        <v>4.6474321803099699</v>
      </c>
      <c r="W105">
        <f>VLOOKUP(W94,'8. Uncertainty Results'!$A$203:$D$215,2,FALSE)/1000000</f>
        <v>0.23425673678805656</v>
      </c>
      <c r="X105">
        <f>VLOOKUP(W94,'8. Uncertainty Results'!$A$203:$D$215,3,FALSE)/1000000</f>
        <v>1.1548930353673985</v>
      </c>
      <c r="Y105">
        <f>VLOOKUP(W94,'8. Uncertainty Results'!$A$203:$D$215,4,FALSE)/1000000</f>
        <v>5.5129749020288967</v>
      </c>
    </row>
    <row r="107" spans="1:25" x14ac:dyDescent="0.2">
      <c r="A107" t="s">
        <v>563</v>
      </c>
      <c r="B107" s="474">
        <f>B94</f>
        <v>18100204</v>
      </c>
      <c r="C107" s="474"/>
      <c r="D107" s="474"/>
      <c r="E107" s="474">
        <f t="shared" ref="E107:E108" si="29">E94</f>
        <v>16040201</v>
      </c>
      <c r="F107" s="474"/>
      <c r="G107" s="474"/>
      <c r="H107" s="474">
        <f t="shared" ref="H107:H108" si="30">H94</f>
        <v>15030202</v>
      </c>
      <c r="I107" s="474"/>
      <c r="J107" s="474"/>
      <c r="K107" s="474">
        <f t="shared" ref="K107:K108" si="31">K94</f>
        <v>16060011</v>
      </c>
      <c r="L107" s="474"/>
      <c r="M107" s="474"/>
      <c r="N107" s="474">
        <f t="shared" ref="N107:N108" si="32">N94</f>
        <v>16060003</v>
      </c>
      <c r="O107" s="474"/>
      <c r="P107" s="474"/>
      <c r="Q107" s="474">
        <f t="shared" ref="Q107:Q108" si="33">Q94</f>
        <v>16060013</v>
      </c>
      <c r="R107" s="474"/>
      <c r="S107" s="474"/>
      <c r="T107" s="474">
        <f t="shared" ref="T107:T108" si="34">T94</f>
        <v>16060010</v>
      </c>
      <c r="U107" s="474"/>
      <c r="V107" s="474"/>
      <c r="W107" s="474">
        <f t="shared" ref="W107:W108" si="35">W94</f>
        <v>15030201</v>
      </c>
      <c r="X107" s="474"/>
      <c r="Y107" s="474"/>
    </row>
    <row r="108" spans="1:25" x14ac:dyDescent="0.2">
      <c r="B108" s="474" t="str">
        <f>B95</f>
        <v>SS</v>
      </c>
      <c r="C108" s="474"/>
      <c r="D108" s="474"/>
      <c r="E108" s="474" t="str">
        <f t="shared" si="29"/>
        <v>UQ</v>
      </c>
      <c r="F108" s="474"/>
      <c r="G108" s="474"/>
      <c r="H108" s="474" t="str">
        <f t="shared" si="30"/>
        <v>BUR</v>
      </c>
      <c r="I108" s="474"/>
      <c r="J108" s="474"/>
      <c r="K108" s="474" t="str">
        <f t="shared" si="31"/>
        <v>RSCV</v>
      </c>
      <c r="L108" s="474"/>
      <c r="M108" s="474"/>
      <c r="N108" s="474" t="str">
        <f t="shared" si="32"/>
        <v>SBSV</v>
      </c>
      <c r="O108" s="474"/>
      <c r="P108" s="474"/>
      <c r="Q108" s="474" t="str">
        <f t="shared" si="33"/>
        <v>CSF</v>
      </c>
      <c r="R108" s="474"/>
      <c r="S108" s="474"/>
      <c r="T108" s="474" t="str">
        <f t="shared" si="34"/>
        <v>FLSSV</v>
      </c>
      <c r="U108" s="474"/>
      <c r="V108" s="474"/>
      <c r="W108" s="474" t="str">
        <f t="shared" si="35"/>
        <v>BS</v>
      </c>
      <c r="X108" s="474"/>
      <c r="Y108" s="474"/>
    </row>
    <row r="109" spans="1:25" x14ac:dyDescent="0.2">
      <c r="B109" t="s">
        <v>440</v>
      </c>
      <c r="C109" t="s">
        <v>441</v>
      </c>
      <c r="D109" t="s">
        <v>442</v>
      </c>
      <c r="E109" t="s">
        <v>440</v>
      </c>
      <c r="F109" t="s">
        <v>441</v>
      </c>
      <c r="G109" t="s">
        <v>442</v>
      </c>
      <c r="H109" t="s">
        <v>440</v>
      </c>
      <c r="I109" t="s">
        <v>441</v>
      </c>
      <c r="J109" t="s">
        <v>442</v>
      </c>
      <c r="K109" t="s">
        <v>440</v>
      </c>
      <c r="L109" t="s">
        <v>441</v>
      </c>
      <c r="M109" t="s">
        <v>442</v>
      </c>
      <c r="N109" t="s">
        <v>440</v>
      </c>
      <c r="O109" t="s">
        <v>441</v>
      </c>
      <c r="P109" t="s">
        <v>442</v>
      </c>
      <c r="Q109" t="s">
        <v>440</v>
      </c>
      <c r="R109" t="s">
        <v>441</v>
      </c>
      <c r="S109" t="s">
        <v>442</v>
      </c>
      <c r="T109" t="s">
        <v>440</v>
      </c>
      <c r="U109" t="s">
        <v>441</v>
      </c>
      <c r="V109" t="s">
        <v>442</v>
      </c>
      <c r="W109" t="s">
        <v>440</v>
      </c>
      <c r="X109" t="s">
        <v>441</v>
      </c>
      <c r="Y109" t="s">
        <v>442</v>
      </c>
    </row>
    <row r="110" spans="1:25" x14ac:dyDescent="0.2">
      <c r="A110" t="s">
        <v>436</v>
      </c>
      <c r="B110">
        <f>VLOOKUP(B107,'8. Uncertainty Results'!$B$306:$E$318,2,FALSE)*(cubicm/gal)*(day/yr)</f>
        <v>641.97018163724317</v>
      </c>
      <c r="C110">
        <f>B110</f>
        <v>641.97018163724317</v>
      </c>
      <c r="D110">
        <f>B110</f>
        <v>641.97018163724317</v>
      </c>
      <c r="E110">
        <f>VLOOKUP(E107,'8. Uncertainty Results'!$B$306:$E$318,2,FALSE)*(cubicm/gal)*(day/yr)</f>
        <v>117.56239957200145</v>
      </c>
      <c r="F110">
        <f t="shared" ref="F110" si="36">E110</f>
        <v>117.56239957200145</v>
      </c>
      <c r="G110">
        <f t="shared" ref="G110:G111" si="37">E110</f>
        <v>117.56239957200145</v>
      </c>
      <c r="H110">
        <f>VLOOKUP(H107,'8. Uncertainty Results'!$B$306:$E$318,2,FALSE)*(cubicm/gal)*(day/yr)</f>
        <v>47.498843620536988</v>
      </c>
      <c r="I110">
        <f t="shared" ref="I110" si="38">H110</f>
        <v>47.498843620536988</v>
      </c>
      <c r="J110">
        <f t="shared" ref="J110:J111" si="39">H110</f>
        <v>47.498843620536988</v>
      </c>
      <c r="K110">
        <f>VLOOKUP(K107,'8. Uncertainty Results'!$B$306:$E$318,2,FALSE)*(cubicm/gal)*(day/yr)</f>
        <v>42.408210336465608</v>
      </c>
      <c r="L110">
        <f t="shared" ref="L110" si="40">K110</f>
        <v>42.408210336465608</v>
      </c>
      <c r="M110">
        <f t="shared" ref="M110:M111" si="41">K110</f>
        <v>42.408210336465608</v>
      </c>
      <c r="N110">
        <f>VLOOKUP(N107,'8. Uncertainty Results'!$B$306:$E$318,2,FALSE)*(cubicm/gal)*(day/yr)</f>
        <v>22.33525955095925</v>
      </c>
      <c r="O110">
        <f t="shared" ref="O110" si="42">N110</f>
        <v>22.33525955095925</v>
      </c>
      <c r="P110">
        <f t="shared" ref="P110:P111" si="43">N110</f>
        <v>22.33525955095925</v>
      </c>
      <c r="Q110">
        <f>VLOOKUP(Q107,'8. Uncertainty Results'!$B$306:$E$318,2,FALSE)*(cubicm/gal)*(day/yr)</f>
        <v>29.817042393023154</v>
      </c>
      <c r="R110">
        <f t="shared" ref="R110" si="44">Q110</f>
        <v>29.817042393023154</v>
      </c>
      <c r="S110">
        <f t="shared" ref="S110:S111" si="45">Q110</f>
        <v>29.817042393023154</v>
      </c>
      <c r="T110">
        <f>VLOOKUP(T107,'8. Uncertainty Results'!$B$306:$E$318,2,FALSE)*(cubicm/gal)*(day/yr)</f>
        <v>45.31422124687375</v>
      </c>
      <c r="U110">
        <f t="shared" ref="U110" si="46">T110</f>
        <v>45.31422124687375</v>
      </c>
      <c r="V110">
        <f t="shared" ref="V110:V111" si="47">T110</f>
        <v>45.31422124687375</v>
      </c>
      <c r="W110">
        <f>VLOOKUP(W107,'8. Uncertainty Results'!$B$306:$E$318,2,FALSE)*(cubicm/gal)*(day/yr)</f>
        <v>92.818770171609202</v>
      </c>
      <c r="X110">
        <f t="shared" ref="X110" si="48">W110</f>
        <v>92.818770171609202</v>
      </c>
      <c r="Y110">
        <f t="shared" ref="Y110:Y111" si="49">W110</f>
        <v>92.818770171609202</v>
      </c>
    </row>
    <row r="111" spans="1:25" x14ac:dyDescent="0.2">
      <c r="A111" t="s">
        <v>437</v>
      </c>
      <c r="B111">
        <f>VLOOKUP(B107,'8. Uncertainty Results'!$B$306:$E$318,4,FALSE)*(cubicm/gal)*(day/yr)</f>
        <v>806.82411410647023</v>
      </c>
      <c r="C111">
        <f>B111</f>
        <v>806.82411410647023</v>
      </c>
      <c r="D111">
        <f>B111</f>
        <v>806.82411410647023</v>
      </c>
      <c r="E111">
        <f>VLOOKUP(E107,'8. Uncertainty Results'!$B$306:$E$318,4,FALSE)*(cubicm/gal)*(day/yr)</f>
        <v>338.31172411774259</v>
      </c>
      <c r="F111">
        <f t="shared" ref="F111" si="50">E111</f>
        <v>338.31172411774259</v>
      </c>
      <c r="G111">
        <f t="shared" si="37"/>
        <v>338.31172411774259</v>
      </c>
      <c r="H111">
        <f>VLOOKUP(H107,'8. Uncertainty Results'!$B$306:$E$318,4,FALSE)*(cubicm/gal)*(day/yr)</f>
        <v>145.74028952878135</v>
      </c>
      <c r="I111">
        <f t="shared" ref="I111" si="51">H111</f>
        <v>145.74028952878135</v>
      </c>
      <c r="J111">
        <f t="shared" si="39"/>
        <v>145.74028952878135</v>
      </c>
      <c r="K111">
        <f>VLOOKUP(K107,'8. Uncertainty Results'!$B$306:$E$318,4,FALSE)*(cubicm/gal)*(day/yr)</f>
        <v>71.517791844939339</v>
      </c>
      <c r="L111">
        <f t="shared" ref="L111" si="52">K111</f>
        <v>71.517791844939339</v>
      </c>
      <c r="M111">
        <f t="shared" si="41"/>
        <v>71.517791844939339</v>
      </c>
      <c r="N111">
        <f>VLOOKUP(N107,'8. Uncertainty Results'!$B$306:$E$318,4,FALSE)*(cubicm/gal)*(day/yr)</f>
        <v>80.364768327498041</v>
      </c>
      <c r="O111">
        <f t="shared" ref="O111" si="53">N111</f>
        <v>80.364768327498041</v>
      </c>
      <c r="P111">
        <f t="shared" si="43"/>
        <v>80.364768327498041</v>
      </c>
      <c r="Q111">
        <f>VLOOKUP(Q107,'8. Uncertainty Results'!$B$306:$E$318,4,FALSE)*(cubicm/gal)*(day/yr)</f>
        <v>83.152795100740022</v>
      </c>
      <c r="R111">
        <f t="shared" ref="R111" si="54">Q111</f>
        <v>83.152795100740022</v>
      </c>
      <c r="S111">
        <f t="shared" si="45"/>
        <v>83.152795100740022</v>
      </c>
      <c r="T111">
        <f>VLOOKUP(T107,'8. Uncertainty Results'!$B$306:$E$318,4,FALSE)*(cubicm/gal)*(day/yr)</f>
        <v>88.866039600108664</v>
      </c>
      <c r="U111">
        <f t="shared" ref="U111" si="55">T111</f>
        <v>88.866039600108664</v>
      </c>
      <c r="V111">
        <f t="shared" si="47"/>
        <v>88.866039600108664</v>
      </c>
      <c r="W111">
        <f>VLOOKUP(W107,'8. Uncertainty Results'!$B$306:$E$318,4,FALSE)*(cubicm/gal)*(day/yr)</f>
        <v>337.75051838075376</v>
      </c>
      <c r="X111">
        <f t="shared" ref="X111" si="56">W111</f>
        <v>337.75051838075376</v>
      </c>
      <c r="Y111">
        <f t="shared" si="49"/>
        <v>337.75051838075376</v>
      </c>
    </row>
    <row r="112" spans="1:25" x14ac:dyDescent="0.2">
      <c r="A112" t="s">
        <v>438</v>
      </c>
      <c r="B112">
        <f>VLOOKUP(B107,'8. Uncertainty Results'!$A$79:$CM$90,2+$A$77,FALSE)*((cubicm/gal)*(day/yr))/B120</f>
        <v>17.135351512932644</v>
      </c>
      <c r="C112">
        <f>VLOOKUP(B107,'8. Uncertainty Results'!$A$79:$CM$90,3+$A$77,FALSE)*((cubicm/gal)*(day/yr))/C120</f>
        <v>12.336523060190942</v>
      </c>
      <c r="D112">
        <f>VLOOKUP(B107,'8. Uncertainty Results'!$A$79:$CM$90,4+$A$77,FALSE)*((cubicm/gal)*(day/yr))/D120</f>
        <v>9.4466771697600684</v>
      </c>
      <c r="E112">
        <f>VLOOKUP(E107,'8. Uncertainty Results'!$A$79:$CM$90,2+$A$77,FALSE)*((cubicm/gal)*(day/yr))</f>
        <v>0</v>
      </c>
      <c r="F112">
        <f>VLOOKUP(E107,'8. Uncertainty Results'!$A$79:$CM$90,3+$A$77,FALSE)*((cubicm/gal)*(day/yr))</f>
        <v>0</v>
      </c>
      <c r="G112">
        <f>VLOOKUP(E107,'8. Uncertainty Results'!$A$79:$CM$90,4+$A$77,FALSE)*((cubicm/gal)*(day/yr))</f>
        <v>0</v>
      </c>
      <c r="H112">
        <f>VLOOKUP(H107,'8. Uncertainty Results'!$A$79:$CM$90,2+$A$77,FALSE)*((cubicm/gal)*(day/yr))</f>
        <v>27.145499840149458</v>
      </c>
      <c r="I112">
        <f>VLOOKUP(H107,'8. Uncertainty Results'!$A$79:$CM$90,3+$A$77,FALSE)*((cubicm/gal)*(day/yr))</f>
        <v>28.872525299326867</v>
      </c>
      <c r="J112">
        <f>VLOOKUP(H107,'8. Uncertainty Results'!$A$79:$CM$90,4+$A$77,FALSE)*((cubicm/gal)*(day/yr))</f>
        <v>30.438088575542576</v>
      </c>
      <c r="K112">
        <f>VLOOKUP(K107,'8. Uncertainty Results'!$A$79:$CM$90,2+$A$77,FALSE)*((cubicm/gal)*(day/yr))</f>
        <v>0.10888519363293563</v>
      </c>
      <c r="L112">
        <f>VLOOKUP(K107,'8. Uncertainty Results'!$A$79:$CM$90,3+$A$77,FALSE)*((cubicm/gal)*(day/yr))</f>
        <v>0.11575187290277032</v>
      </c>
      <c r="M112">
        <f>VLOOKUP(K107,'8. Uncertainty Results'!$A$79:$CM$90,4+$A$77,FALSE)*((cubicm/gal)*(day/yr))</f>
        <v>0.1220669536832905</v>
      </c>
      <c r="N112">
        <f>VLOOKUP(N107,'8. Uncertainty Results'!$A$79:$CM$90,2+$A$77,FALSE)*((cubicm/gal)*(day/yr))</f>
        <v>7.2672880887580546E-2</v>
      </c>
      <c r="O112">
        <f>VLOOKUP(N107,'8. Uncertainty Results'!$A$79:$CM$90,3+$A$77,FALSE)*((cubicm/gal)*(day/yr))</f>
        <v>7.724563880397417E-2</v>
      </c>
      <c r="P112">
        <f>VLOOKUP(N107,'8. Uncertainty Results'!$A$79:$CM$90,4+$A$77,FALSE)*((cubicm/gal)*(day/yr))</f>
        <v>8.1431038411958853E-2</v>
      </c>
      <c r="Q112">
        <f>VLOOKUP(Q107,'8. Uncertainty Results'!$A$79:$CM$90,2+$A$77,FALSE)*((cubicm/gal)*(day/yr))</f>
        <v>0.10894993350310143</v>
      </c>
      <c r="R112">
        <f>VLOOKUP(Q107,'8. Uncertainty Results'!$A$79:$CM$90,3+$A$77,FALSE)*((cubicm/gal)*(day/yr))</f>
        <v>0.11585063536722986</v>
      </c>
      <c r="S112">
        <f>VLOOKUP(Q107,'8. Uncertainty Results'!$A$79:$CM$90,4+$A$77,FALSE)*((cubicm/gal)*(day/yr))</f>
        <v>0.1222260314533756</v>
      </c>
      <c r="T112">
        <f>VLOOKUP(T107,'8. Uncertainty Results'!$A$79:$CM$90,2+$A$77,FALSE)*((cubicm/gal)*(day/yr))</f>
        <v>17.818068527599813</v>
      </c>
      <c r="U112">
        <f>VLOOKUP(T107,'8. Uncertainty Results'!$A$79:$CM$90,3+$A$77,FALSE)*((cubicm/gal)*(day/yr))</f>
        <v>18.567475723229247</v>
      </c>
      <c r="V112">
        <f>VLOOKUP(T107,'8. Uncertainty Results'!$A$79:$CM$90,4+$A$77,FALSE)*((cubicm/gal)*(day/yr))</f>
        <v>19.232820692407664</v>
      </c>
      <c r="W112">
        <f>VLOOKUP(W107,'8. Uncertainty Results'!$A$79:$CM$90,2+$A$77,FALSE)*((cubicm/gal)*(day/yr))</f>
        <v>27.097855556172572</v>
      </c>
      <c r="X112">
        <f>VLOOKUP(W107,'8. Uncertainty Results'!$A$79:$CM$90,3+$A$77,FALSE)*((cubicm/gal)*(day/yr))</f>
        <v>28.861568481444323</v>
      </c>
      <c r="Y112">
        <f>VLOOKUP(W107,'8. Uncertainty Results'!$A$79:$CM$90,4+$A$77,FALSE)*((cubicm/gal)*(day/yr))</f>
        <v>30.449274924330453</v>
      </c>
    </row>
    <row r="113" spans="1:25" x14ac:dyDescent="0.2">
      <c r="A113" t="s">
        <v>400</v>
      </c>
      <c r="B113">
        <f>VLOOKUP(B107,'8. Uncertainty Results'!$A$79:$CM$90,17+$A$77,FALSE)*((cubicm/gal)*(day/yr))/B120</f>
        <v>30.87284270764172</v>
      </c>
      <c r="C113">
        <f>VLOOKUP(B107,'8. Uncertainty Results'!$A$79:$CM$90,18+$A$77+$A$77,FALSE)*((cubicm/gal)*(day/yr))/C120</f>
        <v>21.76213553021832</v>
      </c>
      <c r="D113">
        <f>VLOOKUP(B107,'8. Uncertainty Results'!$A$79:$CM$90,19+$A$77,FALSE)*((cubicm/gal)*(day/yr))/D120</f>
        <v>17.811801766434012</v>
      </c>
      <c r="E113">
        <f>VLOOKUP(E107,'8. Uncertainty Results'!$A$79:$CM$90,17+$A$77,FALSE)*((cubicm/gal)*(day/yr))</f>
        <v>4.301072182224468</v>
      </c>
      <c r="F113">
        <f>VLOOKUP(E107,'8. Uncertainty Results'!$A$79:$CM$90,18+$A$77,FALSE)*((cubicm/gal)*(day/yr))</f>
        <v>4.5010957880751805</v>
      </c>
      <c r="G113">
        <f>VLOOKUP(E107,'8. Uncertainty Results'!$A$79:$CM$90,19+$A$77,FALSE)*((cubicm/gal)*(day/yr))</f>
        <v>4.7099570676521028</v>
      </c>
      <c r="H113">
        <f>VLOOKUP(H107,'8. Uncertainty Results'!$A$79:$CM$90,17+$A$77,FALSE)*((cubicm/gal)*(day/yr))</f>
        <v>61.98461215616031</v>
      </c>
      <c r="I113">
        <f>VLOOKUP(H107,'8. Uncertainty Results'!$A$79:$CM$90,18+$A$77,FALSE)*((cubicm/gal)*(day/yr))</f>
        <v>66.719099191386135</v>
      </c>
      <c r="J113">
        <f>VLOOKUP(H107,'8. Uncertainty Results'!$A$79:$CM$90,19+$A$77,FALSE)*((cubicm/gal)*(day/yr))</f>
        <v>70.953469277001361</v>
      </c>
      <c r="K113">
        <f>VLOOKUP(K107,'8. Uncertainty Results'!$A$79:$CM$90,17+$A$77,FALSE)*((cubicm/gal)*(day/yr))</f>
        <v>8.8782665666460918</v>
      </c>
      <c r="L113">
        <f>VLOOKUP(K107,'8. Uncertainty Results'!$A$79:$CM$90,18+$A$77,FALSE)*((cubicm/gal)*(day/yr))</f>
        <v>9.71102156647102</v>
      </c>
      <c r="M113">
        <f>VLOOKUP(K107,'8. Uncertainty Results'!$A$79:$CM$90,19+$A$77,FALSE)*((cubicm/gal)*(day/yr))</f>
        <v>10.615418620579797</v>
      </c>
      <c r="N113">
        <f>VLOOKUP(N107,'8. Uncertainty Results'!$A$79:$CM$90,17+$A$77,FALSE)*((cubicm/gal)*(day/yr))</f>
        <v>6.1823945105850289</v>
      </c>
      <c r="O113">
        <f>VLOOKUP(N107,'8. Uncertainty Results'!$A$79:$CM$90,18+$A$77,FALSE)*((cubicm/gal)*(day/yr))</f>
        <v>6.7557566128711182</v>
      </c>
      <c r="P113">
        <f>VLOOKUP(N107,'8. Uncertainty Results'!$A$79:$CM$90,19+$A$77,FALSE)*((cubicm/gal)*(day/yr))</f>
        <v>7.3632037744790537</v>
      </c>
      <c r="Q113">
        <f>VLOOKUP(Q107,'8. Uncertainty Results'!$A$79:$CM$90,17+$A$77,FALSE)*((cubicm/gal)*(day/yr))</f>
        <v>8.8778776677600231</v>
      </c>
      <c r="R113">
        <f>VLOOKUP(Q107,'8. Uncertainty Results'!$A$79:$CM$90,18+$A$77,FALSE)*((cubicm/gal)*(day/yr))</f>
        <v>9.7170578833834931</v>
      </c>
      <c r="S113">
        <f>VLOOKUP(Q107,'8. Uncertainty Results'!$A$79:$CM$90,19+$A$77,FALSE)*((cubicm/gal)*(day/yr))</f>
        <v>10.609981251289575</v>
      </c>
      <c r="T113">
        <f>VLOOKUP(T107,'8. Uncertainty Results'!$A$79:$CM$90,17+$A$77,FALSE)*((cubicm/gal)*(day/yr))</f>
        <v>1.4061287897907417</v>
      </c>
      <c r="U113">
        <f>VLOOKUP(T107,'8. Uncertainty Results'!$A$79:$CM$90,18+$A$77,FALSE)*((cubicm/gal)*(day/yr))</f>
        <v>1.4956737104561832</v>
      </c>
      <c r="V113">
        <f>VLOOKUP(T107,'8. Uncertainty Results'!$A$79:$CM$90,19+$A$77,FALSE)*((cubicm/gal)*(day/yr))</f>
        <v>1.5784686228687792</v>
      </c>
      <c r="W113">
        <f>VLOOKUP(W107,'8. Uncertainty Results'!$A$79:$CM$90,17+$A$77,FALSE)*((cubicm/gal)*(day/yr))</f>
        <v>62.111855079516808</v>
      </c>
      <c r="X113">
        <f>VLOOKUP(W107,'8. Uncertainty Results'!$A$79:$CM$90,18+$A$77,FALSE)*((cubicm/gal)*(day/yr))</f>
        <v>66.666067636799838</v>
      </c>
      <c r="Y113">
        <f>VLOOKUP(W107,'8. Uncertainty Results'!$A$79:$CM$90,19+$A$77,FALSE)*((cubicm/gal)*(day/yr))</f>
        <v>70.901283631925295</v>
      </c>
    </row>
    <row r="114" spans="1:25" x14ac:dyDescent="0.2">
      <c r="A114" t="s">
        <v>401</v>
      </c>
      <c r="B114">
        <f>VLOOKUP(B107,'8. Uncertainty Results'!$A$79:$CM$90,32+$A$77,FALSE)*((cubicm/gal)*(day/yr))/B120</f>
        <v>0</v>
      </c>
      <c r="C114">
        <f>VLOOKUP(B107,'8. Uncertainty Results'!$A$79:$CM$90,33+$A$77,FALSE)*((cubicm/gal)*(day/yr))/C120</f>
        <v>0</v>
      </c>
      <c r="D114">
        <f>VLOOKUP(B107,'8. Uncertainty Results'!$A$79:$CM$90,34+$A$77,FALSE)*((cubicm/gal)*(day/yr))/D120</f>
        <v>0</v>
      </c>
      <c r="E114">
        <f>VLOOKUP(E107,'8. Uncertainty Results'!$A$79:$CM$90,32+$A$77,FALSE)*((cubicm/gal)*(day/yr))</f>
        <v>0</v>
      </c>
      <c r="F114">
        <f>VLOOKUP(E107,'8. Uncertainty Results'!$A$79:$CM$90,33+$A$77,FALSE)*((cubicm/gal)*(day/yr))</f>
        <v>0</v>
      </c>
      <c r="G114">
        <f>VLOOKUP(E107,'8. Uncertainty Results'!$A$79:$CM$90,34+$A$77,FALSE)*((cubicm/gal)*(day/yr))</f>
        <v>0</v>
      </c>
      <c r="H114">
        <f>VLOOKUP(H107,'8. Uncertainty Results'!$A$79:$CM$90,32+$A$77,FALSE)*((cubicm/gal)*(day/yr))</f>
        <v>0</v>
      </c>
      <c r="I114">
        <f>VLOOKUP(H107,'8. Uncertainty Results'!$A$79:$CM$90,33+$A$77,FALSE)*((cubicm/gal)*(day/yr))</f>
        <v>0</v>
      </c>
      <c r="J114">
        <f>VLOOKUP(H107,'8. Uncertainty Results'!$A$79:$CM$90,34+$A$77,FALSE)*((cubicm/gal)*(day/yr))</f>
        <v>0</v>
      </c>
      <c r="K114">
        <f>VLOOKUP(K107,'8. Uncertainty Results'!$A$79:$CM$90,32+$A$77,FALSE)*((cubicm/gal)*(day/yr))</f>
        <v>0</v>
      </c>
      <c r="L114">
        <f>VLOOKUP(K107,'8. Uncertainty Results'!$A$79:$CM$90,33+$A$77,FALSE)*((cubicm/gal)*(day/yr))</f>
        <v>0</v>
      </c>
      <c r="M114">
        <f>VLOOKUP(K107,'8. Uncertainty Results'!$A$79:$CM$90,34+$A$77,FALSE)*((cubicm/gal)*(day/yr))</f>
        <v>0</v>
      </c>
      <c r="N114">
        <f>VLOOKUP(N107,'8. Uncertainty Results'!$A$79:$CM$90,32+$A$77,FALSE)*((cubicm/gal)*(day/yr))</f>
        <v>0</v>
      </c>
      <c r="O114">
        <f>VLOOKUP(N107,'8. Uncertainty Results'!$A$79:$CM$90,33+$A$77,FALSE)*((cubicm/gal)*(day/yr))</f>
        <v>0</v>
      </c>
      <c r="P114">
        <f>VLOOKUP(N107,'8. Uncertainty Results'!$A$79:$CM$90,34+$A$77,FALSE)*((cubicm/gal)*(day/yr))</f>
        <v>0</v>
      </c>
      <c r="Q114">
        <f>VLOOKUP(Q107,'8. Uncertainty Results'!$A$79:$CM$90,32+$A$77,FALSE)*((cubicm/gal)*(day/yr))</f>
        <v>0</v>
      </c>
      <c r="R114">
        <f>VLOOKUP(Q107,'8. Uncertainty Results'!$A$79:$CM$90,33+$A$77,FALSE)*((cubicm/gal)*(day/yr))</f>
        <v>0</v>
      </c>
      <c r="S114">
        <f>VLOOKUP(Q107,'8. Uncertainty Results'!$A$79:$CM$90,34+$A$77,FALSE)*((cubicm/gal)*(day/yr))</f>
        <v>0</v>
      </c>
      <c r="T114">
        <f>VLOOKUP(T107,'8. Uncertainty Results'!$A$79:$CM$90,32+$A$77,FALSE)*((cubicm/gal)*(day/yr))</f>
        <v>0</v>
      </c>
      <c r="U114">
        <f>VLOOKUP(T107,'8. Uncertainty Results'!$A$79:$CM$90,33+$A$77,FALSE)*((cubicm/gal)*(day/yr))</f>
        <v>0</v>
      </c>
      <c r="V114">
        <f>VLOOKUP(T107,'8. Uncertainty Results'!$A$79:$CM$90,34+$A$77,FALSE)*((cubicm/gal)*(day/yr))</f>
        <v>0</v>
      </c>
      <c r="W114">
        <f>VLOOKUP(W107,'8. Uncertainty Results'!$A$79:$CM$90,32+$A$77,FALSE)*((cubicm/gal)*(day/yr))</f>
        <v>0</v>
      </c>
      <c r="X114">
        <f>VLOOKUP(W107,'8. Uncertainty Results'!$A$79:$CM$90,33+$A$77,FALSE)*((cubicm/gal)*(day/yr))</f>
        <v>0</v>
      </c>
      <c r="Y114">
        <f>VLOOKUP(W107,'8. Uncertainty Results'!$A$79:$CM$90,34+$A$77,FALSE)*((cubicm/gal)*(day/yr))</f>
        <v>0</v>
      </c>
    </row>
    <row r="115" spans="1:25" x14ac:dyDescent="0.2">
      <c r="A115" t="s">
        <v>402</v>
      </c>
      <c r="B115">
        <f>VLOOKUP(B107,'8. Uncertainty Results'!$A$79:$CM$91,47+$A$77,FALSE)*((cubicm/gal)*(day/yr))-100</f>
        <v>1376.2965917011556</v>
      </c>
      <c r="C115">
        <f>VLOOKUP(B107,'8. Uncertainty Results'!$A$79:$CM$91,48+$A$77,FALSE)*((cubicm/gal)*(day/yr))-900</f>
        <v>1624.5139727911533</v>
      </c>
      <c r="D115">
        <f>VLOOKUP(B107,'8. Uncertainty Results'!$A$79:$CM$91,49+$A$77,FALSE)*((cubicm/gal)*(day/yr))-2100</f>
        <v>1904.9919426698566</v>
      </c>
      <c r="E115">
        <f>VLOOKUP(E107,'8. Uncertainty Results'!$A$79:$CM$90,47+$A$77,FALSE)*((cubicm/gal)*(day/yr))</f>
        <v>578.70821252149449</v>
      </c>
      <c r="F115">
        <f>VLOOKUP(E107,'8. Uncertainty Results'!$A$79:$CM$90,48+$A$77,FALSE)*((cubicm/gal)*(day/yr))</f>
        <v>783.81643771943743</v>
      </c>
      <c r="G115">
        <f>VLOOKUP(E107,'8. Uncertainty Results'!$A$79:$CM$90,49+$A$77,FALSE)*((cubicm/gal)*(day/yr))</f>
        <v>1015.8687550960767</v>
      </c>
      <c r="H115">
        <f>VLOOKUP(H107,'8. Uncertainty Results'!$A$79:$CM$90,47+$A$77,FALSE)*((cubicm/gal)*(day/yr))</f>
        <v>56.827508963210114</v>
      </c>
      <c r="I115">
        <f>VLOOKUP(H107,'8. Uncertainty Results'!$A$79:$CM$90,48+$A$77,FALSE)*((cubicm/gal)*(day/yr))</f>
        <v>88.177352322230803</v>
      </c>
      <c r="J115">
        <f>VLOOKUP(H107,'8. Uncertainty Results'!$A$79:$CM$90,49+$A$77,FALSE)*((cubicm/gal)*(day/yr))</f>
        <v>135.51688180730392</v>
      </c>
      <c r="K115">
        <f>VLOOKUP(K107,'8. Uncertainty Results'!$A$79:$CM$90,47+$A$77,FALSE)*((cubicm/gal)*(day/yr))</f>
        <v>70.561358776900022</v>
      </c>
      <c r="L115">
        <f>VLOOKUP(K107,'8. Uncertainty Results'!$A$79:$CM$90,48+$A$77,FALSE)*((cubicm/gal)*(day/yr))</f>
        <v>103.40807039080833</v>
      </c>
      <c r="M115">
        <f>VLOOKUP(K107,'8. Uncertainty Results'!$A$79:$CM$90,49+$A$77,FALSE)*((cubicm/gal)*(day/yr))</f>
        <v>146.44419730215481</v>
      </c>
      <c r="N115">
        <f>VLOOKUP(N107,'8. Uncertainty Results'!$A$79:$CM$90,47+$A$77,FALSE)*((cubicm/gal)*(day/yr))</f>
        <v>52.203165348925367</v>
      </c>
      <c r="O115">
        <f>VLOOKUP(N107,'8. Uncertainty Results'!$A$79:$CM$90,48+$A$77,FALSE)*((cubicm/gal)*(day/yr))</f>
        <v>77.637114650599884</v>
      </c>
      <c r="P115">
        <f>VLOOKUP(N107,'8. Uncertainty Results'!$A$79:$CM$90,49+$A$77,FALSE)*((cubicm/gal)*(day/yr))</f>
        <v>109.65763965161183</v>
      </c>
      <c r="Q115">
        <f>VLOOKUP(Q107,'8. Uncertainty Results'!$A$79:$CM$90,47+$A$77,FALSE)*((cubicm/gal)*(day/yr))</f>
        <v>70.039380560396879</v>
      </c>
      <c r="R115">
        <f>VLOOKUP(Q107,'8. Uncertainty Results'!$A$79:$CM$90,48+$A$77,FALSE)*((cubicm/gal)*(day/yr))</f>
        <v>103.63687559566843</v>
      </c>
      <c r="S115">
        <f>VLOOKUP(Q107,'8. Uncertainty Results'!$A$79:$CM$90,49+$A$77,FALSE)*((cubicm/gal)*(day/yr))</f>
        <v>146.10019551057297</v>
      </c>
      <c r="T115">
        <f>VLOOKUP(T107,'8. Uncertainty Results'!$A$79:$CM$90,47+$A$77,FALSE)*((cubicm/gal)*(day/yr))</f>
        <v>58.240132568258829</v>
      </c>
      <c r="U115">
        <f>VLOOKUP(T107,'8. Uncertainty Results'!$A$79:$CM$90,48+$A$77,FALSE)*((cubicm/gal)*(day/yr))</f>
        <v>93.539525553843262</v>
      </c>
      <c r="V115">
        <f>VLOOKUP(T107,'8. Uncertainty Results'!$A$79:$CM$90,49+$A$77,FALSE)*((cubicm/gal)*(day/yr))</f>
        <v>135.10485474650574</v>
      </c>
      <c r="W115">
        <f>VLOOKUP(W107,'8. Uncertainty Results'!$A$79:$CM$90,47+$A$77,FALSE)*((cubicm/gal)*(day/yr))</f>
        <v>56.900173257308431</v>
      </c>
      <c r="X115">
        <f>VLOOKUP(W107,'8. Uncertainty Results'!$A$79:$CM$90,48+$A$77,FALSE)*((cubicm/gal)*(day/yr))</f>
        <v>88.296243964474385</v>
      </c>
      <c r="Y115">
        <f>VLOOKUP(W107,'8. Uncertainty Results'!$A$79:$CM$90,49+$A$77,FALSE)*((cubicm/gal)*(day/yr))</f>
        <v>134.86828400893265</v>
      </c>
    </row>
    <row r="116" spans="1:25" x14ac:dyDescent="0.2">
      <c r="A116" t="s">
        <v>403</v>
      </c>
      <c r="B116">
        <f>VLOOKUP(B107,'8. Uncertainty Results'!$A$79:$CM$90,62+$A$77,FALSE)*((cubicm/gal)*(day/yr))/B120</f>
        <v>4.6813799938871918</v>
      </c>
      <c r="C116">
        <f>VLOOKUP(B107,'8. Uncertainty Results'!$A$79:$CM$90,63+$A$77,FALSE)*((cubicm/gal)*(day/yr))/C120</f>
        <v>3.2376203076376848</v>
      </c>
      <c r="D116">
        <f>VLOOKUP(B107,'8. Uncertainty Results'!$A$79:$CM$90,64+$A$77,FALSE)*((cubicm/gal)*(day/yr))/D120</f>
        <v>2.3968298548274296</v>
      </c>
      <c r="E116">
        <f>VLOOKUP(E107,'8. Uncertainty Results'!$A$79:$CM$90,62+$A$77,FALSE)*((cubicm/gal)*(day/yr))</f>
        <v>1.0730525979670851</v>
      </c>
      <c r="F116">
        <f>VLOOKUP(E107,'8. Uncertainty Results'!$A$79:$CM$90,63+$A$77,FALSE)*((cubicm/gal)*(day/yr))</f>
        <v>1.0846455527520815</v>
      </c>
      <c r="G116">
        <f>VLOOKUP(E107,'8. Uncertainty Results'!$A$79:$CM$90,64+$A$77,FALSE)*((cubicm/gal)*(day/yr))</f>
        <v>1.0954772219359026</v>
      </c>
      <c r="H116">
        <f>VLOOKUP(H107,'8. Uncertainty Results'!$A$79:$CM$90,62+$A$77,FALSE)*((cubicm/gal)*(day/yr))</f>
        <v>0.50306335294700255</v>
      </c>
      <c r="I116">
        <f>VLOOKUP(H107,'8. Uncertainty Results'!$A$79:$CM$90,63+$A$77,FALSE)*((cubicm/gal)*(day/yr))</f>
        <v>0.51391241068635996</v>
      </c>
      <c r="J116">
        <f>VLOOKUP(H107,'8. Uncertainty Results'!$A$79:$CM$90,64+$A$77,FALSE)*((cubicm/gal)*(day/yr))</f>
        <v>0.52404888591872567</v>
      </c>
      <c r="K116">
        <f>VLOOKUP(K107,'8. Uncertainty Results'!$A$79:$CM$90,62+$A$77,FALSE)*((cubicm/gal)*(day/yr))</f>
        <v>0.27958296426166629</v>
      </c>
      <c r="L116">
        <f>VLOOKUP(K107,'8. Uncertainty Results'!$A$79:$CM$90,63+$A$77,FALSE)*((cubicm/gal)*(day/yr))</f>
        <v>0.28553893501064276</v>
      </c>
      <c r="M116">
        <f>VLOOKUP(K107,'8. Uncertainty Results'!$A$79:$CM$90,64+$A$77,FALSE)*((cubicm/gal)*(day/yr))</f>
        <v>0.29111591558732502</v>
      </c>
      <c r="N116">
        <f>VLOOKUP(N107,'8. Uncertainty Results'!$A$79:$CM$90,62+$A$77,FALSE)*((cubicm/gal)*(day/yr))</f>
        <v>0.19690995524598037</v>
      </c>
      <c r="O116">
        <f>VLOOKUP(N107,'8. Uncertainty Results'!$A$79:$CM$90,63+$A$77,FALSE)*((cubicm/gal)*(day/yr))</f>
        <v>0.20105359435530995</v>
      </c>
      <c r="P116">
        <f>VLOOKUP(N107,'8. Uncertainty Results'!$A$79:$CM$90,64+$A$77,FALSE)*((cubicm/gal)*(day/yr))</f>
        <v>0.20503754181330683</v>
      </c>
      <c r="Q116">
        <f>VLOOKUP(Q107,'8. Uncertainty Results'!$A$79:$CM$90,62+$A$77,FALSE)*((cubicm/gal)*(day/yr))</f>
        <v>0.27966885477432596</v>
      </c>
      <c r="R116">
        <f>VLOOKUP(Q107,'8. Uncertainty Results'!$A$79:$CM$90,63+$A$77,FALSE)*((cubicm/gal)*(day/yr))</f>
        <v>0.28552949422515439</v>
      </c>
      <c r="S116">
        <f>VLOOKUP(Q107,'8. Uncertainty Results'!$A$79:$CM$90,64+$A$77,FALSE)*((cubicm/gal)*(day/yr))</f>
        <v>0.29111930540733283</v>
      </c>
      <c r="T116">
        <f>VLOOKUP(T107,'8. Uncertainty Results'!$A$79:$CM$90,62+$A$77,FALSE)*((cubicm/gal)*(day/yr))</f>
        <v>0.10148649021329414</v>
      </c>
      <c r="U116">
        <f>VLOOKUP(T107,'8. Uncertainty Results'!$A$79:$CM$90,63+$A$77,FALSE)*((cubicm/gal)*(day/yr))</f>
        <v>0.10195274594161054</v>
      </c>
      <c r="V116">
        <f>VLOOKUP(T107,'8. Uncertainty Results'!$A$79:$CM$90,64+$A$77,FALSE)*((cubicm/gal)*(day/yr))</f>
        <v>0.10238882731184154</v>
      </c>
      <c r="W116">
        <f>VLOOKUP(W107,'8. Uncertainty Results'!$A$79:$CM$90,62+$A$77,FALSE)*((cubicm/gal)*(day/yr))</f>
        <v>0.50307011752402286</v>
      </c>
      <c r="X116">
        <f>VLOOKUP(W107,'8. Uncertainty Results'!$A$79:$CM$90,63+$A$77,FALSE)*((cubicm/gal)*(day/yr))</f>
        <v>0.51397931984994616</v>
      </c>
      <c r="Y116">
        <f>VLOOKUP(W107,'8. Uncertainty Results'!$A$79:$CM$90,64+$A$77,FALSE)*((cubicm/gal)*(day/yr))</f>
        <v>0.52399282521968826</v>
      </c>
    </row>
    <row r="117" spans="1:25" x14ac:dyDescent="0.2">
      <c r="A117" t="s">
        <v>439</v>
      </c>
      <c r="B117">
        <f>VLOOKUP(B107,'8. Uncertainty Results'!$A$79:$CM$90,77+$A$77,FALSE)*((cubicm/gal)*(day/yr))/B120</f>
        <v>0</v>
      </c>
      <c r="C117">
        <f>VLOOKUP(B107,'8. Uncertainty Results'!$A$79:$CM$90,78+$A$77,FALSE)*((cubicm/gal)*(day/yr))/C120</f>
        <v>0</v>
      </c>
      <c r="D117">
        <f>VLOOKUP(B107,'8. Uncertainty Results'!$A$79:$CM$90,79+$A$77,FALSE)*((cubicm/gal)*(day/yr))/D120</f>
        <v>0</v>
      </c>
      <c r="E117">
        <f>VLOOKUP(E107,'8. Uncertainty Results'!$A$79:$CM$90,77+$A$77,FALSE)*((cubicm/gal)*(day/yr))</f>
        <v>1.0375557664566448</v>
      </c>
      <c r="F117">
        <f>VLOOKUP(E107,'8. Uncertainty Results'!$A$79:$CM$90,78+$A$77,FALSE)*((cubicm/gal)*(day/yr))</f>
        <v>1.1367010507169582</v>
      </c>
      <c r="G117">
        <f>VLOOKUP(E107,'8. Uncertainty Results'!$A$79:$CM$90,79+$A$77,FALSE)*((cubicm/gal)*(day/yr))</f>
        <v>1.2341536231374297</v>
      </c>
      <c r="H117">
        <f>VLOOKUP(H107,'8. Uncertainty Results'!$A$79:$CM$90,77+$A$77,FALSE)*((cubicm/gal)*(day/yr))</f>
        <v>1.9203682938340039</v>
      </c>
      <c r="I117">
        <f>VLOOKUP(H107,'8. Uncertainty Results'!$A$79:$CM$90,78+$A$77,FALSE)*((cubicm/gal)*(day/yr))</f>
        <v>2.1044561693089507</v>
      </c>
      <c r="J117">
        <f>VLOOKUP(H107,'8. Uncertainty Results'!$A$79:$CM$90,79+$A$77,FALSE)*((cubicm/gal)*(day/yr))</f>
        <v>2.2862520417866135</v>
      </c>
      <c r="K117">
        <f>VLOOKUP(K107,'8. Uncertainty Results'!$A$79:$CM$90,77+$A$77,FALSE)*((cubicm/gal)*(day/yr))</f>
        <v>0</v>
      </c>
      <c r="L117">
        <f>VLOOKUP(K107,'8. Uncertainty Results'!$A$79:$CM$90,78+$A$77,FALSE)*((cubicm/gal)*(day/yr))</f>
        <v>0</v>
      </c>
      <c r="M117">
        <f>VLOOKUP(K107,'8. Uncertainty Results'!$A$79:$CM$90,79+$A$77,FALSE)*((cubicm/gal)*(day/yr))</f>
        <v>0</v>
      </c>
      <c r="N117">
        <f>VLOOKUP(N107,'8. Uncertainty Results'!$A$79:$CM$90,77+$A$77,FALSE)*((cubicm/gal)*(day/yr))</f>
        <v>0</v>
      </c>
      <c r="O117">
        <f>VLOOKUP(N107,'8. Uncertainty Results'!$A$79:$CM$90,78+$A$77,FALSE)*((cubicm/gal)*(day/yr))</f>
        <v>0</v>
      </c>
      <c r="P117">
        <f>VLOOKUP(N107,'8. Uncertainty Results'!$A$79:$CM$90,79+$A$77,FALSE)*((cubicm/gal)*(day/yr))</f>
        <v>0</v>
      </c>
      <c r="Q117">
        <f>VLOOKUP(Q107,'8. Uncertainty Results'!$A$79:$CM$90,77+$A$77,FALSE)*((cubicm/gal)*(day/yr))</f>
        <v>0</v>
      </c>
      <c r="R117">
        <f>VLOOKUP(Q107,'8. Uncertainty Results'!$A$79:$CM$90,78+$A$77,FALSE)*((cubicm/gal)*(day/yr))</f>
        <v>0</v>
      </c>
      <c r="S117">
        <f>VLOOKUP(Q107,'8. Uncertainty Results'!$A$79:$CM$90,79+$A$77,FALSE)*((cubicm/gal)*(day/yr))</f>
        <v>0</v>
      </c>
      <c r="T117">
        <f>VLOOKUP(T107,'8. Uncertainty Results'!$A$79:$CM$90,77+$A$77,FALSE)*((cubicm/gal)*(day/yr))</f>
        <v>0</v>
      </c>
      <c r="U117">
        <f>VLOOKUP(T107,'8. Uncertainty Results'!$A$79:$CM$90,78+$A$77,FALSE)*((cubicm/gal)*(day/yr))</f>
        <v>0</v>
      </c>
      <c r="V117">
        <f>VLOOKUP(T107,'8. Uncertainty Results'!$A$79:$CM$90,79+$A$77,FALSE)*((cubicm/gal)*(day/yr))</f>
        <v>0</v>
      </c>
      <c r="W117">
        <f>VLOOKUP(W107,'8. Uncertainty Results'!$A$79:$CM$90,77+$A$77,FALSE)*((cubicm/gal)*(day/yr))</f>
        <v>1.9250511167624205</v>
      </c>
      <c r="X117">
        <f>VLOOKUP(W107,'8. Uncertainty Results'!$A$79:$CM$90,78+$A$77,FALSE)*((cubicm/gal)*(day/yr))</f>
        <v>2.1066610029059798</v>
      </c>
      <c r="Y117">
        <f>VLOOKUP(W107,'8. Uncertainty Results'!$A$79:$CM$90,79+$A$77,FALSE)*((cubicm/gal)*(day/yr))</f>
        <v>2.2894642988944418</v>
      </c>
    </row>
    <row r="118" spans="1:25" x14ac:dyDescent="0.2">
      <c r="A118" t="s">
        <v>492</v>
      </c>
      <c r="B118">
        <f>VLOOKUP(B107,'8. Uncertainty Results'!$A$203:$D$215,2,FALSE)/1000000/B120</f>
        <v>20.695571844531454</v>
      </c>
      <c r="C118">
        <f>VLOOKUP(B107,'8. Uncertainty Results'!$A$203:$D$215,3,FALSE)/1000000/C120</f>
        <v>15.621127277415249</v>
      </c>
      <c r="D118">
        <f>VLOOKUP(B107,'8. Uncertainty Results'!$A$203:$D$215,4,FALSE)/1000000/D120</f>
        <v>12.510097861796615</v>
      </c>
      <c r="E118">
        <f>VLOOKUP(E107,'8. Uncertainty Results'!$A$203:$D$215,2,FALSE)/1000000</f>
        <v>30.329777237026992</v>
      </c>
      <c r="F118">
        <f>VLOOKUP(E107,'8. Uncertainty Results'!$A$203:$D$215,3,FALSE)/1000000</f>
        <v>34.810209497471384</v>
      </c>
      <c r="G118">
        <f>VLOOKUP(E107,'8. Uncertainty Results'!$A$203:$D$215,4,FALSE)/1000000</f>
        <v>39.804593895523155</v>
      </c>
      <c r="H118">
        <f>VLOOKUP(H107,'8. Uncertainty Results'!$A$203:$D$215,2,FALSE)/1000000</f>
        <v>0.36684257135850085</v>
      </c>
      <c r="I118">
        <f>VLOOKUP(H107,'8. Uncertainty Results'!$A$203:$D$215,3,FALSE)/1000000</f>
        <v>1.9272387365708405</v>
      </c>
      <c r="J118">
        <f>VLOOKUP(H107,'8. Uncertainty Results'!$A$203:$D$215,4,FALSE)/1000000</f>
        <v>9.7366119085476832</v>
      </c>
      <c r="K118">
        <f>VLOOKUP(K107,'8. Uncertainty Results'!$A$203:$D$215,2,FALSE)/1000000</f>
        <v>28.572915147869598</v>
      </c>
      <c r="L118">
        <f>VLOOKUP(K107,'8. Uncertainty Results'!$A$203:$D$215,3,FALSE)/1000000</f>
        <v>36.784589510791825</v>
      </c>
      <c r="M118">
        <f>VLOOKUP(K107,'8. Uncertainty Results'!$A$203:$D$215,4,FALSE)/1000000</f>
        <v>63.986855731934547</v>
      </c>
      <c r="N118">
        <f>VLOOKUP(N107,'8. Uncertainty Results'!$A$203:$D$215,2,FALSE)/1000000</f>
        <v>12.60217290105447</v>
      </c>
      <c r="O118">
        <f>VLOOKUP(N107,'8. Uncertainty Results'!$A$203:$D$215,3,FALSE)/1000000</f>
        <v>19.226978004610444</v>
      </c>
      <c r="P118">
        <f>VLOOKUP(N107,'8. Uncertainty Results'!$A$203:$D$215,4,FALSE)/1000000</f>
        <v>49.036167912910365</v>
      </c>
      <c r="Q118">
        <f>VLOOKUP(Q107,'8. Uncertainty Results'!$A$203:$D$215,2,FALSE)/1000000</f>
        <v>4.9234855062215894</v>
      </c>
      <c r="R118">
        <f>VLOOKUP(Q107,'8. Uncertainty Results'!$A$203:$D$215,3,FALSE)/1000000</f>
        <v>5.37106142092306</v>
      </c>
      <c r="S118">
        <f>VLOOKUP(Q107,'8. Uncertainty Results'!$A$203:$D$215,4,FALSE)/1000000</f>
        <v>5.8389653933930203</v>
      </c>
      <c r="T118">
        <f>VLOOKUP(T107,'8. Uncertainty Results'!$A$203:$D$215,2,FALSE)/1000000</f>
        <v>3.9079818470785299</v>
      </c>
      <c r="U118">
        <f>VLOOKUP(T107,'8. Uncertainty Results'!$A$203:$D$215,3,FALSE)/1000000</f>
        <v>4.2843021047777894</v>
      </c>
      <c r="V118">
        <f>VLOOKUP(T107,'8. Uncertainty Results'!$A$203:$D$215,4,FALSE)/1000000</f>
        <v>4.6474321803099699</v>
      </c>
      <c r="W118">
        <f>VLOOKUP(W107,'8. Uncertainty Results'!$A$203:$D$215,2,FALSE)/1000000</f>
        <v>0.23425673678805656</v>
      </c>
      <c r="X118">
        <f>VLOOKUP(W107,'8. Uncertainty Results'!$A$203:$D$215,3,FALSE)/1000000</f>
        <v>1.1548930353673985</v>
      </c>
      <c r="Y118">
        <f>VLOOKUP(W107,'8. Uncertainty Results'!$A$203:$D$215,4,FALSE)/1000000</f>
        <v>5.5129749020288967</v>
      </c>
    </row>
    <row r="119" spans="1:25" x14ac:dyDescent="0.2">
      <c r="B119">
        <f>SUM(B112:B118)*B120</f>
        <v>1555.0138112755153</v>
      </c>
      <c r="C119">
        <f>SUM(C112:C118)*C120</f>
        <v>2606.8104098128856</v>
      </c>
      <c r="D119">
        <f>SUM(D112:D118)*D120</f>
        <v>4093.6390965613627</v>
      </c>
    </row>
    <row r="120" spans="1:25" x14ac:dyDescent="0.2">
      <c r="A120" t="s">
        <v>564</v>
      </c>
      <c r="B120">
        <f>B102/B115</f>
        <v>1.0726587572787607</v>
      </c>
      <c r="C120">
        <f t="shared" ref="C120:D120" si="57">C102/C115</f>
        <v>1.5540118552835025</v>
      </c>
      <c r="D120">
        <f t="shared" si="57"/>
        <v>2.1023668672618312</v>
      </c>
    </row>
    <row r="123" spans="1:25" x14ac:dyDescent="0.2">
      <c r="A123" s="36" t="s">
        <v>565</v>
      </c>
      <c r="B123" s="481">
        <v>18100204</v>
      </c>
      <c r="C123" s="481"/>
      <c r="D123" s="481"/>
      <c r="E123" s="481">
        <v>16040201</v>
      </c>
      <c r="F123" s="481"/>
      <c r="G123" s="481"/>
      <c r="H123" s="481">
        <v>15030202</v>
      </c>
      <c r="I123" s="481"/>
      <c r="J123" s="481"/>
      <c r="K123" s="481">
        <v>16060011</v>
      </c>
      <c r="L123" s="481"/>
      <c r="M123" s="481"/>
      <c r="N123" s="481">
        <v>16060003</v>
      </c>
      <c r="O123" s="481"/>
      <c r="P123" s="481"/>
      <c r="Q123" s="481">
        <v>16060013</v>
      </c>
      <c r="R123" s="481"/>
      <c r="S123" s="481"/>
      <c r="T123" s="481">
        <v>16060010</v>
      </c>
      <c r="U123" s="481"/>
      <c r="V123" s="481"/>
      <c r="W123" s="481">
        <v>15030201</v>
      </c>
      <c r="X123" s="481"/>
      <c r="Y123" s="481"/>
    </row>
    <row r="124" spans="1:25" x14ac:dyDescent="0.2">
      <c r="A124" s="36"/>
      <c r="B124" s="481" t="s">
        <v>539</v>
      </c>
      <c r="C124" s="481"/>
      <c r="D124" s="481"/>
      <c r="E124" s="481" t="s">
        <v>417</v>
      </c>
      <c r="F124" s="481"/>
      <c r="G124" s="481"/>
      <c r="H124" s="481" t="s">
        <v>418</v>
      </c>
      <c r="I124" s="481"/>
      <c r="J124" s="481"/>
      <c r="K124" s="481" t="s">
        <v>419</v>
      </c>
      <c r="L124" s="481"/>
      <c r="M124" s="481"/>
      <c r="N124" s="481" t="s">
        <v>420</v>
      </c>
      <c r="O124" s="481"/>
      <c r="P124" s="481"/>
      <c r="Q124" s="481" t="s">
        <v>421</v>
      </c>
      <c r="R124" s="481"/>
      <c r="S124" s="481"/>
      <c r="T124" s="481" t="s">
        <v>422</v>
      </c>
      <c r="U124" s="481"/>
      <c r="V124" s="481"/>
      <c r="W124" s="481" t="s">
        <v>423</v>
      </c>
      <c r="X124" s="481"/>
      <c r="Y124" s="481"/>
    </row>
    <row r="125" spans="1:25" x14ac:dyDescent="0.2">
      <c r="A125" s="36"/>
      <c r="B125" s="36" t="s">
        <v>440</v>
      </c>
      <c r="C125" s="36" t="s">
        <v>441</v>
      </c>
      <c r="D125" s="36" t="s">
        <v>442</v>
      </c>
      <c r="E125" s="36" t="s">
        <v>440</v>
      </c>
      <c r="F125" s="36" t="s">
        <v>441</v>
      </c>
      <c r="G125" s="36" t="s">
        <v>442</v>
      </c>
      <c r="H125" s="36" t="s">
        <v>440</v>
      </c>
      <c r="I125" s="36" t="s">
        <v>441</v>
      </c>
      <c r="J125" s="36" t="s">
        <v>442</v>
      </c>
      <c r="K125" s="36" t="s">
        <v>440</v>
      </c>
      <c r="L125" s="36" t="s">
        <v>441</v>
      </c>
      <c r="M125" s="36" t="s">
        <v>442</v>
      </c>
      <c r="N125" s="36" t="s">
        <v>440</v>
      </c>
      <c r="O125" s="36" t="s">
        <v>441</v>
      </c>
      <c r="P125" s="36" t="s">
        <v>442</v>
      </c>
      <c r="Q125" s="36" t="s">
        <v>440</v>
      </c>
      <c r="R125" s="36" t="s">
        <v>441</v>
      </c>
      <c r="S125" s="36" t="s">
        <v>442</v>
      </c>
      <c r="T125" s="36" t="s">
        <v>440</v>
      </c>
      <c r="U125" s="36" t="s">
        <v>441</v>
      </c>
      <c r="V125" s="36" t="s">
        <v>442</v>
      </c>
      <c r="W125" s="36" t="s">
        <v>440</v>
      </c>
      <c r="X125" s="36" t="s">
        <v>441</v>
      </c>
      <c r="Y125" s="36" t="s">
        <v>442</v>
      </c>
    </row>
    <row r="126" spans="1:25" x14ac:dyDescent="0.2">
      <c r="A126" s="36" t="s">
        <v>436</v>
      </c>
      <c r="B126">
        <f>VLOOKUP(B123,'8. Uncertainty Results'!$B$377:$E$389,2,FALSE)*(cubicm/gal)*(day/yr)</f>
        <v>641.97018163724317</v>
      </c>
      <c r="C126">
        <f>B126</f>
        <v>641.97018163724317</v>
      </c>
      <c r="D126">
        <f>B126</f>
        <v>641.97018163724317</v>
      </c>
      <c r="E126">
        <f>VLOOKUP(E123,'8. Uncertainty Results'!$B$377:$E$389,2,FALSE)*(cubicm/gal)*(day/yr)</f>
        <v>117.56239957200145</v>
      </c>
      <c r="F126">
        <f>E126</f>
        <v>117.56239957200145</v>
      </c>
      <c r="G126">
        <f>E126</f>
        <v>117.56239957200145</v>
      </c>
      <c r="H126">
        <f>VLOOKUP(H123,'8. Uncertainty Results'!$B$377:$E$389,2,FALSE)*(cubicm/gal)*(day/yr)</f>
        <v>47.498843620536988</v>
      </c>
      <c r="I126">
        <f>H126</f>
        <v>47.498843620536988</v>
      </c>
      <c r="J126">
        <f>H126</f>
        <v>47.498843620536988</v>
      </c>
      <c r="K126">
        <f>VLOOKUP(K123,'8. Uncertainty Results'!$B$377:$E$389,2,FALSE)*(cubicm/gal)*(day/yr)</f>
        <v>42.408210336465608</v>
      </c>
      <c r="L126">
        <f>K126</f>
        <v>42.408210336465608</v>
      </c>
      <c r="M126">
        <f>K126</f>
        <v>42.408210336465608</v>
      </c>
      <c r="N126">
        <f>VLOOKUP(N123,'8. Uncertainty Results'!$B$377:$E$389,2,FALSE)*(cubicm/gal)*(day/yr)</f>
        <v>22.33525955095925</v>
      </c>
      <c r="O126">
        <f>N126</f>
        <v>22.33525955095925</v>
      </c>
      <c r="P126">
        <f>N126</f>
        <v>22.33525955095925</v>
      </c>
      <c r="Q126">
        <f>VLOOKUP(Q123,'8. Uncertainty Results'!$B$377:$E$389,2,FALSE)*(cubicm/gal)*(day/yr)</f>
        <v>29.817042393023154</v>
      </c>
      <c r="R126">
        <f>Q126</f>
        <v>29.817042393023154</v>
      </c>
      <c r="S126">
        <f>Q126</f>
        <v>29.817042393023154</v>
      </c>
      <c r="T126">
        <f>VLOOKUP(T123,'8. Uncertainty Results'!$B$377:$E$389,2,FALSE)*(cubicm/gal)*(day/yr)</f>
        <v>45.31422124687375</v>
      </c>
      <c r="U126">
        <f>T126</f>
        <v>45.31422124687375</v>
      </c>
      <c r="V126">
        <f>T126</f>
        <v>45.31422124687375</v>
      </c>
      <c r="W126">
        <f>VLOOKUP(W123,'8. Uncertainty Results'!$B$377:$E$389,2,FALSE)*(cubicm/gal)*(day/yr)</f>
        <v>92.818770171609202</v>
      </c>
      <c r="X126">
        <f>W126</f>
        <v>92.818770171609202</v>
      </c>
      <c r="Y126">
        <f>W126</f>
        <v>92.818770171609202</v>
      </c>
    </row>
    <row r="127" spans="1:25" x14ac:dyDescent="0.2">
      <c r="A127" s="36" t="s">
        <v>437</v>
      </c>
      <c r="B127">
        <f>VLOOKUP(B123,'8. Uncertainty Results'!$B$377:$E$389,4,FALSE)*(cubicm/gal)*(day/yr)</f>
        <v>806.82411410647023</v>
      </c>
      <c r="C127">
        <f>B127</f>
        <v>806.82411410647023</v>
      </c>
      <c r="D127">
        <f>B127</f>
        <v>806.82411410647023</v>
      </c>
      <c r="E127">
        <f>VLOOKUP(E123,'8. Uncertainty Results'!$B$377:$E$389,4,FALSE)*(cubicm/gal)*(day/yr)</f>
        <v>338.31172411774259</v>
      </c>
      <c r="F127">
        <f>E127</f>
        <v>338.31172411774259</v>
      </c>
      <c r="G127">
        <f>E127</f>
        <v>338.31172411774259</v>
      </c>
      <c r="H127">
        <f>VLOOKUP(H123,'8. Uncertainty Results'!$B$377:$E$389,4,FALSE)*(cubicm/gal)*(day/yr)</f>
        <v>145.74028952878135</v>
      </c>
      <c r="I127">
        <f>H127</f>
        <v>145.74028952878135</v>
      </c>
      <c r="J127">
        <f>H127</f>
        <v>145.74028952878135</v>
      </c>
      <c r="K127">
        <f>VLOOKUP(K123,'8. Uncertainty Results'!$B$377:$E$389,4,FALSE)*(cubicm/gal)*(day/yr)</f>
        <v>71.517791844939339</v>
      </c>
      <c r="L127">
        <f>K127</f>
        <v>71.517791844939339</v>
      </c>
      <c r="M127">
        <f>K127</f>
        <v>71.517791844939339</v>
      </c>
      <c r="N127">
        <f>VLOOKUP(N123,'8. Uncertainty Results'!$B$377:$E$389,4,FALSE)*(cubicm/gal)*(day/yr)</f>
        <v>80.364768327498041</v>
      </c>
      <c r="O127">
        <f>N127</f>
        <v>80.364768327498041</v>
      </c>
      <c r="P127">
        <f>N127</f>
        <v>80.364768327498041</v>
      </c>
      <c r="Q127">
        <f>VLOOKUP(Q123,'8. Uncertainty Results'!$B$377:$E$389,4,FALSE)*(cubicm/gal)*(day/yr)</f>
        <v>83.152795100740022</v>
      </c>
      <c r="R127">
        <f>Q127</f>
        <v>83.152795100740022</v>
      </c>
      <c r="S127">
        <f>Q127</f>
        <v>83.152795100740022</v>
      </c>
      <c r="T127">
        <f>VLOOKUP(T123,'8. Uncertainty Results'!$B$377:$E$389,4,FALSE)*(cubicm/gal)*(day/yr)</f>
        <v>88.866039600108664</v>
      </c>
      <c r="U127">
        <f>T127</f>
        <v>88.866039600108664</v>
      </c>
      <c r="V127">
        <f>T127</f>
        <v>88.866039600108664</v>
      </c>
      <c r="W127">
        <f>VLOOKUP(W123,'8. Uncertainty Results'!$B$377:$E$389,4,FALSE)*(cubicm/gal)*(day/yr)</f>
        <v>337.75051838075376</v>
      </c>
      <c r="X127">
        <f>W127</f>
        <v>337.75051838075376</v>
      </c>
      <c r="Y127">
        <f>W127</f>
        <v>337.75051838075376</v>
      </c>
    </row>
    <row r="128" spans="1:25" x14ac:dyDescent="0.2">
      <c r="A128" s="36" t="s">
        <v>438</v>
      </c>
      <c r="B128">
        <f>VLOOKUP(B123,'8. Uncertainty Results'!$A$97:$CM$109,2+$A$77,FALSE)*((cubicm/gal)*(day/yr))/B120</f>
        <v>15.197374719809703</v>
      </c>
      <c r="C128">
        <f>VLOOKUP(B123,'8. Uncertainty Results'!$A$97:$CM$109,3+$A$77,FALSE)*((cubicm/gal)*(day/yr))/C120</f>
        <v>10.576329813339902</v>
      </c>
      <c r="D128">
        <f>VLOOKUP(B123,'8. Uncertainty Results'!$A$97:$CM$109,4+$A$77,FALSE)*((cubicm/gal)*(day/yr))/D120</f>
        <v>7.8713466912416772</v>
      </c>
      <c r="E128">
        <f>VLOOKUP(E123,'8. Uncertainty Results'!$A$97:$CM$109,2+$A$77,FALSE)*((cubicm/gal)*(day/yr))</f>
        <v>0</v>
      </c>
      <c r="F128">
        <f>VLOOKUP(E123,'8. Uncertainty Results'!$A$97:$CM$109,3+$A$77,FALSE)*((cubicm/gal)*(day/yr))</f>
        <v>0</v>
      </c>
      <c r="G128">
        <f>VLOOKUP(E123,'8. Uncertainty Results'!$A$97:$CM$109,4+$A$77,FALSE)*((cubicm/gal)*(day/yr))</f>
        <v>0</v>
      </c>
      <c r="H128">
        <f>VLOOKUP(H123,'8. Uncertainty Results'!$A$97:$CM$109,2+$A$77,FALSE)*((cubicm/gal)*(day/yr))</f>
        <v>23.879768998066016</v>
      </c>
      <c r="I128">
        <f>VLOOKUP(H123,'8. Uncertainty Results'!$A$97:$CM$109,3+$A$77,FALSE)*((cubicm/gal)*(day/yr))</f>
        <v>24.488318680623991</v>
      </c>
      <c r="J128">
        <f>VLOOKUP(H123,'8. Uncertainty Results'!$A$97:$CM$109,4+$A$77,FALSE)*((cubicm/gal)*(day/yr))</f>
        <v>24.970595412360403</v>
      </c>
      <c r="K128">
        <f>VLOOKUP(K123,'8. Uncertainty Results'!$A$97:$CM$109,2+$A$77,FALSE)*((cubicm/gal)*(day/yr))</f>
        <v>9.5902324868976332E-2</v>
      </c>
      <c r="L128">
        <f>VLOOKUP(K123,'8. Uncertainty Results'!$A$97:$CM$109,3+$A$77,FALSE)*((cubicm/gal)*(day/yr))</f>
        <v>9.8251854680921152E-2</v>
      </c>
      <c r="M128">
        <f>VLOOKUP(K123,'8. Uncertainty Results'!$A$97:$CM$109,4+$A$77,FALSE)*((cubicm/gal)*(day/yr))</f>
        <v>0.10011253728413372</v>
      </c>
      <c r="N128">
        <f>VLOOKUP(N123,'8. Uncertainty Results'!$A$97:$CM$109,2+$A$77,FALSE)*((cubicm/gal)*(day/yr))</f>
        <v>6.3932204280879742E-2</v>
      </c>
      <c r="O128">
        <f>VLOOKUP(N123,'8. Uncertainty Results'!$A$97:$CM$109,3+$A$77,FALSE)*((cubicm/gal)*(day/yr))</f>
        <v>6.5476170656937199E-2</v>
      </c>
      <c r="P128">
        <f>VLOOKUP(N123,'8. Uncertainty Results'!$A$97:$CM$109,4+$A$77,FALSE)*((cubicm/gal)*(day/yr))</f>
        <v>6.674955407621247E-2</v>
      </c>
      <c r="Q128">
        <f>VLOOKUP(Q123,'8. Uncertainty Results'!$A$97:$CM$109,2+$A$77,FALSE)*((cubicm/gal)*(day/yr))</f>
        <v>9.5890554475330972E-2</v>
      </c>
      <c r="R128">
        <f>VLOOKUP(Q123,'8. Uncertainty Results'!$A$97:$CM$109,3+$A$77,FALSE)*((cubicm/gal)*(day/yr))</f>
        <v>9.8223987472320362E-2</v>
      </c>
      <c r="S128">
        <f>VLOOKUP(Q123,'8. Uncertainty Results'!$A$97:$CM$109,4+$A$77,FALSE)*((cubicm/gal)*(day/yr))</f>
        <v>0.10007692151459052</v>
      </c>
      <c r="T128">
        <f>VLOOKUP(T123,'8. Uncertainty Results'!$A$97:$CM$109,2+$A$77,FALSE)*((cubicm/gal)*(day/yr))</f>
        <v>15.796835663695186</v>
      </c>
      <c r="U128">
        <f>VLOOKUP(T123,'8. Uncertainty Results'!$A$97:$CM$109,3+$A$77,FALSE)*((cubicm/gal)*(day/yr))</f>
        <v>15.920702787295264</v>
      </c>
      <c r="V128">
        <f>VLOOKUP(T123,'8. Uncertainty Results'!$A$97:$CM$109,4+$A$77,FALSE)*((cubicm/gal)*(day/yr))</f>
        <v>16.028821847004753</v>
      </c>
      <c r="W128">
        <f>VLOOKUP(W123,'8. Uncertainty Results'!$A$97:$CM$109,2+$A$77,FALSE)*((cubicm/gal)*(day/yr))</f>
        <v>23.87875070724014</v>
      </c>
      <c r="X128">
        <f>VLOOKUP(W123,'8. Uncertainty Results'!$A$97:$CM$109,3+$A$77,FALSE)*((cubicm/gal)*(day/yr))</f>
        <v>24.486829689904184</v>
      </c>
      <c r="Y128">
        <f>VLOOKUP(W123,'8. Uncertainty Results'!$A$97:$CM$109,4+$A$77,FALSE)*((cubicm/gal)*(day/yr))</f>
        <v>24.961296895938585</v>
      </c>
    </row>
    <row r="129" spans="1:25" x14ac:dyDescent="0.2">
      <c r="A129" s="36" t="s">
        <v>400</v>
      </c>
      <c r="B129">
        <f>VLOOKUP(B123,'8. Uncertainty Results'!$A$97:$CM$109,17+$A$77,FALSE)*((cubicm/gal)*(day/yr))/B120</f>
        <v>25.176831860038366</v>
      </c>
      <c r="C129">
        <f>VLOOKUP(B123,'8. Uncertainty Results'!$A$97:$CM$109,18+$A$77+$A$77,FALSE)*((cubicm/gal)*(day/yr))/C120</f>
        <v>18.331477530757848</v>
      </c>
      <c r="D129">
        <f>VLOOKUP(B123,'8. Uncertainty Results'!$A$97:$CM$109,19+$A$77,FALSE)*((cubicm/gal)*(day/yr))/D120</f>
        <v>14.845766077541679</v>
      </c>
      <c r="E129">
        <f>VLOOKUP(E123,'8. Uncertainty Results'!$A$97:$CM$109,17+$A$77,FALSE)*((cubicm/gal)*(day/yr))</f>
        <v>3.6121418595002579</v>
      </c>
      <c r="F129">
        <f>VLOOKUP(E123,'8. Uncertainty Results'!$A$97:$CM$109,18+$A$77,FALSE)*((cubicm/gal)*(day/yr))</f>
        <v>3.7443101295807404</v>
      </c>
      <c r="G129">
        <f>VLOOKUP(E123,'8. Uncertainty Results'!$A$97:$CM$109,19+$A$77,FALSE)*((cubicm/gal)*(day/yr))</f>
        <v>3.9032547063344536</v>
      </c>
      <c r="H129">
        <f>VLOOKUP(H123,'8. Uncertainty Results'!$A$97:$CM$109,17+$A$77,FALSE)*((cubicm/gal)*(day/yr))</f>
        <v>51.824404535794436</v>
      </c>
      <c r="I129">
        <f>VLOOKUP(H123,'8. Uncertainty Results'!$A$97:$CM$109,18+$A$77,FALSE)*((cubicm/gal)*(day/yr))</f>
        <v>55.142477708774663</v>
      </c>
      <c r="J129">
        <f>VLOOKUP(H123,'8. Uncertainty Results'!$A$97:$CM$109,19+$A$77,FALSE)*((cubicm/gal)*(day/yr))</f>
        <v>57.991534976100354</v>
      </c>
      <c r="K129">
        <f>VLOOKUP(K123,'8. Uncertainty Results'!$A$97:$CM$109,17+$A$77,FALSE)*((cubicm/gal)*(day/yr))</f>
        <v>7.6379187517281828</v>
      </c>
      <c r="L129">
        <f>VLOOKUP(K123,'8. Uncertainty Results'!$A$97:$CM$109,18+$A$77,FALSE)*((cubicm/gal)*(day/yr))</f>
        <v>8.0425982179394087</v>
      </c>
      <c r="M129">
        <f>VLOOKUP(K123,'8. Uncertainty Results'!$A$97:$CM$109,19+$A$77,FALSE)*((cubicm/gal)*(day/yr))</f>
        <v>8.4923985945364144</v>
      </c>
      <c r="N129">
        <f>VLOOKUP(N123,'8. Uncertainty Results'!$A$97:$CM$109,17+$A$77,FALSE)*((cubicm/gal)*(day/yr))</f>
        <v>5.3246372801929187</v>
      </c>
      <c r="O129">
        <f>VLOOKUP(N123,'8. Uncertainty Results'!$A$97:$CM$109,18+$A$77,FALSE)*((cubicm/gal)*(day/yr))</f>
        <v>5.5938513988139418</v>
      </c>
      <c r="P129">
        <f>VLOOKUP(N123,'8. Uncertainty Results'!$A$97:$CM$109,19+$A$77,FALSE)*((cubicm/gal)*(day/yr))</f>
        <v>5.8948602658697205</v>
      </c>
      <c r="Q129">
        <f>VLOOKUP(Q123,'8. Uncertainty Results'!$A$97:$CM$109,17+$A$77,FALSE)*((cubicm/gal)*(day/yr))</f>
        <v>7.6321535931344329</v>
      </c>
      <c r="R129">
        <f>VLOOKUP(Q123,'8. Uncertainty Results'!$A$97:$CM$109,18+$A$77,FALSE)*((cubicm/gal)*(day/yr))</f>
        <v>8.0412040286056801</v>
      </c>
      <c r="S129">
        <f>VLOOKUP(Q123,'8. Uncertainty Results'!$A$97:$CM$109,19+$A$77,FALSE)*((cubicm/gal)*(day/yr))</f>
        <v>8.4943596879614223</v>
      </c>
      <c r="T129">
        <f>VLOOKUP(T123,'8. Uncertainty Results'!$A$97:$CM$109,17+$A$77,FALSE)*((cubicm/gal)*(day/yr))</f>
        <v>1.1446582557352343</v>
      </c>
      <c r="U129">
        <f>VLOOKUP(T123,'8. Uncertainty Results'!$A$97:$CM$109,18+$A$77,FALSE)*((cubicm/gal)*(day/yr))</f>
        <v>1.2415044457589302</v>
      </c>
      <c r="V129">
        <f>VLOOKUP(T123,'8. Uncertainty Results'!$A$97:$CM$109,19+$A$77,FALSE)*((cubicm/gal)*(day/yr))</f>
        <v>1.328820110522376</v>
      </c>
      <c r="W129">
        <f>VLOOKUP(W123,'8. Uncertainty Results'!$A$97:$CM$109,17+$A$77,FALSE)*((cubicm/gal)*(day/yr))</f>
        <v>51.669125555442875</v>
      </c>
      <c r="X129">
        <f>VLOOKUP(W123,'8. Uncertainty Results'!$A$97:$CM$109,18+$A$77,FALSE)*((cubicm/gal)*(day/yr))</f>
        <v>55.078415563925006</v>
      </c>
      <c r="Y129">
        <f>VLOOKUP(W123,'8. Uncertainty Results'!$A$97:$CM$109,19+$A$77,FALSE)*((cubicm/gal)*(day/yr))</f>
        <v>57.970019356759188</v>
      </c>
    </row>
    <row r="130" spans="1:25" x14ac:dyDescent="0.2">
      <c r="A130" s="36" t="s">
        <v>401</v>
      </c>
      <c r="B130">
        <f>VLOOKUP(B123,'8. Uncertainty Results'!$A$97:$CM$109,32+$A$77,FALSE)*((cubicm/gal)*(day/yr))/B120</f>
        <v>0</v>
      </c>
      <c r="C130">
        <f>VLOOKUP(B123,'8. Uncertainty Results'!$A$97:$CM$109,33+$A$77,FALSE)*((cubicm/gal)*(day/yr))/C120</f>
        <v>0</v>
      </c>
      <c r="D130">
        <f>VLOOKUP(B123,'8. Uncertainty Results'!$A$97:$CM$109,34+$A$77,FALSE)*((cubicm/gal)*(day/yr))/D120</f>
        <v>0</v>
      </c>
      <c r="E130">
        <f>VLOOKUP(E123,'8. Uncertainty Results'!$A$97:$CM$109,32+$A$77,FALSE)*((cubicm/gal)*(day/yr))</f>
        <v>0</v>
      </c>
      <c r="F130">
        <f>VLOOKUP(E123,'8. Uncertainty Results'!$A$97:$CM$109,33+$A$77,FALSE)*((cubicm/gal)*(day/yr))</f>
        <v>0</v>
      </c>
      <c r="G130">
        <f>VLOOKUP(E123,'8. Uncertainty Results'!$A$97:$CM$109,34+$A$77,FALSE)*((cubicm/gal)*(day/yr))</f>
        <v>0</v>
      </c>
      <c r="H130">
        <f>VLOOKUP(H123,'8. Uncertainty Results'!$A$97:$CM$109,32+$A$77,FALSE)*((cubicm/gal)*(day/yr))</f>
        <v>0</v>
      </c>
      <c r="I130">
        <f>VLOOKUP(H123,'8. Uncertainty Results'!$A$97:$CM$109,33+$A$77,FALSE)*((cubicm/gal)*(day/yr))</f>
        <v>0</v>
      </c>
      <c r="J130">
        <f>VLOOKUP(H123,'8. Uncertainty Results'!$A$97:$CM$109,34+$A$77,FALSE)*((cubicm/gal)*(day/yr))</f>
        <v>0</v>
      </c>
      <c r="K130">
        <f>VLOOKUP(K123,'8. Uncertainty Results'!$A$97:$CM$109,32+$A$77,FALSE)*((cubicm/gal)*(day/yr))</f>
        <v>0</v>
      </c>
      <c r="L130">
        <f>VLOOKUP(K123,'8. Uncertainty Results'!$A$97:$CM$109,33+$A$77,FALSE)*((cubicm/gal)*(day/yr))</f>
        <v>0</v>
      </c>
      <c r="M130">
        <f>VLOOKUP(K123,'8. Uncertainty Results'!$A$97:$CM$109,34+$A$77,FALSE)*((cubicm/gal)*(day/yr))</f>
        <v>0</v>
      </c>
      <c r="N130">
        <f>VLOOKUP(N123,'8. Uncertainty Results'!$A$97:$CM$109,32+$A$77,FALSE)*((cubicm/gal)*(day/yr))</f>
        <v>0</v>
      </c>
      <c r="O130">
        <f>VLOOKUP(N123,'8. Uncertainty Results'!$A$97:$CM$109,33+$A$77,FALSE)*((cubicm/gal)*(day/yr))</f>
        <v>0</v>
      </c>
      <c r="P130">
        <f>VLOOKUP(N123,'8. Uncertainty Results'!$A$97:$CM$109,34+$A$77,FALSE)*((cubicm/gal)*(day/yr))</f>
        <v>0</v>
      </c>
      <c r="Q130">
        <f>VLOOKUP(Q123,'8. Uncertainty Results'!$A$97:$CM$109,32+$A$77,FALSE)*((cubicm/gal)*(day/yr))</f>
        <v>0</v>
      </c>
      <c r="R130">
        <f>VLOOKUP(Q123,'8. Uncertainty Results'!$A$97:$CM$109,33+$A$77,FALSE)*((cubicm/gal)*(day/yr))</f>
        <v>0</v>
      </c>
      <c r="S130">
        <f>VLOOKUP(Q123,'8. Uncertainty Results'!$A$97:$CM$109,34+$A$77,FALSE)*((cubicm/gal)*(day/yr))</f>
        <v>0</v>
      </c>
      <c r="T130">
        <f>VLOOKUP(T123,'8. Uncertainty Results'!$A$97:$CM$109,32+$A$77,FALSE)*((cubicm/gal)*(day/yr))</f>
        <v>0</v>
      </c>
      <c r="U130">
        <f>VLOOKUP(T123,'8. Uncertainty Results'!$A$97:$CM$109,33+$A$77,FALSE)*((cubicm/gal)*(day/yr))</f>
        <v>0</v>
      </c>
      <c r="V130">
        <f>VLOOKUP(T123,'8. Uncertainty Results'!$A$97:$CM$109,34+$A$77,FALSE)*((cubicm/gal)*(day/yr))</f>
        <v>0</v>
      </c>
      <c r="W130">
        <f>VLOOKUP(W123,'8. Uncertainty Results'!$A$97:$CM$109,32+$A$77,FALSE)*((cubicm/gal)*(day/yr))</f>
        <v>0</v>
      </c>
      <c r="X130">
        <f>VLOOKUP(W123,'8. Uncertainty Results'!$A$97:$CM$109,33+$A$77,FALSE)*((cubicm/gal)*(day/yr))</f>
        <v>0</v>
      </c>
      <c r="Y130">
        <f>VLOOKUP(W123,'8. Uncertainty Results'!$A$97:$CM$109,34+$A$77,FALSE)*((cubicm/gal)*(day/yr))</f>
        <v>0</v>
      </c>
    </row>
    <row r="131" spans="1:25" x14ac:dyDescent="0.2">
      <c r="A131" s="36" t="s">
        <v>402</v>
      </c>
      <c r="B131">
        <f>VLOOKUP(B123,'8. Uncertainty Results'!$A$97:$CM$109,47+$A$77,FALSE)*((cubicm/gal)*(day/yr))/B120</f>
        <v>1385.7854909648677</v>
      </c>
      <c r="C131">
        <f>VLOOKUP(B123,'8. Uncertainty Results'!$A$97:$CM$109,48+$A$77,FALSE)*((cubicm/gal)*(day/yr))/C120</f>
        <v>1630.7357823121511</v>
      </c>
      <c r="D131">
        <f>VLOOKUP(B123,'8. Uncertainty Results'!$A$97:$CM$109,49+$A$77,FALSE)*((cubicm/gal)*(day/yr))/D120</f>
        <v>1905.8996055857256</v>
      </c>
      <c r="E131">
        <f>VLOOKUP(E123,'8. Uncertainty Results'!$A$97:$CM$109,47+$A$77,FALSE)*((cubicm/gal)*(day/yr))</f>
        <v>576.03271381380625</v>
      </c>
      <c r="F131">
        <f>VLOOKUP(E123,'8. Uncertainty Results'!$A$97:$CM$109,48+$A$77,FALSE)*((cubicm/gal)*(day/yr))</f>
        <v>781.09712123081431</v>
      </c>
      <c r="G131">
        <f>VLOOKUP(E123,'8. Uncertainty Results'!$A$97:$CM$109,49+$A$77,FALSE)*((cubicm/gal)*(day/yr))</f>
        <v>1012.9634847222318</v>
      </c>
      <c r="H131">
        <f>VLOOKUP(H123,'8. Uncertainty Results'!$A$97:$CM$109,47+$A$77,FALSE)*((cubicm/gal)*(day/yr))</f>
        <v>57.161379040841112</v>
      </c>
      <c r="I131">
        <f>VLOOKUP(H123,'8. Uncertainty Results'!$A$97:$CM$109,48+$A$77,FALSE)*((cubicm/gal)*(day/yr))</f>
        <v>88.08082817140928</v>
      </c>
      <c r="J131">
        <f>VLOOKUP(H123,'8. Uncertainty Results'!$A$97:$CM$109,49+$A$77,FALSE)*((cubicm/gal)*(day/yr))</f>
        <v>134.27341778635403</v>
      </c>
      <c r="K131">
        <f>VLOOKUP(K123,'8. Uncertainty Results'!$A$97:$CM$109,47+$A$77,FALSE)*((cubicm/gal)*(day/yr))</f>
        <v>70.652897973192765</v>
      </c>
      <c r="L131">
        <f>VLOOKUP(K123,'8. Uncertainty Results'!$A$97:$CM$109,48+$A$77,FALSE)*((cubicm/gal)*(day/yr))</f>
        <v>103.88783017789751</v>
      </c>
      <c r="M131">
        <f>VLOOKUP(K123,'8. Uncertainty Results'!$A$97:$CM$109,49+$A$77,FALSE)*((cubicm/gal)*(day/yr))</f>
        <v>146.91050372733682</v>
      </c>
      <c r="N131">
        <f>VLOOKUP(N123,'8. Uncertainty Results'!$A$97:$CM$109,47+$A$77,FALSE)*((cubicm/gal)*(day/yr))</f>
        <v>52.392019573985515</v>
      </c>
      <c r="O131">
        <f>VLOOKUP(N123,'8. Uncertainty Results'!$A$97:$CM$109,48+$A$77,FALSE)*((cubicm/gal)*(day/yr))</f>
        <v>77.318968740716429</v>
      </c>
      <c r="P131">
        <f>VLOOKUP(N123,'8. Uncertainty Results'!$A$97:$CM$109,49+$A$77,FALSE)*((cubicm/gal)*(day/yr))</f>
        <v>109.17663588048201</v>
      </c>
      <c r="Q131">
        <f>VLOOKUP(Q123,'8. Uncertainty Results'!$A$97:$CM$109,47+$A$77,FALSE)*((cubicm/gal)*(day/yr))</f>
        <v>70.980155086061984</v>
      </c>
      <c r="R131">
        <f>VLOOKUP(Q123,'8. Uncertainty Results'!$A$97:$CM$109,48+$A$77,FALSE)*((cubicm/gal)*(day/yr))</f>
        <v>103.92374850958571</v>
      </c>
      <c r="S131">
        <f>VLOOKUP(Q123,'8. Uncertainty Results'!$A$97:$CM$109,49+$A$77,FALSE)*((cubicm/gal)*(day/yr))</f>
        <v>145.28189960507854</v>
      </c>
      <c r="T131">
        <f>VLOOKUP(T123,'8. Uncertainty Results'!$A$97:$CM$109,47+$A$77,FALSE)*((cubicm/gal)*(day/yr))</f>
        <v>57.430297865071189</v>
      </c>
      <c r="U131">
        <f>VLOOKUP(T123,'8. Uncertainty Results'!$A$97:$CM$109,48+$A$77,FALSE)*((cubicm/gal)*(day/yr))</f>
        <v>93.325830707433354</v>
      </c>
      <c r="V131">
        <f>VLOOKUP(T123,'8. Uncertainty Results'!$A$97:$CM$109,49+$A$77,FALSE)*((cubicm/gal)*(day/yr))</f>
        <v>135.24216517819536</v>
      </c>
      <c r="W131">
        <f>VLOOKUP(W123,'8. Uncertainty Results'!$A$97:$CM$109,47+$A$77,FALSE)*((cubicm/gal)*(day/yr))</f>
        <v>56.927385365054633</v>
      </c>
      <c r="X131">
        <f>VLOOKUP(W123,'8. Uncertainty Results'!$A$97:$CM$109,48+$A$77,FALSE)*((cubicm/gal)*(day/yr))</f>
        <v>87.483816789674933</v>
      </c>
      <c r="Y131">
        <f>VLOOKUP(W123,'8. Uncertainty Results'!$A$97:$CM$109,49+$A$77,FALSE)*((cubicm/gal)*(day/yr))</f>
        <v>134.4099367063917</v>
      </c>
    </row>
    <row r="132" spans="1:25" x14ac:dyDescent="0.2">
      <c r="A132" s="36" t="s">
        <v>403</v>
      </c>
      <c r="B132">
        <f>VLOOKUP(B123,'8. Uncertainty Results'!$A$97:$CM$109,62+$A$77,FALSE)*((cubicm/gal)*(day/yr))/B120</f>
        <v>3.8903748110297318</v>
      </c>
      <c r="C132">
        <f>VLOOKUP(B123,'8. Uncertainty Results'!$A$97:$CM$109,63+$A$77,FALSE)*((cubicm/gal)*(day/yr))/C120</f>
        <v>2.7763179645643894</v>
      </c>
      <c r="D132">
        <f>VLOOKUP(B123,'8. Uncertainty Results'!$A$97:$CM$109,64+$A$77,FALSE)*((cubicm/gal)*(day/yr))/D120</f>
        <v>2.1225171251783514</v>
      </c>
      <c r="E132">
        <f>VLOOKUP(E123,'8. Uncertainty Results'!$A$97:$CM$109,62+$A$77,FALSE)*((cubicm/gal)*(day/yr))</f>
        <v>0.90079480877534845</v>
      </c>
      <c r="F132">
        <f>VLOOKUP(E123,'8. Uncertainty Results'!$A$97:$CM$109,63+$A$77,FALSE)*((cubicm/gal)*(day/yr))</f>
        <v>0.92473337280469625</v>
      </c>
      <c r="G132">
        <f>VLOOKUP(E123,'8. Uncertainty Results'!$A$97:$CM$109,64+$A$77,FALSE)*((cubicm/gal)*(day/yr))</f>
        <v>0.94964580172798563</v>
      </c>
      <c r="H132">
        <f>VLOOKUP(H123,'8. Uncertainty Results'!$A$97:$CM$109,62+$A$77,FALSE)*((cubicm/gal)*(day/yr))</f>
        <v>0.43086283480321252</v>
      </c>
      <c r="I132">
        <f>VLOOKUP(H123,'8. Uncertainty Results'!$A$97:$CM$109,63+$A$77,FALSE)*((cubicm/gal)*(day/yr))</f>
        <v>0.43760067533937891</v>
      </c>
      <c r="J132">
        <f>VLOOKUP(H123,'8. Uncertainty Results'!$A$97:$CM$109,64+$A$77,FALSE)*((cubicm/gal)*(day/yr))</f>
        <v>0.44454188596813315</v>
      </c>
      <c r="K132">
        <f>VLOOKUP(K123,'8. Uncertainty Results'!$A$97:$CM$109,62+$A$77,FALSE)*((cubicm/gal)*(day/yr))</f>
        <v>0.23902870490153455</v>
      </c>
      <c r="L132">
        <f>VLOOKUP(K123,'8. Uncertainty Results'!$A$97:$CM$109,63+$A$77,FALSE)*((cubicm/gal)*(day/yr))</f>
        <v>0.24287163880968143</v>
      </c>
      <c r="M132">
        <f>VLOOKUP(K123,'8. Uncertainty Results'!$A$97:$CM$109,64+$A$77,FALSE)*((cubicm/gal)*(day/yr))</f>
        <v>0.24676838576140941</v>
      </c>
      <c r="N132">
        <f>VLOOKUP(N123,'8. Uncertainty Results'!$A$97:$CM$109,62+$A$77,FALSE)*((cubicm/gal)*(day/yr))</f>
        <v>0.16842534497998579</v>
      </c>
      <c r="O132">
        <f>VLOOKUP(N123,'8. Uncertainty Results'!$A$97:$CM$109,63+$A$77,FALSE)*((cubicm/gal)*(day/yr))</f>
        <v>0.17112983172847712</v>
      </c>
      <c r="P132">
        <f>VLOOKUP(N123,'8. Uncertainty Results'!$A$97:$CM$109,64+$A$77,FALSE)*((cubicm/gal)*(day/yr))</f>
        <v>0.17402234806372763</v>
      </c>
      <c r="Q132">
        <f>VLOOKUP(Q123,'8. Uncertainty Results'!$A$97:$CM$109,62+$A$77,FALSE)*((cubicm/gal)*(day/yr))</f>
        <v>0.23903967138048896</v>
      </c>
      <c r="R132">
        <f>VLOOKUP(Q123,'8. Uncertainty Results'!$A$97:$CM$109,63+$A$77,FALSE)*((cubicm/gal)*(day/yr))</f>
        <v>0.24291489908628214</v>
      </c>
      <c r="S132">
        <f>VLOOKUP(Q123,'8. Uncertainty Results'!$A$97:$CM$109,64+$A$77,FALSE)*((cubicm/gal)*(day/yr))</f>
        <v>0.24692202179010575</v>
      </c>
      <c r="T132">
        <f>VLOOKUP(T123,'8. Uncertainty Results'!$A$97:$CM$109,62+$A$77,FALSE)*((cubicm/gal)*(day/yr))</f>
        <v>8.4672159164443039E-2</v>
      </c>
      <c r="U132">
        <f>VLOOKUP(T123,'8. Uncertainty Results'!$A$97:$CM$109,63+$A$77,FALSE)*((cubicm/gal)*(day/yr))</f>
        <v>8.7256784071390162E-2</v>
      </c>
      <c r="V132">
        <f>VLOOKUP(T123,'8. Uncertainty Results'!$A$97:$CM$109,64+$A$77,FALSE)*((cubicm/gal)*(day/yr))</f>
        <v>9.0059719102227778E-2</v>
      </c>
      <c r="W132">
        <f>VLOOKUP(W123,'8. Uncertainty Results'!$A$97:$CM$109,62+$A$77,FALSE)*((cubicm/gal)*(day/yr))</f>
        <v>0.43089141213216636</v>
      </c>
      <c r="X132">
        <f>VLOOKUP(W123,'8. Uncertainty Results'!$A$97:$CM$109,63+$A$77,FALSE)*((cubicm/gal)*(day/yr))</f>
        <v>0.43759729860128826</v>
      </c>
      <c r="Y132">
        <f>VLOOKUP(W123,'8. Uncertainty Results'!$A$97:$CM$109,64+$A$77,FALSE)*((cubicm/gal)*(day/yr))</f>
        <v>0.44448820722956794</v>
      </c>
    </row>
    <row r="133" spans="1:25" x14ac:dyDescent="0.2">
      <c r="A133" s="36" t="s">
        <v>439</v>
      </c>
      <c r="B133">
        <f>VLOOKUP(B123,'8. Uncertainty Results'!$A$97:$CM$109,77+$A$77,FALSE)*((cubicm/gal)*(day/yr))/B120</f>
        <v>0</v>
      </c>
      <c r="C133">
        <f>VLOOKUP(B123,'8. Uncertainty Results'!$A$97:$CM$109,78+$A$77,FALSE)*((cubicm/gal)*(day/yr))/C120</f>
        <v>0</v>
      </c>
      <c r="D133">
        <f>VLOOKUP(B123,'8. Uncertainty Results'!$A$97:$CM$109,79+$A$77,FALSE)*((cubicm/gal)*(day/yr))/D120</f>
        <v>0</v>
      </c>
      <c r="E133">
        <f>VLOOKUP(E123,'8. Uncertainty Results'!$A$97:$CM$109,77+$A$77,FALSE)*((cubicm/gal)*(day/yr))</f>
        <v>0.85027234815006769</v>
      </c>
      <c r="F133">
        <f>VLOOKUP(E123,'8. Uncertainty Results'!$A$97:$CM$109,78+$A$77,FALSE)*((cubicm/gal)*(day/yr))</f>
        <v>0.89216786594306985</v>
      </c>
      <c r="G133">
        <f>VLOOKUP(E123,'8. Uncertainty Results'!$A$97:$CM$109,79+$A$77,FALSE)*((cubicm/gal)*(day/yr))</f>
        <v>0.9334418563057415</v>
      </c>
      <c r="H133">
        <f>VLOOKUP(H123,'8. Uncertainty Results'!$A$97:$CM$109,77+$A$77,FALSE)*((cubicm/gal)*(day/yr))</f>
        <v>1.577431189972484</v>
      </c>
      <c r="I133">
        <f>VLOOKUP(H123,'8. Uncertainty Results'!$A$97:$CM$109,78+$A$77,FALSE)*((cubicm/gal)*(day/yr))</f>
        <v>1.6546768547592685</v>
      </c>
      <c r="J133">
        <f>VLOOKUP(H123,'8. Uncertainty Results'!$A$97:$CM$109,79+$A$77,FALSE)*((cubicm/gal)*(day/yr))</f>
        <v>1.7303270617823929</v>
      </c>
      <c r="K133">
        <f>VLOOKUP(K123,'8. Uncertainty Results'!$A$97:$CM$109,77+$A$77,FALSE)*((cubicm/gal)*(day/yr))</f>
        <v>0</v>
      </c>
      <c r="L133">
        <f>VLOOKUP(K123,'8. Uncertainty Results'!$A$97:$CM$109,78+$A$77,FALSE)*((cubicm/gal)*(day/yr))</f>
        <v>0</v>
      </c>
      <c r="M133">
        <f>VLOOKUP(K123,'8. Uncertainty Results'!$A$97:$CM$109,79+$A$77,FALSE)*((cubicm/gal)*(day/yr))</f>
        <v>0</v>
      </c>
      <c r="N133">
        <f>VLOOKUP(N123,'8. Uncertainty Results'!$A$97:$CM$109,77+$A$77,FALSE)*((cubicm/gal)*(day/yr))</f>
        <v>0</v>
      </c>
      <c r="O133">
        <f>VLOOKUP(N123,'8. Uncertainty Results'!$A$97:$CM$109,78+$A$77,FALSE)*((cubicm/gal)*(day/yr))</f>
        <v>0</v>
      </c>
      <c r="P133">
        <f>VLOOKUP(N123,'8. Uncertainty Results'!$A$97:$CM$109,79+$A$77,FALSE)*((cubicm/gal)*(day/yr))</f>
        <v>0</v>
      </c>
      <c r="Q133">
        <f>VLOOKUP(Q123,'8. Uncertainty Results'!$A$97:$CM$109,77+$A$77,FALSE)*((cubicm/gal)*(day/yr))</f>
        <v>0</v>
      </c>
      <c r="R133">
        <f>VLOOKUP(Q123,'8. Uncertainty Results'!$A$97:$CM$109,78+$A$77,FALSE)*((cubicm/gal)*(day/yr))</f>
        <v>0</v>
      </c>
      <c r="S133">
        <f>VLOOKUP(Q123,'8. Uncertainty Results'!$A$97:$CM$109,79+$A$77,FALSE)*((cubicm/gal)*(day/yr))</f>
        <v>0</v>
      </c>
      <c r="T133">
        <f>VLOOKUP(T123,'8. Uncertainty Results'!$A$97:$CM$109,77+$A$77,FALSE)*((cubicm/gal)*(day/yr))</f>
        <v>0</v>
      </c>
      <c r="U133">
        <f>VLOOKUP(T123,'8. Uncertainty Results'!$A$97:$CM$109,78+$A$77,FALSE)*((cubicm/gal)*(day/yr))</f>
        <v>0</v>
      </c>
      <c r="V133">
        <f>VLOOKUP(T123,'8. Uncertainty Results'!$A$97:$CM$109,79+$A$77,FALSE)*((cubicm/gal)*(day/yr))</f>
        <v>0</v>
      </c>
      <c r="W133">
        <f>VLOOKUP(W123,'8. Uncertainty Results'!$A$97:$CM$109,77+$A$77,FALSE)*((cubicm/gal)*(day/yr))</f>
        <v>1.5775298567418798</v>
      </c>
      <c r="X133">
        <f>VLOOKUP(W123,'8. Uncertainty Results'!$A$97:$CM$109,78+$A$77,FALSE)*((cubicm/gal)*(day/yr))</f>
        <v>1.6564513810785131</v>
      </c>
      <c r="Y133">
        <f>VLOOKUP(W123,'8. Uncertainty Results'!$A$97:$CM$109,79+$A$77,FALSE)*((cubicm/gal)*(day/yr))</f>
        <v>1.7298286162264329</v>
      </c>
    </row>
    <row r="134" spans="1:25" x14ac:dyDescent="0.2">
      <c r="A134" s="36" t="s">
        <v>492</v>
      </c>
      <c r="B134">
        <f>VLOOKUP(B123,'8. Uncertainty Results'!$A$203:$D$215,2,FALSE)/1000000/B120</f>
        <v>20.695571844531454</v>
      </c>
      <c r="C134">
        <f>VLOOKUP(B123,'8. Uncertainty Results'!$A$203:$D$215,3,FALSE)/1000000/C120</f>
        <v>15.621127277415249</v>
      </c>
      <c r="D134">
        <f>VLOOKUP(B123,'8. Uncertainty Results'!$A$203:$D$215,4,FALSE)/1000000/D120</f>
        <v>12.510097861796615</v>
      </c>
      <c r="E134">
        <f>VLOOKUP(E123,'8. Uncertainty Results'!$A$203:$D$215,2,FALSE)/1000000</f>
        <v>30.329777237026992</v>
      </c>
      <c r="F134">
        <f>VLOOKUP(E123,'8. Uncertainty Results'!$A$203:$D$215,3,FALSE)/1000000</f>
        <v>34.810209497471384</v>
      </c>
      <c r="G134">
        <f>VLOOKUP(E123,'8. Uncertainty Results'!$A$203:$D$215,4,FALSE)/1000000</f>
        <v>39.804593895523155</v>
      </c>
      <c r="H134">
        <f>VLOOKUP(H123,'8. Uncertainty Results'!$A$203:$D$215,2,FALSE)/1000000</f>
        <v>0.36684257135850085</v>
      </c>
      <c r="I134">
        <f>VLOOKUP(H123,'8. Uncertainty Results'!$A$203:$D$215,3,FALSE)/1000000</f>
        <v>1.9272387365708405</v>
      </c>
      <c r="J134">
        <f>VLOOKUP(H123,'8. Uncertainty Results'!$A$203:$D$215,4,FALSE)/1000000</f>
        <v>9.7366119085476832</v>
      </c>
      <c r="K134">
        <f>VLOOKUP(K123,'8. Uncertainty Results'!$A$203:$D$215,2,FALSE)/1000000</f>
        <v>28.572915147869598</v>
      </c>
      <c r="L134">
        <f>VLOOKUP(K123,'8. Uncertainty Results'!$A$203:$D$215,3,FALSE)/1000000</f>
        <v>36.784589510791825</v>
      </c>
      <c r="M134">
        <f>VLOOKUP(K123,'8. Uncertainty Results'!$A$203:$D$215,4,FALSE)/1000000</f>
        <v>63.986855731934547</v>
      </c>
      <c r="N134">
        <f>VLOOKUP(N123,'8. Uncertainty Results'!$A$203:$D$215,2,FALSE)/1000000</f>
        <v>12.60217290105447</v>
      </c>
      <c r="O134">
        <f>VLOOKUP(N123,'8. Uncertainty Results'!$A$203:$D$215,3,FALSE)/1000000</f>
        <v>19.226978004610444</v>
      </c>
      <c r="P134">
        <f>VLOOKUP(N123,'8. Uncertainty Results'!$A$203:$D$215,4,FALSE)/1000000</f>
        <v>49.036167912910365</v>
      </c>
      <c r="Q134">
        <f>VLOOKUP(Q123,'8. Uncertainty Results'!$A$203:$D$215,2,FALSE)/1000000</f>
        <v>4.9234855062215894</v>
      </c>
      <c r="R134">
        <f>VLOOKUP(Q123,'8. Uncertainty Results'!$A$203:$D$215,3,FALSE)/1000000</f>
        <v>5.37106142092306</v>
      </c>
      <c r="S134">
        <f>VLOOKUP(Q123,'8. Uncertainty Results'!$A$203:$D$215,4,FALSE)/1000000</f>
        <v>5.8389653933930203</v>
      </c>
      <c r="T134">
        <f>VLOOKUP(T123,'8. Uncertainty Results'!$A$203:$D$215,2,FALSE)/1000000</f>
        <v>3.9079818470785299</v>
      </c>
      <c r="U134">
        <f>VLOOKUP(T123,'8. Uncertainty Results'!$A$203:$D$215,3,FALSE)/1000000</f>
        <v>4.2843021047777894</v>
      </c>
      <c r="V134">
        <f>VLOOKUP(T123,'8. Uncertainty Results'!$A$203:$D$215,4,FALSE)/1000000</f>
        <v>4.6474321803099699</v>
      </c>
      <c r="W134">
        <f>VLOOKUP(W123,'8. Uncertainty Results'!$A$203:$D$215,2,FALSE)/1000000</f>
        <v>0.23425673678805656</v>
      </c>
      <c r="X134">
        <f>VLOOKUP(W123,'8. Uncertainty Results'!$A$203:$D$215,3,FALSE)/1000000</f>
        <v>1.1548930353673985</v>
      </c>
      <c r="Y134">
        <f>VLOOKUP(W123,'8. Uncertainty Results'!$A$203:$D$215,4,FALSE)/1000000</f>
        <v>5.5129749020288967</v>
      </c>
    </row>
    <row r="135" spans="1:25" x14ac:dyDescent="0.2">
      <c r="A135" s="36"/>
    </row>
    <row r="137" spans="1:25" x14ac:dyDescent="0.2">
      <c r="A137" s="36" t="s">
        <v>566</v>
      </c>
      <c r="B137" s="481">
        <v>18100204</v>
      </c>
      <c r="C137" s="481"/>
      <c r="D137" s="481"/>
      <c r="E137" s="481">
        <v>16040201</v>
      </c>
      <c r="F137" s="481"/>
      <c r="G137" s="481"/>
      <c r="H137" s="481">
        <v>15030202</v>
      </c>
      <c r="I137" s="481"/>
      <c r="J137" s="481"/>
      <c r="K137" s="481">
        <v>16060011</v>
      </c>
      <c r="L137" s="481"/>
      <c r="M137" s="481"/>
      <c r="N137" s="481">
        <v>16060003</v>
      </c>
      <c r="O137" s="481"/>
      <c r="P137" s="481"/>
      <c r="Q137" s="481">
        <v>16060013</v>
      </c>
      <c r="R137" s="481"/>
      <c r="S137" s="481"/>
      <c r="T137" s="481">
        <v>16060010</v>
      </c>
      <c r="U137" s="481"/>
      <c r="V137" s="481"/>
      <c r="W137" s="481">
        <v>15030201</v>
      </c>
      <c r="X137" s="481"/>
      <c r="Y137" s="481"/>
    </row>
    <row r="138" spans="1:25" x14ac:dyDescent="0.2">
      <c r="A138" s="36"/>
      <c r="B138" s="481" t="s">
        <v>539</v>
      </c>
      <c r="C138" s="481"/>
      <c r="D138" s="481"/>
      <c r="E138" s="481" t="s">
        <v>417</v>
      </c>
      <c r="F138" s="481"/>
      <c r="G138" s="481"/>
      <c r="H138" s="481" t="s">
        <v>418</v>
      </c>
      <c r="I138" s="481"/>
      <c r="J138" s="481"/>
      <c r="K138" s="481" t="s">
        <v>419</v>
      </c>
      <c r="L138" s="481"/>
      <c r="M138" s="481"/>
      <c r="N138" s="481" t="s">
        <v>420</v>
      </c>
      <c r="O138" s="481"/>
      <c r="P138" s="481"/>
      <c r="Q138" s="481" t="s">
        <v>421</v>
      </c>
      <c r="R138" s="481"/>
      <c r="S138" s="481"/>
      <c r="T138" s="481" t="s">
        <v>422</v>
      </c>
      <c r="U138" s="481"/>
      <c r="V138" s="481"/>
      <c r="W138" s="481" t="s">
        <v>423</v>
      </c>
      <c r="X138" s="481"/>
      <c r="Y138" s="481"/>
    </row>
    <row r="139" spans="1:25" x14ac:dyDescent="0.2">
      <c r="A139" s="36"/>
      <c r="B139" s="36" t="s">
        <v>440</v>
      </c>
      <c r="C139" s="36" t="s">
        <v>441</v>
      </c>
      <c r="D139" s="36" t="s">
        <v>442</v>
      </c>
      <c r="E139" s="36" t="s">
        <v>440</v>
      </c>
      <c r="F139" s="36" t="s">
        <v>441</v>
      </c>
      <c r="G139" s="36" t="s">
        <v>442</v>
      </c>
      <c r="H139" s="36" t="s">
        <v>440</v>
      </c>
      <c r="I139" s="36" t="s">
        <v>441</v>
      </c>
      <c r="J139" s="36" t="s">
        <v>442</v>
      </c>
      <c r="K139" s="36" t="s">
        <v>440</v>
      </c>
      <c r="L139" s="36" t="s">
        <v>441</v>
      </c>
      <c r="M139" s="36" t="s">
        <v>442</v>
      </c>
      <c r="N139" s="36" t="s">
        <v>440</v>
      </c>
      <c r="O139" s="36" t="s">
        <v>441</v>
      </c>
      <c r="P139" s="36" t="s">
        <v>442</v>
      </c>
      <c r="Q139" s="36" t="s">
        <v>440</v>
      </c>
      <c r="R139" s="36" t="s">
        <v>441</v>
      </c>
      <c r="S139" s="36" t="s">
        <v>442</v>
      </c>
      <c r="T139" s="36" t="s">
        <v>440</v>
      </c>
      <c r="U139" s="36" t="s">
        <v>441</v>
      </c>
      <c r="V139" s="36" t="s">
        <v>442</v>
      </c>
      <c r="W139" s="36" t="s">
        <v>440</v>
      </c>
      <c r="X139" s="36" t="s">
        <v>441</v>
      </c>
      <c r="Y139" s="36" t="s">
        <v>442</v>
      </c>
    </row>
    <row r="140" spans="1:25" x14ac:dyDescent="0.2">
      <c r="A140" s="36" t="s">
        <v>436</v>
      </c>
      <c r="B140">
        <f>VLOOKUP(B137,'8. Uncertainty Results'!$B$447:$E$459,2,FALSE)*(cubicm/gal)*(day/yr)</f>
        <v>641.97018163724317</v>
      </c>
      <c r="C140">
        <f>B140</f>
        <v>641.97018163724317</v>
      </c>
      <c r="D140">
        <f>B140</f>
        <v>641.97018163724317</v>
      </c>
      <c r="E140">
        <f>VLOOKUP(E137,'8. Uncertainty Results'!$B$447:$E$459,2,FALSE)*(cubicm/gal)*(day/yr)</f>
        <v>117.56239957200145</v>
      </c>
      <c r="F140">
        <f t="shared" ref="F140" si="58">E140</f>
        <v>117.56239957200145</v>
      </c>
      <c r="G140">
        <f t="shared" ref="G140:G141" si="59">E140</f>
        <v>117.56239957200145</v>
      </c>
      <c r="H140">
        <f>VLOOKUP(H137,'8. Uncertainty Results'!$B$447:$E$459,2,FALSE)*(cubicm/gal)*(day/yr)</f>
        <v>47.498843620536988</v>
      </c>
      <c r="I140">
        <f t="shared" ref="I140" si="60">H140</f>
        <v>47.498843620536988</v>
      </c>
      <c r="J140">
        <f t="shared" ref="J140:J141" si="61">H140</f>
        <v>47.498843620536988</v>
      </c>
      <c r="K140">
        <f>VLOOKUP(K137,'8. Uncertainty Results'!$B$447:$E$459,2,FALSE)*(cubicm/gal)*(day/yr)</f>
        <v>42.408210336465608</v>
      </c>
      <c r="L140">
        <f t="shared" ref="L140" si="62">K140</f>
        <v>42.408210336465608</v>
      </c>
      <c r="M140">
        <f t="shared" ref="M140:M141" si="63">K140</f>
        <v>42.408210336465608</v>
      </c>
      <c r="N140">
        <f>VLOOKUP(N137,'8. Uncertainty Results'!$B$447:$E$459,2,FALSE)*(cubicm/gal)*(day/yr)</f>
        <v>22.33525955095925</v>
      </c>
      <c r="O140">
        <f t="shared" ref="O140" si="64">N140</f>
        <v>22.33525955095925</v>
      </c>
      <c r="P140">
        <f t="shared" ref="P140:P141" si="65">N140</f>
        <v>22.33525955095925</v>
      </c>
      <c r="Q140">
        <f>VLOOKUP(Q137,'8. Uncertainty Results'!$B$447:$E$459,2,FALSE)*(cubicm/gal)*(day/yr)</f>
        <v>29.817042393023154</v>
      </c>
      <c r="R140">
        <f t="shared" ref="R140" si="66">Q140</f>
        <v>29.817042393023154</v>
      </c>
      <c r="S140">
        <f t="shared" ref="S140:S141" si="67">Q140</f>
        <v>29.817042393023154</v>
      </c>
      <c r="T140">
        <f>VLOOKUP(T137,'8. Uncertainty Results'!$B$447:$E$459,2,FALSE)*(cubicm/gal)*(day/yr)</f>
        <v>45.31422124687375</v>
      </c>
      <c r="U140">
        <f t="shared" ref="U140" si="68">T140</f>
        <v>45.31422124687375</v>
      </c>
      <c r="V140">
        <f t="shared" ref="V140:V141" si="69">T140</f>
        <v>45.31422124687375</v>
      </c>
      <c r="W140">
        <f>VLOOKUP(W137,'8. Uncertainty Results'!$B$447:$E$459,2,FALSE)*(cubicm/gal)*(day/yr)</f>
        <v>92.818770171609202</v>
      </c>
      <c r="X140">
        <f t="shared" ref="X140" si="70">W140</f>
        <v>92.818770171609202</v>
      </c>
      <c r="Y140">
        <f t="shared" ref="Y140:Y141" si="71">W140</f>
        <v>92.818770171609202</v>
      </c>
    </row>
    <row r="141" spans="1:25" x14ac:dyDescent="0.2">
      <c r="A141" s="36" t="s">
        <v>437</v>
      </c>
      <c r="B141">
        <f>VLOOKUP(B137,'8. Uncertainty Results'!$B$447:$E$459,4,FALSE)*(cubicm/gal)*(day/yr)</f>
        <v>806.82411410647023</v>
      </c>
      <c r="C141">
        <f>B141</f>
        <v>806.82411410647023</v>
      </c>
      <c r="D141">
        <f>B141</f>
        <v>806.82411410647023</v>
      </c>
      <c r="E141">
        <f>VLOOKUP(E137,'8. Uncertainty Results'!$B$447:$E$459,4,FALSE)*(cubicm/gal)*(day/yr)</f>
        <v>338.31172411774259</v>
      </c>
      <c r="F141">
        <f t="shared" ref="F141" si="72">E141</f>
        <v>338.31172411774259</v>
      </c>
      <c r="G141">
        <f t="shared" si="59"/>
        <v>338.31172411774259</v>
      </c>
      <c r="H141">
        <f>VLOOKUP(H137,'8. Uncertainty Results'!$B$447:$E$459,4,FALSE)*(cubicm/gal)*(day/yr)</f>
        <v>145.74028952878135</v>
      </c>
      <c r="I141">
        <f t="shared" ref="I141" si="73">H141</f>
        <v>145.74028952878135</v>
      </c>
      <c r="J141">
        <f t="shared" si="61"/>
        <v>145.74028952878135</v>
      </c>
      <c r="K141">
        <f>VLOOKUP(K137,'8. Uncertainty Results'!$B$447:$E$459,4,FALSE)*(cubicm/gal)*(day/yr)</f>
        <v>71.517791844939339</v>
      </c>
      <c r="L141">
        <f t="shared" ref="L141" si="74">K141</f>
        <v>71.517791844939339</v>
      </c>
      <c r="M141">
        <f t="shared" si="63"/>
        <v>71.517791844939339</v>
      </c>
      <c r="N141">
        <f>VLOOKUP(N137,'8. Uncertainty Results'!$B$447:$E$459,4,FALSE)*(cubicm/gal)*(day/yr)</f>
        <v>80.364768327498041</v>
      </c>
      <c r="O141">
        <f t="shared" ref="O141" si="75">N141</f>
        <v>80.364768327498041</v>
      </c>
      <c r="P141">
        <f t="shared" si="65"/>
        <v>80.364768327498041</v>
      </c>
      <c r="Q141">
        <f>VLOOKUP(Q137,'8. Uncertainty Results'!$B$447:$E$459,4,FALSE)*(cubicm/gal)*(day/yr)</f>
        <v>83.152795100740022</v>
      </c>
      <c r="R141">
        <f t="shared" ref="R141" si="76">Q141</f>
        <v>83.152795100740022</v>
      </c>
      <c r="S141">
        <f t="shared" si="67"/>
        <v>83.152795100740022</v>
      </c>
      <c r="T141">
        <f>VLOOKUP(T137,'8. Uncertainty Results'!$B$447:$E$459,4,FALSE)*(cubicm/gal)*(day/yr)</f>
        <v>88.866039600108664</v>
      </c>
      <c r="U141">
        <f t="shared" ref="U141" si="77">T141</f>
        <v>88.866039600108664</v>
      </c>
      <c r="V141">
        <f t="shared" si="69"/>
        <v>88.866039600108664</v>
      </c>
      <c r="W141">
        <f>VLOOKUP(W137,'8. Uncertainty Results'!$B$447:$E$459,4,FALSE)*(cubicm/gal)*(day/yr)</f>
        <v>337.75051838075376</v>
      </c>
      <c r="X141">
        <f t="shared" ref="X141" si="78">W141</f>
        <v>337.75051838075376</v>
      </c>
      <c r="Y141">
        <f t="shared" si="71"/>
        <v>337.75051838075376</v>
      </c>
    </row>
    <row r="142" spans="1:25" x14ac:dyDescent="0.2">
      <c r="A142" s="36" t="s">
        <v>438</v>
      </c>
      <c r="B142">
        <f>VLOOKUP(B137,'8. Uncertainty Results'!$A$115:$CM$126,2+$A$77,FALSE)*((cubicm/gal)*(day/yr))/B120</f>
        <v>19.46413572422238</v>
      </c>
      <c r="C142">
        <f>VLOOKUP(B137,'8. Uncertainty Results'!$A$115:$CM$126,3+$A$77,FALSE)*((cubicm/gal)*(day/yr))/C120</f>
        <v>14.426040251134369</v>
      </c>
      <c r="D142">
        <f>VLOOKUP(B137,'8. Uncertainty Results'!$A$115:$CM$126,4+$A$77,FALSE)*((cubicm/gal)*(day/yr))/D120</f>
        <v>11.392521074921097</v>
      </c>
      <c r="E142">
        <f>VLOOKUP(E137,'8. Uncertainty Results'!$A$115:$CM$126,2+$A$77,FALSE)*((cubicm/gal)*(day/yr))</f>
        <v>0</v>
      </c>
      <c r="F142">
        <f>VLOOKUP(E137,'8. Uncertainty Results'!$A$115:$CM$126,3+$A$77,FALSE)*((cubicm/gal)*(day/yr))</f>
        <v>0</v>
      </c>
      <c r="G142">
        <f>VLOOKUP(E137,'8. Uncertainty Results'!$A$115:$CM$126,4+$A$77,FALSE)*((cubicm/gal)*(day/yr))</f>
        <v>0</v>
      </c>
      <c r="H142">
        <f>VLOOKUP(H137,'8. Uncertainty Results'!$A$115:$CM$126,2+$A$77,FALSE)*((cubicm/gal)*(day/yr))</f>
        <v>30.956599728662258</v>
      </c>
      <c r="I142">
        <f>VLOOKUP(H137,'8. Uncertainty Results'!$A$115:$CM$126,3+$A$77,FALSE)*((cubicm/gal)*(day/yr))</f>
        <v>33.981621830746533</v>
      </c>
      <c r="J142">
        <f>VLOOKUP(H137,'8. Uncertainty Results'!$A$115:$CM$126,4+$A$77,FALSE)*((cubicm/gal)*(day/yr))</f>
        <v>36.957020248668492</v>
      </c>
      <c r="K142">
        <f>VLOOKUP(K137,'8. Uncertainty Results'!$A$115:$CM$126,2+$A$77,FALSE)*((cubicm/gal)*(day/yr))</f>
        <v>0.12453092204228325</v>
      </c>
      <c r="L142">
        <f>VLOOKUP(K137,'8. Uncertainty Results'!$A$115:$CM$126,3+$A$77,FALSE)*((cubicm/gal)*(day/yr))</f>
        <v>0.13637724873402032</v>
      </c>
      <c r="M142">
        <f>VLOOKUP(K137,'8. Uncertainty Results'!$A$115:$CM$126,4+$A$77,FALSE)*((cubicm/gal)*(day/yr))</f>
        <v>0.1482674157799232</v>
      </c>
      <c r="N142">
        <f>VLOOKUP(N137,'8. Uncertainty Results'!$A$115:$CM$126,2+$A$77,FALSE)*((cubicm/gal)*(day/yr))</f>
        <v>8.3020681436669047E-2</v>
      </c>
      <c r="O142">
        <f>VLOOKUP(N137,'8. Uncertainty Results'!$A$115:$CM$126,3+$A$77,FALSE)*((cubicm/gal)*(day/yr))</f>
        <v>9.1051641539773756E-2</v>
      </c>
      <c r="P142">
        <f>VLOOKUP(N137,'8. Uncertainty Results'!$A$115:$CM$126,4+$A$77,FALSE)*((cubicm/gal)*(day/yr))</f>
        <v>9.8971299255839112E-2</v>
      </c>
      <c r="Q142">
        <f>VLOOKUP(Q137,'8. Uncertainty Results'!$A$115:$CM$126,2+$A$77,FALSE)*((cubicm/gal)*(day/yr))</f>
        <v>0.12464180199892107</v>
      </c>
      <c r="R142">
        <f>VLOOKUP(Q137,'8. Uncertainty Results'!$A$115:$CM$126,3+$A$77,FALSE)*((cubicm/gal)*(day/yr))</f>
        <v>0.13665995524090402</v>
      </c>
      <c r="S142">
        <f>VLOOKUP(Q137,'8. Uncertainty Results'!$A$115:$CM$126,4+$A$77,FALSE)*((cubicm/gal)*(day/yr))</f>
        <v>0.14853030915874535</v>
      </c>
      <c r="T142">
        <f>VLOOKUP(T137,'8. Uncertainty Results'!$A$115:$CM$126,2+$A$77,FALSE)*((cubicm/gal)*(day/yr))</f>
        <v>20.24642993416909</v>
      </c>
      <c r="U142">
        <f>VLOOKUP(T137,'8. Uncertainty Results'!$A$115:$CM$126,3+$A$77,FALSE)*((cubicm/gal)*(day/yr))</f>
        <v>21.736610810054923</v>
      </c>
      <c r="V142">
        <f>VLOOKUP(T137,'8. Uncertainty Results'!$A$115:$CM$126,4+$A$77,FALSE)*((cubicm/gal)*(day/yr))</f>
        <v>23.202944295563391</v>
      </c>
      <c r="W142">
        <f>VLOOKUP(W137,'8. Uncertainty Results'!$A$115:$CM$126,2+$A$77,FALSE)*((cubicm/gal)*(day/yr))</f>
        <v>30.923465922626526</v>
      </c>
      <c r="X142">
        <f>VLOOKUP(W137,'8. Uncertainty Results'!$A$115:$CM$126,3+$A$77,FALSE)*((cubicm/gal)*(day/yr))</f>
        <v>33.951595174998047</v>
      </c>
      <c r="Y142">
        <f>VLOOKUP(W137,'8. Uncertainty Results'!$A$115:$CM$126,4+$A$77,FALSE)*((cubicm/gal)*(day/yr))</f>
        <v>36.916507188800615</v>
      </c>
    </row>
    <row r="143" spans="1:25" x14ac:dyDescent="0.2">
      <c r="A143" s="36" t="s">
        <v>400</v>
      </c>
      <c r="B143">
        <f>VLOOKUP(B137,'8. Uncertainty Results'!$A$115:$CM$126,17+$A$77,FALSE)*((cubicm/gal)*(day/yr))/B120</f>
        <v>36.608849324075756</v>
      </c>
      <c r="C143">
        <f>VLOOKUP(B137,'8. Uncertainty Results'!$A$115:$CM$126,18+$A$77,FALSE)*((cubicm/gal)*(day/yr))/C120</f>
        <v>27.238759882804668</v>
      </c>
      <c r="D143">
        <f>VLOOKUP(B137,'8. Uncertainty Results'!$A$115:$CM$126,19+$A$77,FALSE)*((cubicm/gal)*(day/yr))/D120</f>
        <v>21.433762284746372</v>
      </c>
      <c r="E143">
        <f>VLOOKUP(E137,'8. Uncertainty Results'!$A$115:$CM$126,17+$A$77,FALSE)*((cubicm/gal)*(day/yr))</f>
        <v>4.9952368119570743</v>
      </c>
      <c r="F143">
        <f>VLOOKUP(E137,'8. Uncertainty Results'!$A$115:$CM$126,18+$A$77,FALSE)*((cubicm/gal)*(day/yr))</f>
        <v>5.4028318426423505</v>
      </c>
      <c r="G143">
        <f>VLOOKUP(E137,'8. Uncertainty Results'!$A$115:$CM$126,19+$A$77,FALSE)*((cubicm/gal)*(day/yr))</f>
        <v>5.8371585206915686</v>
      </c>
      <c r="H143">
        <f>VLOOKUP(H137,'8. Uncertainty Results'!$A$115:$CM$126,17+$A$77,FALSE)*((cubicm/gal)*(day/yr))</f>
        <v>72.859905782545439</v>
      </c>
      <c r="I143">
        <f>VLOOKUP(H137,'8. Uncertainty Results'!$A$115:$CM$126,18+$A$77,FALSE)*((cubicm/gal)*(day/yr))</f>
        <v>79.69072703118394</v>
      </c>
      <c r="J143">
        <f>VLOOKUP(H137,'8. Uncertainty Results'!$A$115:$CM$126,19+$A$77,FALSE)*((cubicm/gal)*(day/yr))</f>
        <v>86.495333270627853</v>
      </c>
      <c r="K143">
        <f>VLOOKUP(K137,'8. Uncertainty Results'!$A$115:$CM$126,17+$A$77,FALSE)*((cubicm/gal)*(day/yr))</f>
        <v>10.323473905888113</v>
      </c>
      <c r="L143">
        <f>VLOOKUP(K137,'8. Uncertainty Results'!$A$115:$CM$126,18+$A$77,FALSE)*((cubicm/gal)*(day/yr))</f>
        <v>11.668598648406705</v>
      </c>
      <c r="M143">
        <f>VLOOKUP(K137,'8. Uncertainty Results'!$A$115:$CM$126,19+$A$77,FALSE)*((cubicm/gal)*(day/yr))</f>
        <v>13.172061574137325</v>
      </c>
      <c r="N143">
        <f>VLOOKUP(N137,'8. Uncertainty Results'!$A$115:$CM$126,17+$A$77,FALSE)*((cubicm/gal)*(day/yr))</f>
        <v>7.189669242749213</v>
      </c>
      <c r="O143">
        <f>VLOOKUP(N137,'8. Uncertainty Results'!$A$115:$CM$126,18+$A$77,FALSE)*((cubicm/gal)*(day/yr))</f>
        <v>8.0975766402915905</v>
      </c>
      <c r="P143">
        <f>VLOOKUP(N137,'8. Uncertainty Results'!$A$115:$CM$126,19+$A$77,FALSE)*((cubicm/gal)*(day/yr))</f>
        <v>9.1122386579205639</v>
      </c>
      <c r="Q143">
        <f>VLOOKUP(Q137,'8. Uncertainty Results'!$A$115:$CM$126,17+$A$77,FALSE)*((cubicm/gal)*(day/yr))</f>
        <v>10.309127874745817</v>
      </c>
      <c r="R143">
        <f>VLOOKUP(Q137,'8. Uncertainty Results'!$A$115:$CM$126,18+$A$77,FALSE)*((cubicm/gal)*(day/yr))</f>
        <v>11.679176094875233</v>
      </c>
      <c r="S143">
        <f>VLOOKUP(Q137,'8. Uncertainty Results'!$A$115:$CM$126,19+$A$77,FALSE)*((cubicm/gal)*(day/yr))</f>
        <v>13.216579352482366</v>
      </c>
      <c r="T143">
        <f>VLOOKUP(T137,'8. Uncertainty Results'!$A$115:$CM$126,17+$A$77,FALSE)*((cubicm/gal)*(day/yr))</f>
        <v>1.6840340860567267</v>
      </c>
      <c r="U143">
        <f>VLOOKUP(T137,'8. Uncertainty Results'!$A$115:$CM$126,18+$A$77,FALSE)*((cubicm/gal)*(day/yr))</f>
        <v>1.813442616798268</v>
      </c>
      <c r="V143">
        <f>VLOOKUP(T137,'8. Uncertainty Results'!$A$115:$CM$126,19+$A$77,FALSE)*((cubicm/gal)*(day/yr))</f>
        <v>1.9675962432005576</v>
      </c>
      <c r="W143">
        <f>VLOOKUP(W137,'8. Uncertainty Results'!$A$115:$CM$126,17+$A$77,FALSE)*((cubicm/gal)*(day/yr))</f>
        <v>73.041456272207668</v>
      </c>
      <c r="X143">
        <f>VLOOKUP(W137,'8. Uncertainty Results'!$A$115:$CM$126,18+$A$77,FALSE)*((cubicm/gal)*(day/yr))</f>
        <v>79.88565401514397</v>
      </c>
      <c r="Y143">
        <f>VLOOKUP(W137,'8. Uncertainty Results'!$A$115:$CM$126,19+$A$77,FALSE)*((cubicm/gal)*(day/yr))</f>
        <v>86.593702619396964</v>
      </c>
    </row>
    <row r="144" spans="1:25" x14ac:dyDescent="0.2">
      <c r="A144" s="36" t="s">
        <v>401</v>
      </c>
      <c r="B144">
        <f>VLOOKUP(B137,'8. Uncertainty Results'!$A$115:$CM$126,32+$A$77,FALSE)*((cubicm/gal)*(day/yr))/B120</f>
        <v>0</v>
      </c>
      <c r="C144">
        <f>VLOOKUP(B137,'8. Uncertainty Results'!$A$115:$CM$126,33+$A$77,FALSE)*((cubicm/gal)*(day/yr))/C120</f>
        <v>0</v>
      </c>
      <c r="D144">
        <f>VLOOKUP(B137,'8. Uncertainty Results'!$A$115:$CM$126,34+$A$77,FALSE)*((cubicm/gal)*(day/yr))/D120</f>
        <v>0</v>
      </c>
      <c r="E144">
        <f>VLOOKUP(E137,'8. Uncertainty Results'!$A$115:$CM$126,32+$A$77,FALSE)*((cubicm/gal)*(day/yr))</f>
        <v>0</v>
      </c>
      <c r="F144">
        <f>VLOOKUP(E137,'8. Uncertainty Results'!$A$115:$CM$126,33+$A$77,FALSE)*((cubicm/gal)*(day/yr))</f>
        <v>0</v>
      </c>
      <c r="G144">
        <f>VLOOKUP(E137,'8. Uncertainty Results'!$A$115:$CM$126,34+$A$77,FALSE)*((cubicm/gal)*(day/yr))</f>
        <v>0</v>
      </c>
      <c r="H144">
        <f>VLOOKUP(H137,'8. Uncertainty Results'!$A$115:$CM$126,32+$A$77,FALSE)*((cubicm/gal)*(day/yr))</f>
        <v>0</v>
      </c>
      <c r="I144">
        <f>VLOOKUP(H137,'8. Uncertainty Results'!$A$115:$CM$126,33+$A$77,FALSE)*((cubicm/gal)*(day/yr))</f>
        <v>0</v>
      </c>
      <c r="J144">
        <f>VLOOKUP(H137,'8. Uncertainty Results'!$A$115:$CM$126,34+$A$77,FALSE)*((cubicm/gal)*(day/yr))</f>
        <v>0</v>
      </c>
      <c r="K144">
        <f>VLOOKUP(K137,'8. Uncertainty Results'!$A$115:$CM$126,32+$A$77,FALSE)*((cubicm/gal)*(day/yr))</f>
        <v>0</v>
      </c>
      <c r="L144">
        <f>VLOOKUP(K137,'8. Uncertainty Results'!$A$115:$CM$126,33+$A$77,FALSE)*((cubicm/gal)*(day/yr))</f>
        <v>0</v>
      </c>
      <c r="M144">
        <f>VLOOKUP(K137,'8. Uncertainty Results'!$A$115:$CM$126,34+$A$77,FALSE)*((cubicm/gal)*(day/yr))</f>
        <v>0</v>
      </c>
      <c r="N144">
        <f>VLOOKUP(N137,'8. Uncertainty Results'!$A$115:$CM$126,32+$A$77,FALSE)*((cubicm/gal)*(day/yr))</f>
        <v>0</v>
      </c>
      <c r="O144">
        <f>VLOOKUP(N137,'8. Uncertainty Results'!$A$115:$CM$126,33+$A$77,FALSE)*((cubicm/gal)*(day/yr))</f>
        <v>0</v>
      </c>
      <c r="P144">
        <f>VLOOKUP(N137,'8. Uncertainty Results'!$A$115:$CM$126,34+$A$77,FALSE)*((cubicm/gal)*(day/yr))</f>
        <v>0</v>
      </c>
      <c r="Q144">
        <f>VLOOKUP(Q137,'8. Uncertainty Results'!$A$115:$CM$126,32+$A$77,FALSE)*((cubicm/gal)*(day/yr))</f>
        <v>0</v>
      </c>
      <c r="R144">
        <f>VLOOKUP(Q137,'8. Uncertainty Results'!$A$115:$CM$126,33+$A$77,FALSE)*((cubicm/gal)*(day/yr))</f>
        <v>0</v>
      </c>
      <c r="S144">
        <f>VLOOKUP(Q137,'8. Uncertainty Results'!$A$115:$CM$126,34+$A$77,FALSE)*((cubicm/gal)*(day/yr))</f>
        <v>0</v>
      </c>
      <c r="T144">
        <f>VLOOKUP(T137,'8. Uncertainty Results'!$A$115:$CM$126,32+$A$77,FALSE)*((cubicm/gal)*(day/yr))</f>
        <v>0</v>
      </c>
      <c r="U144">
        <f>VLOOKUP(T137,'8. Uncertainty Results'!$A$115:$CM$126,33+$A$77,FALSE)*((cubicm/gal)*(day/yr))</f>
        <v>0</v>
      </c>
      <c r="V144">
        <f>VLOOKUP(T137,'8. Uncertainty Results'!$A$115:$CM$126,34+$A$77,FALSE)*((cubicm/gal)*(day/yr))</f>
        <v>0</v>
      </c>
      <c r="W144">
        <f>VLOOKUP(W137,'8. Uncertainty Results'!$A$115:$CM$126,32+$A$77,FALSE)*((cubicm/gal)*(day/yr))</f>
        <v>0</v>
      </c>
      <c r="X144">
        <f>VLOOKUP(W137,'8. Uncertainty Results'!$A$115:$CM$126,33+$A$77,FALSE)*((cubicm/gal)*(day/yr))</f>
        <v>0</v>
      </c>
      <c r="Y144">
        <f>VLOOKUP(W137,'8. Uncertainty Results'!$A$115:$CM$126,34+$A$77,FALSE)*((cubicm/gal)*(day/yr))</f>
        <v>0</v>
      </c>
    </row>
    <row r="145" spans="1:25" x14ac:dyDescent="0.2">
      <c r="A145" s="36" t="s">
        <v>402</v>
      </c>
      <c r="B145">
        <f>VLOOKUP(B137,'8. Uncertainty Results'!$A$115:$CM$126,47+$A$77,FALSE)*((cubicm/gal)*(day/yr))/B120</f>
        <v>1374.814485288889</v>
      </c>
      <c r="C145">
        <f>VLOOKUP(B137,'8. Uncertainty Results'!$A$115:$CM$126,48+$A$77,FALSE)*((cubicm/gal)*(day/yr))/C120</f>
        <v>1645.7275042239044</v>
      </c>
      <c r="D145">
        <f>VLOOKUP(B137,'8. Uncertainty Results'!$A$115:$CM$126,49+$A$77,FALSE)*((cubicm/gal)*(day/yr))/D120</f>
        <v>1918.3323804439719</v>
      </c>
      <c r="E145">
        <f>VLOOKUP(E137,'8. Uncertainty Results'!$A$115:$CM$126,47+$A$77,FALSE)*((cubicm/gal)*(day/yr))</f>
        <v>574.40188281246037</v>
      </c>
      <c r="F145">
        <f>VLOOKUP(E137,'8. Uncertainty Results'!$A$115:$CM$126,48+$A$77,FALSE)*((cubicm/gal)*(day/yr))</f>
        <v>782.62231515963094</v>
      </c>
      <c r="G145">
        <f>VLOOKUP(E137,'8. Uncertainty Results'!$A$115:$CM$126,49+$A$77,FALSE)*((cubicm/gal)*(day/yr))</f>
        <v>1012.6959338483144</v>
      </c>
      <c r="H145">
        <f>VLOOKUP(H137,'8. Uncertainty Results'!$A$115:$CM$126,47+$A$77,FALSE)*((cubicm/gal)*(day/yr))</f>
        <v>57.105597962745961</v>
      </c>
      <c r="I145">
        <f>VLOOKUP(H137,'8. Uncertainty Results'!$A$115:$CM$126,48+$A$77,FALSE)*((cubicm/gal)*(day/yr))</f>
        <v>87.509182353080163</v>
      </c>
      <c r="J145">
        <f>VLOOKUP(H137,'8. Uncertainty Results'!$A$115:$CM$126,49+$A$77,FALSE)*((cubicm/gal)*(day/yr))</f>
        <v>134.6029378686132</v>
      </c>
      <c r="K145">
        <f>VLOOKUP(K137,'8. Uncertainty Results'!$A$115:$CM$126,47+$A$77,FALSE)*((cubicm/gal)*(day/yr))</f>
        <v>69.912283819038279</v>
      </c>
      <c r="L145">
        <f>VLOOKUP(K137,'8. Uncertainty Results'!$A$115:$CM$126,48+$A$77,FALSE)*((cubicm/gal)*(day/yr))</f>
        <v>103.46906210599714</v>
      </c>
      <c r="M145">
        <f>VLOOKUP(K137,'8. Uncertainty Results'!$A$115:$CM$126,49+$A$77,FALSE)*((cubicm/gal)*(day/yr))</f>
        <v>146.20059404445962</v>
      </c>
      <c r="N145">
        <f>VLOOKUP(N137,'8. Uncertainty Results'!$A$115:$CM$126,47+$A$77,FALSE)*((cubicm/gal)*(day/yr))</f>
        <v>52.447388111169595</v>
      </c>
      <c r="O145">
        <f>VLOOKUP(N137,'8. Uncertainty Results'!$A$115:$CM$126,48+$A$77,FALSE)*((cubicm/gal)*(day/yr))</f>
        <v>77.717463447516792</v>
      </c>
      <c r="P145">
        <f>VLOOKUP(N137,'8. Uncertainty Results'!$A$115:$CM$126,49+$A$77,FALSE)*((cubicm/gal)*(day/yr))</f>
        <v>109.60085918256839</v>
      </c>
      <c r="Q145">
        <f>VLOOKUP(Q137,'8. Uncertainty Results'!$A$115:$CM$126,47+$A$77,FALSE)*((cubicm/gal)*(day/yr))</f>
        <v>71.254495737978075</v>
      </c>
      <c r="R145">
        <f>VLOOKUP(Q137,'8. Uncertainty Results'!$A$115:$CM$126,48+$A$77,FALSE)*((cubicm/gal)*(day/yr))</f>
        <v>104.14518545776941</v>
      </c>
      <c r="S145">
        <f>VLOOKUP(Q137,'8. Uncertainty Results'!$A$115:$CM$126,49+$A$77,FALSE)*((cubicm/gal)*(day/yr))</f>
        <v>146.87181216367523</v>
      </c>
      <c r="T145">
        <f>VLOOKUP(T137,'8. Uncertainty Results'!$A$115:$CM$126,47+$A$77,FALSE)*((cubicm/gal)*(day/yr))</f>
        <v>58.317864178891398</v>
      </c>
      <c r="U145">
        <f>VLOOKUP(T137,'8. Uncertainty Results'!$A$115:$CM$126,48+$A$77,FALSE)*((cubicm/gal)*(day/yr))</f>
        <v>92.739347434490654</v>
      </c>
      <c r="V145">
        <f>VLOOKUP(T137,'8. Uncertainty Results'!$A$115:$CM$126,49+$A$77,FALSE)*((cubicm/gal)*(day/yr))</f>
        <v>134.60036649129441</v>
      </c>
      <c r="W145">
        <f>VLOOKUP(W137,'8. Uncertainty Results'!$A$115:$CM$126,47+$A$77,FALSE)*((cubicm/gal)*(day/yr))</f>
        <v>56.430726896986691</v>
      </c>
      <c r="X145">
        <f>VLOOKUP(W137,'8. Uncertainty Results'!$A$115:$CM$126,48+$A$77,FALSE)*((cubicm/gal)*(day/yr))</f>
        <v>87.962666793962853</v>
      </c>
      <c r="Y145">
        <f>VLOOKUP(W137,'8. Uncertainty Results'!$A$115:$CM$126,49+$A$77,FALSE)*((cubicm/gal)*(day/yr))</f>
        <v>135.65789576222579</v>
      </c>
    </row>
    <row r="146" spans="1:25" x14ac:dyDescent="0.2">
      <c r="A146" s="36" t="s">
        <v>403</v>
      </c>
      <c r="B146">
        <f>VLOOKUP(B137,'8. Uncertainty Results'!$A$115:$CM$126,62+$A$77,FALSE)*((cubicm/gal)*(day/yr))/B120</f>
        <v>5.3142396122206854</v>
      </c>
      <c r="C146">
        <f>VLOOKUP(B137,'8. Uncertainty Results'!$A$115:$CM$126,63+$A$77,FALSE)*((cubicm/gal)*(day/yr))/C120</f>
        <v>3.7817091079575271</v>
      </c>
      <c r="D146">
        <f>VLOOKUP(B137,'8. Uncertainty Results'!$A$115:$CM$126,64+$A$77,FALSE)*((cubicm/gal)*(day/yr))/D120</f>
        <v>2.8844513664251239</v>
      </c>
      <c r="E146">
        <f>VLOOKUP(E137,'8. Uncertainty Results'!$A$115:$CM$126,62+$A$77,FALSE)*((cubicm/gal)*(day/yr))</f>
        <v>1.2213394003033495</v>
      </c>
      <c r="F146">
        <f>VLOOKUP(E137,'8. Uncertainty Results'!$A$115:$CM$126,63+$A$77,FALSE)*((cubicm/gal)*(day/yr))</f>
        <v>1.2724623522909433</v>
      </c>
      <c r="G146">
        <f>VLOOKUP(E137,'8. Uncertainty Results'!$A$115:$CM$126,64+$A$77,FALSE)*((cubicm/gal)*(day/yr))</f>
        <v>1.3285628296611312</v>
      </c>
      <c r="H146">
        <f>VLOOKUP(H137,'8. Uncertainty Results'!$A$115:$CM$126,62+$A$77,FALSE)*((cubicm/gal)*(day/yr))</f>
        <v>0.57315041862734162</v>
      </c>
      <c r="I146">
        <f>VLOOKUP(H137,'8. Uncertainty Results'!$A$115:$CM$126,63+$A$77,FALSE)*((cubicm/gal)*(day/yr))</f>
        <v>0.60309946330928166</v>
      </c>
      <c r="J146">
        <f>VLOOKUP(H137,'8. Uncertainty Results'!$A$115:$CM$126,64+$A$77,FALSE)*((cubicm/gal)*(day/yr))</f>
        <v>0.63561496499010461</v>
      </c>
      <c r="K146">
        <f>VLOOKUP(K137,'8. Uncertainty Results'!$A$115:$CM$126,62+$A$77,FALSE)*((cubicm/gal)*(day/yr))</f>
        <v>0.31855327958335422</v>
      </c>
      <c r="L146">
        <f>VLOOKUP(K137,'8. Uncertainty Results'!$A$115:$CM$126,63+$A$77,FALSE)*((cubicm/gal)*(day/yr))</f>
        <v>0.33529498559561532</v>
      </c>
      <c r="M146">
        <f>VLOOKUP(K137,'8. Uncertainty Results'!$A$115:$CM$126,64+$A$77,FALSE)*((cubicm/gal)*(day/yr))</f>
        <v>0.35363895796309125</v>
      </c>
      <c r="N146">
        <f>VLOOKUP(N137,'8. Uncertainty Results'!$A$115:$CM$126,62+$A$77,FALSE)*((cubicm/gal)*(day/yr))</f>
        <v>0.22449957076192226</v>
      </c>
      <c r="O146">
        <f>VLOOKUP(N137,'8. Uncertainty Results'!$A$115:$CM$126,63+$A$77,FALSE)*((cubicm/gal)*(day/yr))</f>
        <v>0.23634072830279354</v>
      </c>
      <c r="P146">
        <f>VLOOKUP(N137,'8. Uncertainty Results'!$A$115:$CM$126,64+$A$77,FALSE)*((cubicm/gal)*(day/yr))</f>
        <v>0.24905376890834274</v>
      </c>
      <c r="Q146">
        <f>VLOOKUP(Q137,'8. Uncertainty Results'!$A$115:$CM$126,62+$A$77,FALSE)*((cubicm/gal)*(day/yr))</f>
        <v>0.3184702654501203</v>
      </c>
      <c r="R146">
        <f>VLOOKUP(Q137,'8. Uncertainty Results'!$A$115:$CM$126,63+$A$77,FALSE)*((cubicm/gal)*(day/yr))</f>
        <v>0.33552865130552328</v>
      </c>
      <c r="S146">
        <f>VLOOKUP(Q137,'8. Uncertainty Results'!$A$115:$CM$126,64+$A$77,FALSE)*((cubicm/gal)*(day/yr))</f>
        <v>0.35352133276272607</v>
      </c>
      <c r="T146">
        <f>VLOOKUP(T137,'8. Uncertainty Results'!$A$115:$CM$126,62+$A$77,FALSE)*((cubicm/gal)*(day/yr))</f>
        <v>0.11527311443847871</v>
      </c>
      <c r="U146">
        <f>VLOOKUP(T137,'8. Uncertainty Results'!$A$115:$CM$126,63+$A$77,FALSE)*((cubicm/gal)*(day/yr))</f>
        <v>0.11916130519310947</v>
      </c>
      <c r="V146">
        <f>VLOOKUP(T137,'8. Uncertainty Results'!$A$115:$CM$126,64+$A$77,FALSE)*((cubicm/gal)*(day/yr))</f>
        <v>0.12357719386846672</v>
      </c>
      <c r="W146">
        <f>VLOOKUP(W137,'8. Uncertainty Results'!$A$115:$CM$126,62+$A$77,FALSE)*((cubicm/gal)*(day/yr))</f>
        <v>0.5730344089763677</v>
      </c>
      <c r="X146">
        <f>VLOOKUP(W137,'8. Uncertainty Results'!$A$115:$CM$126,63+$A$77,FALSE)*((cubicm/gal)*(day/yr))</f>
        <v>0.60375628039746909</v>
      </c>
      <c r="Y146">
        <f>VLOOKUP(W137,'8. Uncertainty Results'!$A$115:$CM$126,64+$A$77,FALSE)*((cubicm/gal)*(day/yr))</f>
        <v>0.6361488355977587</v>
      </c>
    </row>
    <row r="147" spans="1:25" x14ac:dyDescent="0.2">
      <c r="A147" s="36" t="s">
        <v>439</v>
      </c>
      <c r="B147">
        <f>VLOOKUP(B137,'8. Uncertainty Results'!$A$115:$CM$126,77+$A$77,FALSE)*((cubicm/gal)*(day/yr))/B120</f>
        <v>0</v>
      </c>
      <c r="C147">
        <f>VLOOKUP(B137,'8. Uncertainty Results'!$A$115:$CM$126,78+$A$77,FALSE)*((cubicm/gal)*(day/yr))/C120</f>
        <v>0</v>
      </c>
      <c r="D147">
        <f>VLOOKUP(B137,'8. Uncertainty Results'!$A$115:$CM$126,79+$A$77,FALSE)*((cubicm/gal)*(day/yr))/D120</f>
        <v>0</v>
      </c>
      <c r="E147">
        <f>VLOOKUP(E137,'8. Uncertainty Results'!$A$115:$CM$126,77+$A$77,FALSE)*((cubicm/gal)*(day/yr))</f>
        <v>1.3028180507257696</v>
      </c>
      <c r="F147">
        <f>VLOOKUP(E137,'8. Uncertainty Results'!$A$115:$CM$126,78+$A$77,FALSE)*((cubicm/gal)*(day/yr))</f>
        <v>1.5199747973842646</v>
      </c>
      <c r="G147">
        <f>VLOOKUP(E137,'8. Uncertainty Results'!$A$115:$CM$126,79+$A$77,FALSE)*((cubicm/gal)*(day/yr))</f>
        <v>1.7510215623410514</v>
      </c>
      <c r="H147">
        <f>VLOOKUP(H137,'8. Uncertainty Results'!$A$115:$CM$126,77+$A$77,FALSE)*((cubicm/gal)*(day/yr))</f>
        <v>2.4107040940123938</v>
      </c>
      <c r="I147">
        <f>VLOOKUP(H137,'8. Uncertainty Results'!$A$115:$CM$126,78+$A$77,FALSE)*((cubicm/gal)*(day/yr))</f>
        <v>2.810396805393832</v>
      </c>
      <c r="J147">
        <f>VLOOKUP(H137,'8. Uncertainty Results'!$A$115:$CM$126,79+$A$77,FALSE)*((cubicm/gal)*(day/yr))</f>
        <v>3.240960731046628</v>
      </c>
      <c r="K147">
        <f>VLOOKUP(K137,'8. Uncertainty Results'!$A$115:$CM$126,77+$A$77,FALSE)*((cubicm/gal)*(day/yr))</f>
        <v>0</v>
      </c>
      <c r="L147">
        <f>VLOOKUP(K137,'8. Uncertainty Results'!$A$115:$CM$126,78+$A$77,FALSE)*((cubicm/gal)*(day/yr))</f>
        <v>0</v>
      </c>
      <c r="M147">
        <f>VLOOKUP(K137,'8. Uncertainty Results'!$A$115:$CM$126,79+$A$77,FALSE)*((cubicm/gal)*(day/yr))</f>
        <v>0</v>
      </c>
      <c r="N147">
        <f>VLOOKUP(N137,'8. Uncertainty Results'!$A$115:$CM$126,77+$A$77,FALSE)*((cubicm/gal)*(day/yr))</f>
        <v>0</v>
      </c>
      <c r="O147">
        <f>VLOOKUP(N137,'8. Uncertainty Results'!$A$115:$CM$126,78+$A$77,FALSE)*((cubicm/gal)*(day/yr))</f>
        <v>0</v>
      </c>
      <c r="P147">
        <f>VLOOKUP(N137,'8. Uncertainty Results'!$A$115:$CM$126,79+$A$77,FALSE)*((cubicm/gal)*(day/yr))</f>
        <v>0</v>
      </c>
      <c r="Q147">
        <f>VLOOKUP(Q137,'8. Uncertainty Results'!$A$115:$CM$126,77+$A$77,FALSE)*((cubicm/gal)*(day/yr))</f>
        <v>0</v>
      </c>
      <c r="R147">
        <f>VLOOKUP(Q137,'8. Uncertainty Results'!$A$115:$CM$126,78+$A$77,FALSE)*((cubicm/gal)*(day/yr))</f>
        <v>0</v>
      </c>
      <c r="S147">
        <f>VLOOKUP(Q137,'8. Uncertainty Results'!$A$115:$CM$126,79+$A$77,FALSE)*((cubicm/gal)*(day/yr))</f>
        <v>0</v>
      </c>
      <c r="T147">
        <f>VLOOKUP(T137,'8. Uncertainty Results'!$A$115:$CM$126,77+$A$77,FALSE)*((cubicm/gal)*(day/yr))</f>
        <v>0</v>
      </c>
      <c r="U147">
        <f>VLOOKUP(T137,'8. Uncertainty Results'!$A$115:$CM$126,78+$A$77,FALSE)*((cubicm/gal)*(day/yr))</f>
        <v>0</v>
      </c>
      <c r="V147">
        <f>VLOOKUP(T137,'8. Uncertainty Results'!$A$115:$CM$126,79+$A$77,FALSE)*((cubicm/gal)*(day/yr))</f>
        <v>0</v>
      </c>
      <c r="W147">
        <f>VLOOKUP(W137,'8. Uncertainty Results'!$A$115:$CM$126,77+$A$77,FALSE)*((cubicm/gal)*(day/yr))</f>
        <v>2.4210820585221922</v>
      </c>
      <c r="X147">
        <f>VLOOKUP(W137,'8. Uncertainty Results'!$A$115:$CM$126,78+$A$77,FALSE)*((cubicm/gal)*(day/yr))</f>
        <v>2.8212226288697164</v>
      </c>
      <c r="Y147">
        <f>VLOOKUP(W137,'8. Uncertainty Results'!$A$115:$CM$126,79+$A$77,FALSE)*((cubicm/gal)*(day/yr))</f>
        <v>3.2538919253576588</v>
      </c>
    </row>
    <row r="148" spans="1:25" x14ac:dyDescent="0.2">
      <c r="A148" s="36" t="s">
        <v>492</v>
      </c>
      <c r="B148">
        <f>VLOOKUP(B137,'8. Uncertainty Results'!$A$203:$D$215,2,FALSE)/1000000/B120</f>
        <v>20.695571844531454</v>
      </c>
      <c r="C148">
        <f>VLOOKUP(B137,'8. Uncertainty Results'!$A$203:$D$215,3,FALSE)/1000000/C120</f>
        <v>15.621127277415249</v>
      </c>
      <c r="D148">
        <f>VLOOKUP(B137,'8. Uncertainty Results'!$A$203:$D$215,4,FALSE)/1000000/D120</f>
        <v>12.510097861796615</v>
      </c>
      <c r="E148">
        <f>VLOOKUP(E137,'8. Uncertainty Results'!$A$203:$D$215,2,FALSE)/1000000</f>
        <v>30.329777237026992</v>
      </c>
      <c r="F148">
        <f>VLOOKUP(E137,'8. Uncertainty Results'!$A$203:$D$215,3,FALSE)/1000000</f>
        <v>34.810209497471384</v>
      </c>
      <c r="G148">
        <f>VLOOKUP(E137,'8. Uncertainty Results'!$A$203:$D$215,4,FALSE)/1000000</f>
        <v>39.804593895523155</v>
      </c>
      <c r="H148">
        <f>VLOOKUP(H137,'8. Uncertainty Results'!$A$203:$D$215,2,FALSE)/1000000</f>
        <v>0.36684257135850085</v>
      </c>
      <c r="I148">
        <f>VLOOKUP(H137,'8. Uncertainty Results'!$A$203:$D$215,3,FALSE)/1000000</f>
        <v>1.9272387365708405</v>
      </c>
      <c r="J148">
        <f>VLOOKUP(H137,'8. Uncertainty Results'!$A$203:$D$215,4,FALSE)/1000000</f>
        <v>9.7366119085476832</v>
      </c>
      <c r="K148">
        <f>VLOOKUP(K137,'8. Uncertainty Results'!$A$203:$D$215,2,FALSE)/1000000</f>
        <v>28.572915147869598</v>
      </c>
      <c r="L148">
        <f>VLOOKUP(K137,'8. Uncertainty Results'!$A$203:$D$215,3,FALSE)/1000000</f>
        <v>36.784589510791825</v>
      </c>
      <c r="M148">
        <f>VLOOKUP(K137,'8. Uncertainty Results'!$A$203:$D$215,4,FALSE)/1000000</f>
        <v>63.986855731934547</v>
      </c>
      <c r="N148">
        <f>VLOOKUP(N137,'8. Uncertainty Results'!$A$203:$D$215,2,FALSE)/1000000</f>
        <v>12.60217290105447</v>
      </c>
      <c r="O148">
        <f>VLOOKUP(N137,'8. Uncertainty Results'!$A$203:$D$215,3,FALSE)/1000000</f>
        <v>19.226978004610444</v>
      </c>
      <c r="P148">
        <f>VLOOKUP(N137,'8. Uncertainty Results'!$A$203:$D$215,4,FALSE)/1000000</f>
        <v>49.036167912910365</v>
      </c>
      <c r="Q148">
        <f>VLOOKUP(Q137,'8. Uncertainty Results'!$A$203:$D$215,2,FALSE)/1000000</f>
        <v>4.9234855062215894</v>
      </c>
      <c r="R148">
        <f>VLOOKUP(Q137,'8. Uncertainty Results'!$A$203:$D$215,3,FALSE)/1000000</f>
        <v>5.37106142092306</v>
      </c>
      <c r="S148">
        <f>VLOOKUP(Q137,'8. Uncertainty Results'!$A$203:$D$215,4,FALSE)/1000000</f>
        <v>5.8389653933930203</v>
      </c>
      <c r="T148">
        <f>VLOOKUP(T137,'8. Uncertainty Results'!$A$203:$D$215,2,FALSE)/1000000</f>
        <v>3.9079818470785299</v>
      </c>
      <c r="U148">
        <f>VLOOKUP(T137,'8. Uncertainty Results'!$A$203:$D$215,3,FALSE)/1000000</f>
        <v>4.2843021047777894</v>
      </c>
      <c r="V148">
        <f>VLOOKUP(T137,'8. Uncertainty Results'!$A$203:$D$215,4,FALSE)/1000000</f>
        <v>4.6474321803099699</v>
      </c>
      <c r="W148">
        <f>VLOOKUP(W137,'8. Uncertainty Results'!$A$203:$D$215,2,FALSE)/1000000</f>
        <v>0.23425673678805656</v>
      </c>
      <c r="X148">
        <f>VLOOKUP(W137,'8. Uncertainty Results'!$A$203:$D$215,3,FALSE)/1000000</f>
        <v>1.1548930353673985</v>
      </c>
      <c r="Y148">
        <f>VLOOKUP(W137,'8. Uncertainty Results'!$A$203:$D$215,4,FALSE)/1000000</f>
        <v>5.5129749020288967</v>
      </c>
    </row>
    <row r="153" spans="1:25" x14ac:dyDescent="0.2">
      <c r="A153" s="32" t="s">
        <v>569</v>
      </c>
    </row>
    <row r="154" spans="1:25" x14ac:dyDescent="0.2">
      <c r="A154">
        <v>6</v>
      </c>
    </row>
    <row r="155" spans="1:25" x14ac:dyDescent="0.2">
      <c r="A155" t="s">
        <v>490</v>
      </c>
    </row>
    <row r="156" spans="1:25" x14ac:dyDescent="0.2">
      <c r="B156" s="474">
        <f>VLOOKUP(B157,'1. Introduction &amp; Notes'!$C$17:$D$28,2,FALSE)</f>
        <v>18100204</v>
      </c>
      <c r="C156" s="474"/>
      <c r="D156" s="474"/>
      <c r="E156" s="474">
        <f>VLOOKUP(E157,'1. Introduction &amp; Notes'!$C$17:$D$28,2,FALSE)</f>
        <v>16040201</v>
      </c>
      <c r="F156" s="474"/>
      <c r="G156" s="474"/>
      <c r="H156" s="474">
        <f>VLOOKUP(H157,'1. Introduction &amp; Notes'!$C$17:$D$28,2,FALSE)</f>
        <v>15030202</v>
      </c>
      <c r="I156" s="474"/>
      <c r="J156" s="474"/>
      <c r="K156" s="474">
        <f>VLOOKUP(K157,'1. Introduction &amp; Notes'!$C$17:$D$28,2,FALSE)</f>
        <v>16060011</v>
      </c>
      <c r="L156" s="474"/>
      <c r="M156" s="474"/>
      <c r="N156" s="474">
        <f>VLOOKUP(N157,'1. Introduction &amp; Notes'!$C$17:$D$28,2,FALSE)</f>
        <v>16060003</v>
      </c>
      <c r="O156" s="474"/>
      <c r="P156" s="474"/>
      <c r="Q156" s="474">
        <f>VLOOKUP(Q157,'1. Introduction &amp; Notes'!$C$17:$D$28,2,FALSE)</f>
        <v>16060013</v>
      </c>
      <c r="R156" s="474"/>
      <c r="S156" s="474"/>
      <c r="T156" s="474">
        <f>VLOOKUP(T157,'1. Introduction &amp; Notes'!$C$17:$D$28,2,FALSE)</f>
        <v>16060010</v>
      </c>
      <c r="U156" s="474"/>
      <c r="V156" s="474"/>
      <c r="W156" s="474">
        <f>VLOOKUP(W157,'1. Introduction &amp; Notes'!$C$17:$D$28,2,FALSE)</f>
        <v>15030201</v>
      </c>
      <c r="X156" s="474"/>
      <c r="Y156" s="474"/>
    </row>
    <row r="157" spans="1:25" x14ac:dyDescent="0.2">
      <c r="B157" s="474" t="s">
        <v>539</v>
      </c>
      <c r="C157" s="474"/>
      <c r="D157" s="474"/>
      <c r="E157" s="474" t="s">
        <v>417</v>
      </c>
      <c r="F157" s="474"/>
      <c r="G157" s="474"/>
      <c r="H157" s="481" t="s">
        <v>418</v>
      </c>
      <c r="I157" s="481"/>
      <c r="J157" s="481"/>
      <c r="K157" s="481" t="s">
        <v>419</v>
      </c>
      <c r="L157" s="481"/>
      <c r="M157" s="481"/>
      <c r="N157" s="481" t="s">
        <v>420</v>
      </c>
      <c r="O157" s="481"/>
      <c r="P157" s="481"/>
      <c r="Q157" s="481" t="s">
        <v>421</v>
      </c>
      <c r="R157" s="481"/>
      <c r="S157" s="481"/>
      <c r="T157" s="481" t="s">
        <v>422</v>
      </c>
      <c r="U157" s="481"/>
      <c r="V157" s="481"/>
      <c r="W157" s="481" t="s">
        <v>423</v>
      </c>
      <c r="X157" s="481"/>
      <c r="Y157" s="481"/>
    </row>
    <row r="158" spans="1:25" x14ac:dyDescent="0.2">
      <c r="B158" t="s">
        <v>440</v>
      </c>
      <c r="C158" t="s">
        <v>441</v>
      </c>
      <c r="D158" t="s">
        <v>442</v>
      </c>
      <c r="E158" t="s">
        <v>440</v>
      </c>
      <c r="F158" t="s">
        <v>441</v>
      </c>
      <c r="G158" t="s">
        <v>442</v>
      </c>
      <c r="H158" t="s">
        <v>440</v>
      </c>
      <c r="I158" t="s">
        <v>441</v>
      </c>
      <c r="J158" t="s">
        <v>442</v>
      </c>
      <c r="K158" t="s">
        <v>440</v>
      </c>
      <c r="L158" t="s">
        <v>441</v>
      </c>
      <c r="M158" t="s">
        <v>442</v>
      </c>
      <c r="N158" t="s">
        <v>440</v>
      </c>
      <c r="O158" t="s">
        <v>441</v>
      </c>
      <c r="P158" t="s">
        <v>442</v>
      </c>
      <c r="Q158" t="s">
        <v>440</v>
      </c>
      <c r="R158" t="s">
        <v>441</v>
      </c>
      <c r="S158" t="s">
        <v>442</v>
      </c>
      <c r="T158" t="s">
        <v>440</v>
      </c>
      <c r="U158" t="s">
        <v>441</v>
      </c>
      <c r="V158" t="s">
        <v>442</v>
      </c>
      <c r="W158" t="s">
        <v>440</v>
      </c>
      <c r="X158" t="s">
        <v>441</v>
      </c>
      <c r="Y158" t="s">
        <v>442</v>
      </c>
    </row>
    <row r="159" spans="1:25" x14ac:dyDescent="0.2">
      <c r="A159" t="s">
        <v>436</v>
      </c>
      <c r="B159">
        <f>VLOOKUP(B156,'8. Uncertainty Results'!$B$249:$E$261,2,FALSE)*(cubicm/gal)*(day/yr)</f>
        <v>627.92817075411745</v>
      </c>
      <c r="C159">
        <f>B159</f>
        <v>627.92817075411745</v>
      </c>
      <c r="D159">
        <f>B159</f>
        <v>627.92817075411745</v>
      </c>
      <c r="E159">
        <f>VLOOKUP(E156,'8. Uncertainty Results'!$B$249:$E$261,2,FALSE)*(cubicm/gal)*(day/yr)</f>
        <v>79.427306792548734</v>
      </c>
      <c r="F159">
        <f>E159</f>
        <v>79.427306792548734</v>
      </c>
      <c r="G159">
        <f>E159</f>
        <v>79.427306792548734</v>
      </c>
      <c r="H159">
        <f>VLOOKUP(H156,'8. Uncertainty Results'!$B$249:$E$261,2,FALSE)*(cubicm/gal)*(day/yr)</f>
        <v>51.885375137313865</v>
      </c>
      <c r="I159">
        <f>H159</f>
        <v>51.885375137313865</v>
      </c>
      <c r="J159">
        <f>H159</f>
        <v>51.885375137313865</v>
      </c>
      <c r="K159">
        <f>VLOOKUP(K156,'8. Uncertainty Results'!$B$249:$E$261,2,FALSE)*(cubicm/gal)*(day/yr)</f>
        <v>39.751061266656997</v>
      </c>
      <c r="L159">
        <f>K159</f>
        <v>39.751061266656997</v>
      </c>
      <c r="M159">
        <f>K159</f>
        <v>39.751061266656997</v>
      </c>
      <c r="N159">
        <f>VLOOKUP(N156,'8. Uncertainty Results'!$B$249:$E$261,2,FALSE)*(cubicm/gal)*(day/yr)</f>
        <v>17.120690400122744</v>
      </c>
      <c r="O159">
        <f>N159</f>
        <v>17.120690400122744</v>
      </c>
      <c r="P159">
        <f>N159</f>
        <v>17.120690400122744</v>
      </c>
      <c r="Q159">
        <f>VLOOKUP(Q156,'8. Uncertainty Results'!$B$249:$E$261,2,FALSE)*(cubicm/gal)*(day/yr)</f>
        <v>27.075370168262733</v>
      </c>
      <c r="R159">
        <f>Q159</f>
        <v>27.075370168262733</v>
      </c>
      <c r="S159">
        <f>Q159</f>
        <v>27.075370168262733</v>
      </c>
      <c r="T159">
        <f>VLOOKUP(T156,'8. Uncertainty Results'!$B$249:$E$261,2,FALSE)*(cubicm/gal)*(day/yr)</f>
        <v>42.495626809705328</v>
      </c>
      <c r="U159">
        <f>T159</f>
        <v>42.495626809705328</v>
      </c>
      <c r="V159">
        <f>T159</f>
        <v>42.495626809705328</v>
      </c>
      <c r="W159">
        <f>VLOOKUP(W156,'8. Uncertainty Results'!$B$249:$E$261,2,FALSE)*(cubicm/gal)*(day/yr)</f>
        <v>95.143571416240306</v>
      </c>
      <c r="X159">
        <f>W159</f>
        <v>95.143571416240306</v>
      </c>
      <c r="Y159">
        <f>W159</f>
        <v>95.143571416240306</v>
      </c>
    </row>
    <row r="160" spans="1:25" x14ac:dyDescent="0.2">
      <c r="A160" t="s">
        <v>437</v>
      </c>
      <c r="B160">
        <f>VLOOKUP(B156,'8. Uncertainty Results'!$B$249:$E$261,4,FALSE)*(cubicm/gal)*(day/yr)</f>
        <v>676.63727801417951</v>
      </c>
      <c r="C160">
        <f>B160</f>
        <v>676.63727801417951</v>
      </c>
      <c r="D160">
        <f>B160</f>
        <v>676.63727801417951</v>
      </c>
      <c r="E160">
        <f>VLOOKUP(E156,'8. Uncertainty Results'!$B$249:$E$261,4,FALSE)*(cubicm/gal)*(day/yr)</f>
        <v>239.06037314829302</v>
      </c>
      <c r="F160">
        <f>E160</f>
        <v>239.06037314829302</v>
      </c>
      <c r="G160">
        <f>E160</f>
        <v>239.06037314829302</v>
      </c>
      <c r="H160">
        <f>VLOOKUP(H156,'8. Uncertainty Results'!$B$249:$E$261,4,FALSE)*(cubicm/gal)*(day/yr)</f>
        <v>168.72021867371333</v>
      </c>
      <c r="I160">
        <f>H160</f>
        <v>168.72021867371333</v>
      </c>
      <c r="J160">
        <f>H160</f>
        <v>168.72021867371333</v>
      </c>
      <c r="K160">
        <f>VLOOKUP(K156,'8. Uncertainty Results'!$B$249:$E$261,4,FALSE)*(cubicm/gal)*(day/yr)</f>
        <v>53.773318209623334</v>
      </c>
      <c r="L160">
        <f>K160</f>
        <v>53.773318209623334</v>
      </c>
      <c r="M160">
        <f>K160</f>
        <v>53.773318209623334</v>
      </c>
      <c r="N160">
        <f>VLOOKUP(N156,'8. Uncertainty Results'!$B$249:$E$261,4,FALSE)*(cubicm/gal)*(day/yr)</f>
        <v>39.930540266248869</v>
      </c>
      <c r="O160">
        <f>N160</f>
        <v>39.930540266248869</v>
      </c>
      <c r="P160">
        <f>N160</f>
        <v>39.930540266248869</v>
      </c>
      <c r="Q160">
        <f>VLOOKUP(Q156,'8. Uncertainty Results'!$B$249:$E$261,4,FALSE)*(cubicm/gal)*(day/yr)</f>
        <v>66.794458318533728</v>
      </c>
      <c r="R160">
        <f>Q160</f>
        <v>66.794458318533728</v>
      </c>
      <c r="S160">
        <f>Q160</f>
        <v>66.794458318533728</v>
      </c>
      <c r="T160">
        <f>VLOOKUP(T156,'8. Uncertainty Results'!$B$249:$E$261,4,FALSE)*(cubicm/gal)*(day/yr)</f>
        <v>68.733989550413199</v>
      </c>
      <c r="U160">
        <f>T160</f>
        <v>68.733989550413199</v>
      </c>
      <c r="V160">
        <f>T160</f>
        <v>68.733989550413199</v>
      </c>
      <c r="W160">
        <f>VLOOKUP(W156,'8. Uncertainty Results'!$B$249:$E$261,4,FALSE)*(cubicm/gal)*(day/yr)</f>
        <v>317.08518923845793</v>
      </c>
      <c r="X160">
        <f>W160</f>
        <v>317.08518923845793</v>
      </c>
      <c r="Y160">
        <f>W160</f>
        <v>317.08518923845793</v>
      </c>
    </row>
    <row r="161" spans="1:25" x14ac:dyDescent="0.2">
      <c r="A161" t="s">
        <v>438</v>
      </c>
      <c r="B161">
        <f>VLOOKUP(B156,'8. Uncertainty Results'!$A$61:$CM$73,2+$A$154,FALSE)*((cubicm/gal)*(day/yr))</f>
        <v>29.554778712533139</v>
      </c>
      <c r="C161">
        <f>VLOOKUP(B156,'8. Uncertainty Results'!$A$61:$CM$73,3+$A$154,FALSE)*((cubicm/gal)*(day/yr))</f>
        <v>30.993542619376253</v>
      </c>
      <c r="D161">
        <f>VLOOKUP(B156,'8. Uncertainty Results'!$A$61:$CM$73,4+$A$154,FALSE)*((cubicm/gal)*(day/yr))</f>
        <v>32.282069352758988</v>
      </c>
      <c r="E161">
        <f>VLOOKUP(E156,'8. Uncertainty Results'!$A$61:$CM$73,2+$A$154,FALSE)*((cubicm/gal)*(day/yr))</f>
        <v>0</v>
      </c>
      <c r="F161">
        <f>VLOOKUP(E156,'8. Uncertainty Results'!$A$61:$CM$73,3+$A$154,FALSE)*((cubicm/gal)*(day/yr))</f>
        <v>0</v>
      </c>
      <c r="G161">
        <f>VLOOKUP(E156,'8. Uncertainty Results'!$A$61:$CM$73,4+$A$154,FALSE)*((cubicm/gal)*(day/yr))</f>
        <v>0</v>
      </c>
      <c r="H161">
        <f>VLOOKUP(H156,'8. Uncertainty Results'!$A$61:$CM$73,2+$A$154,FALSE)*((cubicm/gal)*(day/yr))</f>
        <v>28.803246966594109</v>
      </c>
      <c r="I161">
        <f>VLOOKUP(H156,'8. Uncertainty Results'!$A$61:$CM$73,3+$A$154,FALSE)*((cubicm/gal)*(day/yr))</f>
        <v>30.700150826953138</v>
      </c>
      <c r="J161">
        <f>VLOOKUP(H156,'8. Uncertainty Results'!$A$61:$CM$73,4+$A$154,FALSE)*((cubicm/gal)*(day/yr))</f>
        <v>32.468518913166839</v>
      </c>
      <c r="K161">
        <f>VLOOKUP(K156,'8. Uncertainty Results'!$A$61:$CM$73,2+$A$154,FALSE)*((cubicm/gal)*(day/yr))</f>
        <v>0.1620975973979919</v>
      </c>
      <c r="L161">
        <f>VLOOKUP(K156,'8. Uncertainty Results'!$A$61:$CM$73,3+$A$154,FALSE)*((cubicm/gal)*(day/yr))</f>
        <v>0.17232501870161179</v>
      </c>
      <c r="M161">
        <f>VLOOKUP(K156,'8. Uncertainty Results'!$A$61:$CM$73,4+$A$154,FALSE)*((cubicm/gal)*(day/yr))</f>
        <v>0.18212547026289577</v>
      </c>
      <c r="N161">
        <f>VLOOKUP(N156,'8. Uncertainty Results'!$A$61:$CM$73,2+$A$154,FALSE)*((cubicm/gal)*(day/yr))</f>
        <v>0.10820820038661418</v>
      </c>
      <c r="O161">
        <f>VLOOKUP(N156,'8. Uncertainty Results'!$A$61:$CM$73,3+$A$154,FALSE)*((cubicm/gal)*(day/yr))</f>
        <v>0.11493120149956579</v>
      </c>
      <c r="P161">
        <f>VLOOKUP(N156,'8. Uncertainty Results'!$A$61:$CM$73,4+$A$154,FALSE)*((cubicm/gal)*(day/yr))</f>
        <v>0.12134936174293841</v>
      </c>
      <c r="Q161">
        <f>VLOOKUP(Q156,'8. Uncertainty Results'!$A$61:$CM$73,2+$A$154,FALSE)*((cubicm/gal)*(day/yr))</f>
        <v>0.16226114909628103</v>
      </c>
      <c r="R161">
        <f>VLOOKUP(Q156,'8. Uncertainty Results'!$A$61:$CM$73,3+$A$154,FALSE)*((cubicm/gal)*(day/yr))</f>
        <v>0.17242877799427483</v>
      </c>
      <c r="S161">
        <f>VLOOKUP(Q156,'8. Uncertainty Results'!$A$61:$CM$73,4+$A$154,FALSE)*((cubicm/gal)*(day/yr))</f>
        <v>0.18199223535984799</v>
      </c>
      <c r="T161">
        <f>VLOOKUP(T156,'8. Uncertainty Results'!$A$61:$CM$73,2+$A$154,FALSE)*((cubicm/gal)*(day/yr))</f>
        <v>23.775622170799505</v>
      </c>
      <c r="U161">
        <f>VLOOKUP(T156,'8. Uncertainty Results'!$A$61:$CM$73,3+$A$154,FALSE)*((cubicm/gal)*(day/yr))</f>
        <v>24.879949490400367</v>
      </c>
      <c r="V161">
        <f>VLOOKUP(T156,'8. Uncertainty Results'!$A$61:$CM$73,4+$A$154,FALSE)*((cubicm/gal)*(day/yr))</f>
        <v>25.907587819326796</v>
      </c>
      <c r="W161">
        <f>VLOOKUP(W156,'8. Uncertainty Results'!$A$61:$CM$73,2+$A$154,FALSE)*((cubicm/gal)*(day/yr))</f>
        <v>28.798362704001793</v>
      </c>
      <c r="X161">
        <f>VLOOKUP(W156,'8. Uncertainty Results'!$A$61:$CM$73,3+$A$154,FALSE)*((cubicm/gal)*(day/yr))</f>
        <v>30.678378880635623</v>
      </c>
      <c r="Y161">
        <f>VLOOKUP(W156,'8. Uncertainty Results'!$A$61:$CM$73,4+$A$154,FALSE)*((cubicm/gal)*(day/yr))</f>
        <v>32.473026153857319</v>
      </c>
    </row>
    <row r="162" spans="1:25" x14ac:dyDescent="0.2">
      <c r="A162" t="s">
        <v>400</v>
      </c>
      <c r="B162">
        <f>VLOOKUP(B156,'8. Uncertainty Results'!$A$61:$CM$73,17+$A$154,FALSE)*((cubicm/gal)*(day/yr))</f>
        <v>32.524545076257276</v>
      </c>
      <c r="C162">
        <f>VLOOKUP(B156,'8. Uncertainty Results'!$A$61:$CM$73,18+$A$154,FALSE)*((cubicm/gal)*(day/yr))</f>
        <v>35.573648914100843</v>
      </c>
      <c r="D162">
        <f>VLOOKUP(B156,'8. Uncertainty Results'!$A$61:$CM$73,19+$A$154,FALSE)*((cubicm/gal)*(day/yr))</f>
        <v>38.332099670147784</v>
      </c>
      <c r="E162">
        <f>VLOOKUP(E156,'8. Uncertainty Results'!$A$61:$CM$73,17+$A$154,FALSE)*((cubicm/gal)*(day/yr))</f>
        <v>4.3461230894174703</v>
      </c>
      <c r="F162">
        <f>VLOOKUP(E156,'8. Uncertainty Results'!$A$61:$CM$73,18+$A$154,FALSE)*((cubicm/gal)*(day/yr))</f>
        <v>4.5671488808694507</v>
      </c>
      <c r="G162">
        <f>VLOOKUP(E156,'8. Uncertainty Results'!$A$61:$CM$73,19+$A$154,FALSE)*((cubicm/gal)*(day/yr))</f>
        <v>4.803310053799752</v>
      </c>
      <c r="H162">
        <f>VLOOKUP(H156,'8. Uncertainty Results'!$A$61:$CM$73,17+$A$154,FALSE)*((cubicm/gal)*(day/yr))</f>
        <v>64.443365713847996</v>
      </c>
      <c r="I162">
        <f>VLOOKUP(H156,'8. Uncertainty Results'!$A$61:$CM$73,18+$A$154,FALSE)*((cubicm/gal)*(day/yr))</f>
        <v>72.378147863138892</v>
      </c>
      <c r="J162">
        <f>VLOOKUP(H156,'8. Uncertainty Results'!$A$61:$CM$73,19+$A$154,FALSE)*((cubicm/gal)*(day/yr))</f>
        <v>81.64724112730039</v>
      </c>
      <c r="K162">
        <f>VLOOKUP(K156,'8. Uncertainty Results'!$A$61:$CM$73,17+$A$154,FALSE)*((cubicm/gal)*(day/yr))</f>
        <v>8.6898296820195391</v>
      </c>
      <c r="L162">
        <f>VLOOKUP(K156,'8. Uncertainty Results'!$A$61:$CM$73,18+$A$154,FALSE)*((cubicm/gal)*(day/yr))</f>
        <v>9.8416915726052583</v>
      </c>
      <c r="M162">
        <f>VLOOKUP(K156,'8. Uncertainty Results'!$A$61:$CM$73,19+$A$154,FALSE)*((cubicm/gal)*(day/yr))</f>
        <v>10.99897024935051</v>
      </c>
      <c r="N162">
        <f>VLOOKUP(N156,'8. Uncertainty Results'!$A$61:$CM$73,17+$A$154,FALSE)*((cubicm/gal)*(day/yr))</f>
        <v>6.0683651197279955</v>
      </c>
      <c r="O162">
        <f>VLOOKUP(N156,'8. Uncertainty Results'!$A$61:$CM$73,18+$A$154,FALSE)*((cubicm/gal)*(day/yr))</f>
        <v>6.8732988249393632</v>
      </c>
      <c r="P162">
        <f>VLOOKUP(N156,'8. Uncertainty Results'!$A$61:$CM$73,19+$A$154,FALSE)*((cubicm/gal)*(day/yr))</f>
        <v>7.6575917352383565</v>
      </c>
      <c r="Q162">
        <f>VLOOKUP(Q156,'8. Uncertainty Results'!$A$61:$CM$73,17+$A$154,FALSE)*((cubicm/gal)*(day/yr))</f>
        <v>8.7002134927986479</v>
      </c>
      <c r="R162">
        <f>VLOOKUP(Q156,'8. Uncertainty Results'!$A$61:$CM$73,18+$A$154,FALSE)*((cubicm/gal)*(day/yr))</f>
        <v>9.8484611984648769</v>
      </c>
      <c r="S162">
        <f>VLOOKUP(Q156,'8. Uncertainty Results'!$A$61:$CM$73,19+$A$154,FALSE)*((cubicm/gal)*(day/yr))</f>
        <v>11.006056184394474</v>
      </c>
      <c r="T162">
        <f>VLOOKUP(T156,'8. Uncertainty Results'!$A$61:$CM$73,17+$A$154,FALSE)*((cubicm/gal)*(day/yr))</f>
        <v>1.3747124000809494</v>
      </c>
      <c r="U162">
        <f>VLOOKUP(T156,'8. Uncertainty Results'!$A$61:$CM$73,18+$A$154,FALSE)*((cubicm/gal)*(day/yr))</f>
        <v>1.4977241623176296</v>
      </c>
      <c r="V162">
        <f>VLOOKUP(T156,'8. Uncertainty Results'!$A$61:$CM$73,19+$A$154,FALSE)*((cubicm/gal)*(day/yr))</f>
        <v>1.6367293396322102</v>
      </c>
      <c r="W162">
        <f>VLOOKUP(W156,'8. Uncertainty Results'!$A$61:$CM$73,17+$A$154,FALSE)*((cubicm/gal)*(day/yr))</f>
        <v>64.472916233619927</v>
      </c>
      <c r="X162">
        <f>VLOOKUP(W156,'8. Uncertainty Results'!$A$61:$CM$73,18+$A$154,FALSE)*((cubicm/gal)*(day/yr))</f>
        <v>72.215745751379444</v>
      </c>
      <c r="Y162">
        <f>VLOOKUP(W156,'8. Uncertainty Results'!$A$61:$CM$73,19+$A$154,FALSE)*((cubicm/gal)*(day/yr))</f>
        <v>81.140399874757733</v>
      </c>
    </row>
    <row r="163" spans="1:25" x14ac:dyDescent="0.2">
      <c r="A163" t="s">
        <v>401</v>
      </c>
      <c r="B163">
        <f>VLOOKUP(B156,'8. Uncertainty Results'!$A$61:$CM$73,32+$A$154,FALSE)*((cubicm/gal)*(day/yr))</f>
        <v>0</v>
      </c>
      <c r="C163">
        <f>VLOOKUP(B156,'8. Uncertainty Results'!$A$61:$CM$73,33+$A$154,FALSE)*((cubicm/gal)*(day/yr))</f>
        <v>0</v>
      </c>
      <c r="D163">
        <f>VLOOKUP(B156,'8. Uncertainty Results'!$A$61:$CM$73,34+$A$154,FALSE)*((cubicm/gal)*(day/yr))</f>
        <v>0</v>
      </c>
      <c r="E163">
        <f>VLOOKUP(E156,'8. Uncertainty Results'!$A$61:$CM$73,32+$A$154,FALSE)*((cubicm/gal)*(day/yr))</f>
        <v>0</v>
      </c>
      <c r="F163">
        <f>VLOOKUP(E156,'8. Uncertainty Results'!$A$61:$CM$73,33+$A$154,FALSE)*((cubicm/gal)*(day/yr))</f>
        <v>0</v>
      </c>
      <c r="G163">
        <f>VLOOKUP(E156,'8. Uncertainty Results'!$A$61:$CM$73,34+$A$154,FALSE)*((cubicm/gal)*(day/yr))</f>
        <v>0</v>
      </c>
      <c r="H163">
        <f>VLOOKUP(H156,'8. Uncertainty Results'!$A$61:$CM$73,32+$A$154,FALSE)*((cubicm/gal)*(day/yr))</f>
        <v>0</v>
      </c>
      <c r="I163">
        <f>VLOOKUP(H156,'8. Uncertainty Results'!$A$61:$CM$73,33+$A$154,FALSE)*((cubicm/gal)*(day/yr))</f>
        <v>0</v>
      </c>
      <c r="J163">
        <f>VLOOKUP(H156,'8. Uncertainty Results'!$A$61:$CM$73,34+$A$154,FALSE)*((cubicm/gal)*(day/yr))</f>
        <v>0</v>
      </c>
      <c r="K163">
        <f>VLOOKUP(K156,'8. Uncertainty Results'!$A$61:$CM$73,32+$A$154,FALSE)*((cubicm/gal)*(day/yr))</f>
        <v>0</v>
      </c>
      <c r="L163">
        <f>VLOOKUP(K156,'8. Uncertainty Results'!$A$61:$CM$73,33+$A$154,FALSE)*((cubicm/gal)*(day/yr))</f>
        <v>0</v>
      </c>
      <c r="M163">
        <f>VLOOKUP(K156,'8. Uncertainty Results'!$A$61:$CM$73,34+$A$154,FALSE)*((cubicm/gal)*(day/yr))</f>
        <v>0</v>
      </c>
      <c r="N163">
        <f>VLOOKUP(N156,'8. Uncertainty Results'!$A$61:$CM$73,32+$A$154,FALSE)*((cubicm/gal)*(day/yr))</f>
        <v>0</v>
      </c>
      <c r="O163">
        <f>VLOOKUP(N156,'8. Uncertainty Results'!$A$61:$CM$73,33+$A$154,FALSE)*((cubicm/gal)*(day/yr))</f>
        <v>0</v>
      </c>
      <c r="P163">
        <f>VLOOKUP(N156,'8. Uncertainty Results'!$A$61:$CM$73,34+$A$154,FALSE)*((cubicm/gal)*(day/yr))</f>
        <v>0</v>
      </c>
      <c r="Q163">
        <f>VLOOKUP(Q156,'8. Uncertainty Results'!$A$61:$CM$73,32+$A$154,FALSE)*((cubicm/gal)*(day/yr))</f>
        <v>0</v>
      </c>
      <c r="R163">
        <f>VLOOKUP(Q156,'8. Uncertainty Results'!$A$61:$CM$73,33+$A$154,FALSE)*((cubicm/gal)*(day/yr))</f>
        <v>0</v>
      </c>
      <c r="S163">
        <f>VLOOKUP(Q156,'8. Uncertainty Results'!$A$61:$CM$73,34+$A$154,FALSE)*((cubicm/gal)*(day/yr))</f>
        <v>0</v>
      </c>
      <c r="T163">
        <f>VLOOKUP(T156,'8. Uncertainty Results'!$A$61:$CM$73,32+$A$154,FALSE)*((cubicm/gal)*(day/yr))</f>
        <v>0</v>
      </c>
      <c r="U163">
        <f>VLOOKUP(T156,'8. Uncertainty Results'!$A$61:$CM$73,33+$A$154,FALSE)*((cubicm/gal)*(day/yr))</f>
        <v>0</v>
      </c>
      <c r="V163">
        <f>VLOOKUP(T156,'8. Uncertainty Results'!$A$61:$CM$73,34+$A$154,FALSE)*((cubicm/gal)*(day/yr))</f>
        <v>0</v>
      </c>
      <c r="W163">
        <f>VLOOKUP(W156,'8. Uncertainty Results'!$A$61:$CM$73,32+$A$154,FALSE)*((cubicm/gal)*(day/yr))</f>
        <v>0</v>
      </c>
      <c r="X163">
        <f>VLOOKUP(W156,'8. Uncertainty Results'!$A$61:$CM$73,33+$A$154,FALSE)*((cubicm/gal)*(day/yr))</f>
        <v>0</v>
      </c>
      <c r="Y163">
        <f>VLOOKUP(W156,'8. Uncertainty Results'!$A$61:$CM$73,34+$A$154,FALSE)*((cubicm/gal)*(day/yr))</f>
        <v>0</v>
      </c>
    </row>
    <row r="164" spans="1:25" x14ac:dyDescent="0.2">
      <c r="A164" t="s">
        <v>402</v>
      </c>
      <c r="B164">
        <f>VLOOKUP(B156,'8. Uncertainty Results'!$A$61:$CM$73,47+$A$154,FALSE)*((cubicm/gal)*(day/yr))-3000</f>
        <v>2719.2811921200337</v>
      </c>
      <c r="C164">
        <f>VLOOKUP(B156,'8. Uncertainty Results'!$A$61:$CM$73,48+$A$154,FALSE)*((cubicm/gal)*(day/yr))-9000</f>
        <v>3239.0559412854473</v>
      </c>
      <c r="D164">
        <f>VLOOKUP(B156,'8. Uncertainty Results'!$A$61:$CM$73,49+$A$154,FALSE)*((cubicm/gal)*(day/yr))-17700</f>
        <v>4279.9808890388922</v>
      </c>
      <c r="E164">
        <f>VLOOKUP(E156,'8. Uncertainty Results'!$A$61:$CM$73,47+$A$154,FALSE)*((cubicm/gal)*(day/yr))</f>
        <v>728.53844613487627</v>
      </c>
      <c r="F164">
        <f>VLOOKUP(E156,'8. Uncertainty Results'!$A$61:$CM$73,48+$A$154,FALSE)*((cubicm/gal)*(day/yr))</f>
        <v>1119.1424916995084</v>
      </c>
      <c r="G164">
        <f>VLOOKUP(E156,'8. Uncertainty Results'!$A$61:$CM$73,49+$A$154,FALSE)*((cubicm/gal)*(day/yr))</f>
        <v>1687.1288634679497</v>
      </c>
      <c r="H164">
        <f>VLOOKUP(H156,'8. Uncertainty Results'!$A$61:$CM$73,47+$A$154,FALSE)*((cubicm/gal)*(day/yr))</f>
        <v>254.07154996527618</v>
      </c>
      <c r="I164">
        <f>VLOOKUP(H156,'8. Uncertainty Results'!$A$61:$CM$73,48+$A$154,FALSE)*((cubicm/gal)*(day/yr))</f>
        <v>764.23398038566756</v>
      </c>
      <c r="J164">
        <f>VLOOKUP(H156,'8. Uncertainty Results'!$A$61:$CM$73,49+$A$154,FALSE)*((cubicm/gal)*(day/yr))</f>
        <v>1579.5168225716532</v>
      </c>
      <c r="K164">
        <f>VLOOKUP(K156,'8. Uncertainty Results'!$A$61:$CM$73,47+$A$154,FALSE)*((cubicm/gal)*(day/yr))</f>
        <v>155.38302089097576</v>
      </c>
      <c r="L164">
        <f>VLOOKUP(K156,'8. Uncertainty Results'!$A$61:$CM$73,48+$A$154,FALSE)*((cubicm/gal)*(day/yr))</f>
        <v>320.28665800429872</v>
      </c>
      <c r="M164">
        <f>VLOOKUP(K156,'8. Uncertainty Results'!$A$61:$CM$73,49+$A$154,FALSE)*((cubicm/gal)*(day/yr))</f>
        <v>592.36788505650622</v>
      </c>
      <c r="N164">
        <f>VLOOKUP(N156,'8. Uncertainty Results'!$A$61:$CM$73,47+$A$154,FALSE)*((cubicm/gal)*(day/yr))</f>
        <v>112.29093406599492</v>
      </c>
      <c r="O164">
        <f>VLOOKUP(N156,'8. Uncertainty Results'!$A$61:$CM$73,48+$A$154,FALSE)*((cubicm/gal)*(day/yr))</f>
        <v>234.22385444262611</v>
      </c>
      <c r="P164">
        <f>VLOOKUP(N156,'8. Uncertainty Results'!$A$61:$CM$73,49+$A$154,FALSE)*((cubicm/gal)*(day/yr))</f>
        <v>427.51778835211917</v>
      </c>
      <c r="Q164">
        <f>VLOOKUP(Q156,'8. Uncertainty Results'!$A$61:$CM$73,47+$A$154,FALSE)*((cubicm/gal)*(day/yr))</f>
        <v>152.7272643245737</v>
      </c>
      <c r="R164">
        <f>VLOOKUP(Q156,'8. Uncertainty Results'!$A$61:$CM$73,48+$A$154,FALSE)*((cubicm/gal)*(day/yr))</f>
        <v>324.14020825854152</v>
      </c>
      <c r="S164">
        <f>VLOOKUP(Q156,'8. Uncertainty Results'!$A$61:$CM$73,49+$A$154,FALSE)*((cubicm/gal)*(day/yr))</f>
        <v>590.55662488750738</v>
      </c>
      <c r="T164">
        <f>VLOOKUP(T156,'8. Uncertainty Results'!$A$61:$CM$73,47+$A$154,FALSE)*((cubicm/gal)*(day/yr))</f>
        <v>102.81612434073276</v>
      </c>
      <c r="U164">
        <f>VLOOKUP(T156,'8. Uncertainty Results'!$A$61:$CM$73,48+$A$154,FALSE)*((cubicm/gal)*(day/yr))</f>
        <v>216.23366609850666</v>
      </c>
      <c r="V164">
        <f>VLOOKUP(T156,'8. Uncertainty Results'!$A$61:$CM$73,49+$A$154,FALSE)*((cubicm/gal)*(day/yr))</f>
        <v>400.94172390713157</v>
      </c>
      <c r="W164">
        <f>VLOOKUP(W156,'8. Uncertainty Results'!$A$61:$CM$73,47+$A$154,FALSE)*((cubicm/gal)*(day/yr))</f>
        <v>259.97839966711928</v>
      </c>
      <c r="X164">
        <f>VLOOKUP(W156,'8. Uncertainty Results'!$A$61:$CM$73,48+$A$154,FALSE)*((cubicm/gal)*(day/yr))</f>
        <v>762.32096237352391</v>
      </c>
      <c r="Y164">
        <f>VLOOKUP(W156,'8. Uncertainty Results'!$A$61:$CM$73,49+$A$154,FALSE)*((cubicm/gal)*(day/yr))</f>
        <v>1576.7461798739071</v>
      </c>
    </row>
    <row r="165" spans="1:25" x14ac:dyDescent="0.2">
      <c r="A165" t="s">
        <v>403</v>
      </c>
      <c r="B165">
        <f>VLOOKUP(B156,'8. Uncertainty Results'!$A$61:$CM$73,62+$A$154,FALSE)*((cubicm/gal)*(day/yr))</f>
        <v>8.0684924969216834</v>
      </c>
      <c r="C165">
        <f>VLOOKUP(B156,'8. Uncertainty Results'!$A$61:$CM$73,63+$A$154,FALSE)*((cubicm/gal)*(day/yr))</f>
        <v>8.0999747800519657</v>
      </c>
      <c r="D165">
        <f>VLOOKUP(B156,'8. Uncertainty Results'!$A$61:$CM$73,64+$A$154,FALSE)*((cubicm/gal)*(day/yr))</f>
        <v>8.1433139141357245</v>
      </c>
      <c r="E165">
        <f>VLOOKUP(E156,'8. Uncertainty Results'!$A$61:$CM$73,62+$A$154,FALSE)*((cubicm/gal)*(day/yr))</f>
        <v>1.224770618881839</v>
      </c>
      <c r="F165">
        <f>VLOOKUP(E156,'8. Uncertainty Results'!$A$61:$CM$73,63+$A$154,FALSE)*((cubicm/gal)*(day/yr))</f>
        <v>1.2364352271455747</v>
      </c>
      <c r="G165">
        <f>VLOOKUP(E156,'8. Uncertainty Results'!$A$61:$CM$73,64+$A$154,FALSE)*((cubicm/gal)*(day/yr))</f>
        <v>1.2506036260520845</v>
      </c>
      <c r="H165">
        <f>VLOOKUP(H156,'8. Uncertainty Results'!$A$61:$CM$73,62+$A$154,FALSE)*((cubicm/gal)*(day/yr))</f>
        <v>0.52528706523463409</v>
      </c>
      <c r="I165">
        <f>VLOOKUP(H156,'8. Uncertainty Results'!$A$61:$CM$73,63+$A$154,FALSE)*((cubicm/gal)*(day/yr))</f>
        <v>0.53640811165211377</v>
      </c>
      <c r="J165">
        <f>VLOOKUP(H156,'8. Uncertainty Results'!$A$61:$CM$73,64+$A$154,FALSE)*((cubicm/gal)*(day/yr))</f>
        <v>0.54904840077517481</v>
      </c>
      <c r="K165">
        <f>VLOOKUP(K156,'8. Uncertainty Results'!$A$61:$CM$73,62+$A$154,FALSE)*((cubicm/gal)*(day/yr))</f>
        <v>0.40491780476218558</v>
      </c>
      <c r="L165">
        <f>VLOOKUP(K156,'8. Uncertainty Results'!$A$61:$CM$73,63+$A$154,FALSE)*((cubicm/gal)*(day/yr))</f>
        <v>0.41238085004411018</v>
      </c>
      <c r="M165">
        <f>VLOOKUP(K156,'8. Uncertainty Results'!$A$61:$CM$73,64+$A$154,FALSE)*((cubicm/gal)*(day/yr))</f>
        <v>0.42073152421076454</v>
      </c>
      <c r="N165">
        <f>VLOOKUP(N156,'8. Uncertainty Results'!$A$61:$CM$73,62+$A$154,FALSE)*((cubicm/gal)*(day/yr))</f>
        <v>0.2820094832465202</v>
      </c>
      <c r="O165">
        <f>VLOOKUP(N156,'8. Uncertainty Results'!$A$61:$CM$73,63+$A$154,FALSE)*((cubicm/gal)*(day/yr))</f>
        <v>0.28729178955079626</v>
      </c>
      <c r="P165">
        <f>VLOOKUP(N156,'8. Uncertainty Results'!$A$61:$CM$73,64+$A$154,FALSE)*((cubicm/gal)*(day/yr))</f>
        <v>0.2930499024479814</v>
      </c>
      <c r="Q165">
        <f>VLOOKUP(Q156,'8. Uncertainty Results'!$A$61:$CM$73,62+$A$154,FALSE)*((cubicm/gal)*(day/yr))</f>
        <v>0.40496207688535546</v>
      </c>
      <c r="R165">
        <f>VLOOKUP(Q156,'8. Uncertainty Results'!$A$61:$CM$73,63+$A$154,FALSE)*((cubicm/gal)*(day/yr))</f>
        <v>0.41239295456981517</v>
      </c>
      <c r="S165">
        <f>VLOOKUP(Q156,'8. Uncertainty Results'!$A$61:$CM$73,64+$A$154,FALSE)*((cubicm/gal)*(day/yr))</f>
        <v>0.42039663673818245</v>
      </c>
      <c r="T165">
        <f>VLOOKUP(T156,'8. Uncertainty Results'!$A$61:$CM$73,62+$A$154,FALSE)*((cubicm/gal)*(day/yr))</f>
        <v>0.12824320159811994</v>
      </c>
      <c r="U165">
        <f>VLOOKUP(T156,'8. Uncertainty Results'!$A$61:$CM$73,63+$A$154,FALSE)*((cubicm/gal)*(day/yr))</f>
        <v>0.12883009963750541</v>
      </c>
      <c r="V165">
        <f>VLOOKUP(T156,'8. Uncertainty Results'!$A$61:$CM$73,64+$A$154,FALSE)*((cubicm/gal)*(day/yr))</f>
        <v>0.1296124566756563</v>
      </c>
      <c r="W165">
        <f>VLOOKUP(W156,'8. Uncertainty Results'!$A$61:$CM$73,62+$A$154,FALSE)*((cubicm/gal)*(day/yr))</f>
        <v>0.52548219787441108</v>
      </c>
      <c r="X165">
        <f>VLOOKUP(W156,'8. Uncertainty Results'!$A$61:$CM$73,63+$A$154,FALSE)*((cubicm/gal)*(day/yr))</f>
        <v>0.53656769495280443</v>
      </c>
      <c r="Y165">
        <f>VLOOKUP(W156,'8. Uncertainty Results'!$A$61:$CM$73,64+$A$154,FALSE)*((cubicm/gal)*(day/yr))</f>
        <v>0.54875872679162785</v>
      </c>
    </row>
    <row r="166" spans="1:25" x14ac:dyDescent="0.2">
      <c r="A166" t="s">
        <v>439</v>
      </c>
      <c r="B166">
        <f>VLOOKUP(B156,'8. Uncertainty Results'!$A$61:$CM$73,77+$A$154,FALSE)*((cubicm/gal)*(day/yr))</f>
        <v>0</v>
      </c>
      <c r="C166">
        <f>VLOOKUP(B156,'8. Uncertainty Results'!$A$61:$CM$73,78+$A$154,FALSE)*((cubicm/gal)*(day/yr))</f>
        <v>0</v>
      </c>
      <c r="D166">
        <f>VLOOKUP(B156,'8. Uncertainty Results'!$A$61:$CM$73,79+$A$154,FALSE)*((cubicm/gal)*(day/yr))</f>
        <v>0</v>
      </c>
      <c r="E166">
        <f>VLOOKUP(E156,'8. Uncertainty Results'!$A$61:$CM$73,77+$A$154,FALSE)*((cubicm/gal)*(day/yr))</f>
        <v>1.0963639605360578</v>
      </c>
      <c r="F166">
        <f>VLOOKUP(E156,'8. Uncertainty Results'!$A$61:$CM$73,78+$A$154,FALSE)*((cubicm/gal)*(day/yr))</f>
        <v>1.2341180454042981</v>
      </c>
      <c r="G166">
        <f>VLOOKUP(E156,'8. Uncertainty Results'!$A$61:$CM$73,79+$A$154,FALSE)*((cubicm/gal)*(day/yr))</f>
        <v>1.3758275353208356</v>
      </c>
      <c r="H166">
        <f>VLOOKUP(H156,'8. Uncertainty Results'!$A$61:$CM$73,77+$A$154,FALSE)*((cubicm/gal)*(day/yr))</f>
        <v>2.178296196446051</v>
      </c>
      <c r="I166">
        <f>VLOOKUP(H156,'8. Uncertainty Results'!$A$61:$CM$73,78+$A$154,FALSE)*((cubicm/gal)*(day/yr))</f>
        <v>2.5845675932966894</v>
      </c>
      <c r="J166">
        <f>VLOOKUP(H156,'8. Uncertainty Results'!$A$61:$CM$73,79+$A$154,FALSE)*((cubicm/gal)*(day/yr))</f>
        <v>3.0476425683859243</v>
      </c>
      <c r="K166">
        <f>VLOOKUP(K156,'8. Uncertainty Results'!$A$61:$CM$73,77+$A$154,FALSE)*((cubicm/gal)*(day/yr))</f>
        <v>0</v>
      </c>
      <c r="L166">
        <f>VLOOKUP(K156,'8. Uncertainty Results'!$A$61:$CM$73,78+$A$154,FALSE)*((cubicm/gal)*(day/yr))</f>
        <v>0</v>
      </c>
      <c r="M166">
        <f>VLOOKUP(K156,'8. Uncertainty Results'!$A$61:$CM$73,79+$A$154,FALSE)*((cubicm/gal)*(day/yr))</f>
        <v>0</v>
      </c>
      <c r="N166">
        <f>VLOOKUP(N156,'8. Uncertainty Results'!$A$61:$CM$73,77+$A$154,FALSE)*((cubicm/gal)*(day/yr))</f>
        <v>0</v>
      </c>
      <c r="O166">
        <f>VLOOKUP(N156,'8. Uncertainty Results'!$A$61:$CM$73,78+$A$154,FALSE)*((cubicm/gal)*(day/yr))</f>
        <v>0</v>
      </c>
      <c r="P166">
        <f>VLOOKUP(N156,'8. Uncertainty Results'!$A$61:$CM$73,79+$A$154,FALSE)*((cubicm/gal)*(day/yr))</f>
        <v>0</v>
      </c>
      <c r="Q166">
        <f>VLOOKUP(Q156,'8. Uncertainty Results'!$A$61:$CM$73,77+$A$154,FALSE)*((cubicm/gal)*(day/yr))</f>
        <v>0</v>
      </c>
      <c r="R166">
        <f>VLOOKUP(Q156,'8. Uncertainty Results'!$A$61:$CM$73,78+$A$154,FALSE)*((cubicm/gal)*(day/yr))</f>
        <v>0</v>
      </c>
      <c r="S166">
        <f>VLOOKUP(Q156,'8. Uncertainty Results'!$A$61:$CM$73,79+$A$154,FALSE)*((cubicm/gal)*(day/yr))</f>
        <v>0</v>
      </c>
      <c r="T166">
        <f>VLOOKUP(T156,'8. Uncertainty Results'!$A$61:$CM$73,77+$A$154,FALSE)*((cubicm/gal)*(day/yr))</f>
        <v>0</v>
      </c>
      <c r="U166">
        <f>VLOOKUP(T156,'8. Uncertainty Results'!$A$61:$CM$73,78+$A$154,FALSE)*((cubicm/gal)*(day/yr))</f>
        <v>0</v>
      </c>
      <c r="V166">
        <f>VLOOKUP(T156,'8. Uncertainty Results'!$A$61:$CM$73,79+$A$154,FALSE)*((cubicm/gal)*(day/yr))</f>
        <v>0</v>
      </c>
      <c r="W166">
        <f>VLOOKUP(W156,'8. Uncertainty Results'!$A$61:$CM$73,77+$A$154,FALSE)*((cubicm/gal)*(day/yr))</f>
        <v>2.1876541753877294</v>
      </c>
      <c r="X166">
        <f>VLOOKUP(W156,'8. Uncertainty Results'!$A$61:$CM$73,78+$A$154,FALSE)*((cubicm/gal)*(day/yr))</f>
        <v>2.5924057566748093</v>
      </c>
      <c r="Y166">
        <f>VLOOKUP(W156,'8. Uncertainty Results'!$A$61:$CM$73,79+$A$154,FALSE)*((cubicm/gal)*(day/yr))</f>
        <v>3.0539150539760742</v>
      </c>
    </row>
    <row r="167" spans="1:25" x14ac:dyDescent="0.2">
      <c r="A167" t="s">
        <v>492</v>
      </c>
      <c r="B167">
        <f>VLOOKUP(B156,'8. Uncertainty Results'!$A$203:$D$215,2,FALSE)/1000000</f>
        <v>22.19928637592842</v>
      </c>
      <c r="C167">
        <f>VLOOKUP(B156,'8. Uncertainty Results'!$A$203:$D$215,3,FALSE)/1000000</f>
        <v>24.2754169819958</v>
      </c>
      <c r="D167">
        <f>VLOOKUP(B156,'8. Uncertainty Results'!$A$203:$D$215,4,FALSE)/1000000</f>
        <v>26.300815250844281</v>
      </c>
      <c r="E167">
        <f>VLOOKUP(E156,'8. Uncertainty Results'!$A$203:$D$215,2,FALSE)/1000000</f>
        <v>30.329777237026992</v>
      </c>
      <c r="F167">
        <f>VLOOKUP(E156,'8. Uncertainty Results'!$A$203:$D$215,3,FALSE)/1000000</f>
        <v>34.810209497471384</v>
      </c>
      <c r="G167">
        <f>VLOOKUP(E156,'8. Uncertainty Results'!$A$203:$D$215,4,FALSE)/1000000</f>
        <v>39.804593895523155</v>
      </c>
      <c r="H167">
        <f>VLOOKUP(H156,'8. Uncertainty Results'!$A$203:$D$215,2,FALSE)/1000000</f>
        <v>0.36684257135850085</v>
      </c>
      <c r="I167">
        <f>VLOOKUP(H156,'8. Uncertainty Results'!$A$203:$D$215,3,FALSE)/1000000</f>
        <v>1.9272387365708405</v>
      </c>
      <c r="J167">
        <f>VLOOKUP(H156,'8. Uncertainty Results'!$A$203:$D$215,4,FALSE)/1000000</f>
        <v>9.7366119085476832</v>
      </c>
      <c r="K167">
        <f>VLOOKUP(K156,'8. Uncertainty Results'!$A$203:$D$215,2,FALSE)/1000000</f>
        <v>28.572915147869598</v>
      </c>
      <c r="L167">
        <f>VLOOKUP(K156,'8. Uncertainty Results'!$A$203:$D$215,3,FALSE)/1000000</f>
        <v>36.784589510791825</v>
      </c>
      <c r="M167">
        <f>VLOOKUP(K156,'8. Uncertainty Results'!$A$203:$D$215,4,FALSE)/1000000</f>
        <v>63.986855731934547</v>
      </c>
      <c r="N167">
        <f>VLOOKUP(N156,'8. Uncertainty Results'!$A$203:$D$215,2,FALSE)/1000000</f>
        <v>12.60217290105447</v>
      </c>
      <c r="O167">
        <f>VLOOKUP(N156,'8. Uncertainty Results'!$A$203:$D$215,3,FALSE)/1000000</f>
        <v>19.226978004610444</v>
      </c>
      <c r="P167">
        <f>VLOOKUP(N156,'8. Uncertainty Results'!$A$203:$D$215,4,FALSE)/1000000</f>
        <v>49.036167912910365</v>
      </c>
      <c r="Q167">
        <f>VLOOKUP(Q156,'8. Uncertainty Results'!$A$203:$D$215,2,FALSE)/1000000</f>
        <v>4.9234855062215894</v>
      </c>
      <c r="R167">
        <f>VLOOKUP(Q156,'8. Uncertainty Results'!$A$203:$D$215,3,FALSE)/1000000</f>
        <v>5.37106142092306</v>
      </c>
      <c r="S167">
        <f>VLOOKUP(Q156,'8. Uncertainty Results'!$A$203:$D$215,4,FALSE)/1000000</f>
        <v>5.8389653933930203</v>
      </c>
      <c r="T167">
        <f>VLOOKUP(T156,'8. Uncertainty Results'!$A$203:$D$215,2,FALSE)/1000000</f>
        <v>3.9079818470785299</v>
      </c>
      <c r="U167">
        <f>VLOOKUP(T156,'8. Uncertainty Results'!$A$203:$D$215,3,FALSE)/1000000</f>
        <v>4.2843021047777894</v>
      </c>
      <c r="V167">
        <f>VLOOKUP(T156,'8. Uncertainty Results'!$A$203:$D$215,4,FALSE)/1000000</f>
        <v>4.6474321803099699</v>
      </c>
      <c r="W167">
        <f>VLOOKUP(W156,'8. Uncertainty Results'!$A$203:$D$215,2,FALSE)/1000000</f>
        <v>0.23425673678805656</v>
      </c>
      <c r="X167">
        <f>VLOOKUP(W156,'8. Uncertainty Results'!$A$203:$D$215,3,FALSE)/1000000</f>
        <v>1.1548930353673985</v>
      </c>
      <c r="Y167">
        <f>VLOOKUP(W156,'8. Uncertainty Results'!$A$203:$D$215,4,FALSE)/1000000</f>
        <v>5.5129749020288967</v>
      </c>
    </row>
    <row r="169" spans="1:25" x14ac:dyDescent="0.2">
      <c r="A169" t="s">
        <v>574</v>
      </c>
      <c r="B169">
        <f>VLOOKUP(B156,'8. Uncertainty Results'!$A$61:$CM$73,47+$A$154,FALSE)*((cubicm/gal)*(day/yr))/B164</f>
        <v>2.1032327251383331</v>
      </c>
      <c r="C169">
        <f>VLOOKUP(B156,'8. Uncertainty Results'!$A$61:$CM$73,48+$A$154,FALSE)*((cubicm/gal)*(day/yr))/C164</f>
        <v>3.7785873918646407</v>
      </c>
      <c r="D169">
        <f>VLOOKUP(B156,'8. Uncertainty Results'!$A$61:$CM$73,49+$A$154,FALSE)*((cubicm/gal)*(day/yr))/D164</f>
        <v>5.1355324845795494</v>
      </c>
    </row>
    <row r="172" spans="1:25" x14ac:dyDescent="0.2">
      <c r="A172" t="s">
        <v>491</v>
      </c>
      <c r="B172" s="474">
        <f>B156</f>
        <v>18100204</v>
      </c>
      <c r="C172" s="474"/>
      <c r="D172" s="474"/>
      <c r="E172" s="474">
        <f>E156</f>
        <v>16040201</v>
      </c>
      <c r="F172" s="474"/>
      <c r="G172" s="474"/>
      <c r="H172" s="474">
        <f>H156</f>
        <v>15030202</v>
      </c>
      <c r="I172" s="474"/>
      <c r="J172" s="474"/>
      <c r="K172" s="474">
        <f>K156</f>
        <v>16060011</v>
      </c>
      <c r="L172" s="474"/>
      <c r="M172" s="474"/>
      <c r="N172" s="474">
        <f>N156</f>
        <v>16060003</v>
      </c>
      <c r="O172" s="474"/>
      <c r="P172" s="474"/>
      <c r="Q172" s="474">
        <f>Q156</f>
        <v>16060013</v>
      </c>
      <c r="R172" s="474"/>
      <c r="S172" s="474"/>
      <c r="T172" s="474">
        <f>T156</f>
        <v>16060010</v>
      </c>
      <c r="U172" s="474"/>
      <c r="V172" s="474"/>
      <c r="W172" s="474">
        <f>W156</f>
        <v>15030201</v>
      </c>
      <c r="X172" s="474"/>
      <c r="Y172" s="474"/>
    </row>
    <row r="173" spans="1:25" x14ac:dyDescent="0.2">
      <c r="B173" s="474" t="str">
        <f>B157</f>
        <v>SS</v>
      </c>
      <c r="C173" s="474"/>
      <c r="D173" s="474"/>
      <c r="E173" s="474" t="str">
        <f>E157</f>
        <v>UQ</v>
      </c>
      <c r="F173" s="474"/>
      <c r="G173" s="474"/>
      <c r="H173" s="474" t="str">
        <f>H157</f>
        <v>BUR</v>
      </c>
      <c r="I173" s="474"/>
      <c r="J173" s="474"/>
      <c r="K173" s="474" t="str">
        <f>K157</f>
        <v>RSCV</v>
      </c>
      <c r="L173" s="474"/>
      <c r="M173" s="474"/>
      <c r="N173" s="474" t="str">
        <f>N157</f>
        <v>SBSV</v>
      </c>
      <c r="O173" s="474"/>
      <c r="P173" s="474"/>
      <c r="Q173" s="474" t="str">
        <f>Q157</f>
        <v>CSF</v>
      </c>
      <c r="R173" s="474"/>
      <c r="S173" s="474"/>
      <c r="T173" s="474" t="str">
        <f>T157</f>
        <v>FLSSV</v>
      </c>
      <c r="U173" s="474"/>
      <c r="V173" s="474"/>
      <c r="W173" s="474" t="str">
        <f>W157</f>
        <v>BS</v>
      </c>
      <c r="X173" s="474"/>
      <c r="Y173" s="474"/>
    </row>
    <row r="174" spans="1:25" x14ac:dyDescent="0.2">
      <c r="B174" t="s">
        <v>440</v>
      </c>
      <c r="C174" t="s">
        <v>441</v>
      </c>
      <c r="D174" t="s">
        <v>442</v>
      </c>
      <c r="E174" t="s">
        <v>440</v>
      </c>
      <c r="F174" t="s">
        <v>441</v>
      </c>
      <c r="G174" t="s">
        <v>442</v>
      </c>
      <c r="H174" t="s">
        <v>440</v>
      </c>
      <c r="I174" t="s">
        <v>441</v>
      </c>
      <c r="J174" t="s">
        <v>442</v>
      </c>
      <c r="K174" t="s">
        <v>440</v>
      </c>
      <c r="L174" t="s">
        <v>441</v>
      </c>
      <c r="M174" t="s">
        <v>442</v>
      </c>
      <c r="N174" t="s">
        <v>440</v>
      </c>
      <c r="O174" t="s">
        <v>441</v>
      </c>
      <c r="P174" t="s">
        <v>442</v>
      </c>
      <c r="Q174" t="s">
        <v>440</v>
      </c>
      <c r="R174" t="s">
        <v>441</v>
      </c>
      <c r="S174" t="s">
        <v>442</v>
      </c>
      <c r="T174" t="s">
        <v>440</v>
      </c>
      <c r="U174" t="s">
        <v>441</v>
      </c>
      <c r="V174" t="s">
        <v>442</v>
      </c>
      <c r="W174" t="s">
        <v>440</v>
      </c>
      <c r="X174" t="s">
        <v>441</v>
      </c>
      <c r="Y174" t="s">
        <v>442</v>
      </c>
    </row>
    <row r="175" spans="1:25" x14ac:dyDescent="0.2">
      <c r="A175" t="s">
        <v>436</v>
      </c>
      <c r="B175">
        <f>VLOOKUP(B172,'8. Uncertainty Results'!$B$319:$E$331,2,FALSE)*(cubicm/gal)*(day/yr)</f>
        <v>635.11983654395613</v>
      </c>
      <c r="C175">
        <f>B175</f>
        <v>635.11983654395613</v>
      </c>
      <c r="D175">
        <f>B175</f>
        <v>635.11983654395613</v>
      </c>
      <c r="E175">
        <f>VLOOKUP(E172,'8. Uncertainty Results'!$B$319:$E$331,2,FALSE)*(cubicm/gal)*(day/yr)</f>
        <v>105.57634464509907</v>
      </c>
      <c r="F175">
        <f>E175</f>
        <v>105.57634464509907</v>
      </c>
      <c r="G175">
        <f>E175</f>
        <v>105.57634464509907</v>
      </c>
      <c r="H175">
        <f>VLOOKUP(H172,'8. Uncertainty Results'!$B$319:$E$331,2,FALSE)*(cubicm/gal)*(day/yr)</f>
        <v>35.716443637853835</v>
      </c>
      <c r="I175">
        <f>H175</f>
        <v>35.716443637853835</v>
      </c>
      <c r="J175">
        <f>H175</f>
        <v>35.716443637853835</v>
      </c>
      <c r="K175">
        <f>VLOOKUP(K172,'8. Uncertainty Results'!$B$319:$E$331,2,FALSE)*(cubicm/gal)*(day/yr)</f>
        <v>45.493738441861822</v>
      </c>
      <c r="L175">
        <f>K175</f>
        <v>45.493738441861822</v>
      </c>
      <c r="M175">
        <f>K175</f>
        <v>45.493738441861822</v>
      </c>
      <c r="N175">
        <f>VLOOKUP(N172,'8. Uncertainty Results'!$B$319:$E$331,2,FALSE)*(cubicm/gal)*(day/yr)</f>
        <v>26.05098815865275</v>
      </c>
      <c r="O175">
        <f>N175</f>
        <v>26.05098815865275</v>
      </c>
      <c r="P175">
        <f>N175</f>
        <v>26.05098815865275</v>
      </c>
      <c r="Q175">
        <f>VLOOKUP(Q172,'8. Uncertainty Results'!$B$319:$E$331,2,FALSE)*(cubicm/gal)*(day/yr)</f>
        <v>34.990527999264685</v>
      </c>
      <c r="R175">
        <f>Q175</f>
        <v>34.990527999264685</v>
      </c>
      <c r="S175">
        <f>Q175</f>
        <v>34.990527999264685</v>
      </c>
      <c r="T175">
        <f>VLOOKUP(T172,'8. Uncertainty Results'!$B$319:$E$331,2,FALSE)*(cubicm/gal)*(day/yr)</f>
        <v>48.996732347662821</v>
      </c>
      <c r="U175">
        <f>T175</f>
        <v>48.996732347662821</v>
      </c>
      <c r="V175">
        <f>T175</f>
        <v>48.996732347662821</v>
      </c>
      <c r="W175">
        <f>VLOOKUP(W172,'8. Uncertainty Results'!$B$319:$E$331,2,FALSE)*(cubicm/gal)*(day/yr)</f>
        <v>72.773805744733039</v>
      </c>
      <c r="X175">
        <f>W175</f>
        <v>72.773805744733039</v>
      </c>
      <c r="Y175">
        <f>W175</f>
        <v>72.773805744733039</v>
      </c>
    </row>
    <row r="176" spans="1:25" x14ac:dyDescent="0.2">
      <c r="A176" t="s">
        <v>437</v>
      </c>
      <c r="B176">
        <f>VLOOKUP(B172,'8. Uncertainty Results'!$B$319:$E$331,4,FALSE)*(cubicm/gal)*(day/yr)</f>
        <v>715.22506656210362</v>
      </c>
      <c r="C176">
        <f>B176</f>
        <v>715.22506656210362</v>
      </c>
      <c r="D176">
        <f>B176</f>
        <v>715.22506656210362</v>
      </c>
      <c r="E176">
        <f>VLOOKUP(E172,'8. Uncertainty Results'!$B$319:$E$331,4,FALSE)*(cubicm/gal)*(day/yr)</f>
        <v>321.72856975229149</v>
      </c>
      <c r="F176">
        <f>E176</f>
        <v>321.72856975229149</v>
      </c>
      <c r="G176">
        <f>E176</f>
        <v>321.72856975229149</v>
      </c>
      <c r="H176">
        <f>VLOOKUP(H172,'8. Uncertainty Results'!$B$319:$E$331,4,FALSE)*(cubicm/gal)*(day/yr)</f>
        <v>90.090299760130051</v>
      </c>
      <c r="I176">
        <f>H176</f>
        <v>90.090299760130051</v>
      </c>
      <c r="J176">
        <f>H176</f>
        <v>90.090299760130051</v>
      </c>
      <c r="K176">
        <f>VLOOKUP(K172,'8. Uncertainty Results'!$B$319:$E$331,4,FALSE)*(cubicm/gal)*(day/yr)</f>
        <v>89.4560134396325</v>
      </c>
      <c r="L176">
        <f>K176</f>
        <v>89.4560134396325</v>
      </c>
      <c r="M176">
        <f>K176</f>
        <v>89.4560134396325</v>
      </c>
      <c r="N176">
        <f>VLOOKUP(N172,'8. Uncertainty Results'!$B$319:$E$331,4,FALSE)*(cubicm/gal)*(day/yr)</f>
        <v>98.154531758679852</v>
      </c>
      <c r="O176">
        <f>N176</f>
        <v>98.154531758679852</v>
      </c>
      <c r="P176">
        <f>N176</f>
        <v>98.154531758679852</v>
      </c>
      <c r="Q176">
        <f>VLOOKUP(Q172,'8. Uncertainty Results'!$B$319:$E$331,4,FALSE)*(cubicm/gal)*(day/yr)</f>
        <v>105.60259289352661</v>
      </c>
      <c r="R176">
        <f>Q176</f>
        <v>105.60259289352661</v>
      </c>
      <c r="S176">
        <f>Q176</f>
        <v>105.60259289352661</v>
      </c>
      <c r="T176">
        <f>VLOOKUP(T172,'8. Uncertainty Results'!$B$319:$E$331,4,FALSE)*(cubicm/gal)*(day/yr)</f>
        <v>101.01738302855959</v>
      </c>
      <c r="U176">
        <f>T176</f>
        <v>101.01738302855959</v>
      </c>
      <c r="V176">
        <f>T176</f>
        <v>101.01738302855959</v>
      </c>
      <c r="W176">
        <f>VLOOKUP(W172,'8. Uncertainty Results'!$B$319:$E$331,4,FALSE)*(cubicm/gal)*(day/yr)</f>
        <v>225.45972670700448</v>
      </c>
      <c r="X176">
        <f>W176</f>
        <v>225.45972670700448</v>
      </c>
      <c r="Y176">
        <f>W176</f>
        <v>225.45972670700448</v>
      </c>
    </row>
    <row r="177" spans="1:25" x14ac:dyDescent="0.2">
      <c r="A177" t="s">
        <v>438</v>
      </c>
      <c r="B177">
        <f>VLOOKUP(B172,'8. Uncertainty Results'!$A$79:$CM$90,2+$A$154,FALSE)*((cubicm/gal)*(day/yr))</f>
        <v>18.370759309193748</v>
      </c>
      <c r="C177">
        <f>VLOOKUP(B172,'8. Uncertainty Results'!$A$79:$CM$90,3+$A$154,FALSE)*((cubicm/gal)*(day/yr))</f>
        <v>19.16420472089116</v>
      </c>
      <c r="D177">
        <f>VLOOKUP(B172,'8. Uncertainty Results'!$A$79:$CM$90,4+$A$154,FALSE)*((cubicm/gal)*(day/yr))</f>
        <v>19.855698658705318</v>
      </c>
      <c r="E177">
        <f>VLOOKUP(E172,'8. Uncertainty Results'!$A$79:$CM$90,2+$A$154,FALSE)*((cubicm/gal)*(day/yr))</f>
        <v>0</v>
      </c>
      <c r="F177">
        <f>VLOOKUP(E172,'8. Uncertainty Results'!$A$79:$CM$90,3+$A$154,FALSE)*((cubicm/gal)*(day/yr))</f>
        <v>0</v>
      </c>
      <c r="G177">
        <f>VLOOKUP(E172,'8. Uncertainty Results'!$A$79:$CM$90,4+$A$154,FALSE)*((cubicm/gal)*(day/yr))</f>
        <v>0</v>
      </c>
      <c r="H177">
        <f>VLOOKUP(H172,'8. Uncertainty Results'!$A$79:$CM$90,2+$A$154,FALSE)*((cubicm/gal)*(day/yr))</f>
        <v>27.133484979504814</v>
      </c>
      <c r="I177">
        <f>VLOOKUP(H172,'8. Uncertainty Results'!$A$79:$CM$90,3+$A$154,FALSE)*((cubicm/gal)*(day/yr))</f>
        <v>28.819711609076759</v>
      </c>
      <c r="J177">
        <f>VLOOKUP(H172,'8. Uncertainty Results'!$A$79:$CM$90,4+$A$154,FALSE)*((cubicm/gal)*(day/yr))</f>
        <v>30.40513953687239</v>
      </c>
      <c r="K177">
        <f>VLOOKUP(K172,'8. Uncertainty Results'!$A$79:$CM$90,2+$A$154,FALSE)*((cubicm/gal)*(day/yr))</f>
        <v>0.10889936546812751</v>
      </c>
      <c r="L177">
        <f>VLOOKUP(K172,'8. Uncertainty Results'!$A$79:$CM$90,3+$A$154,FALSE)*((cubicm/gal)*(day/yr))</f>
        <v>0.11578952163060066</v>
      </c>
      <c r="M177">
        <f>VLOOKUP(K172,'8. Uncertainty Results'!$A$79:$CM$90,4+$A$154,FALSE)*((cubicm/gal)*(day/yr))</f>
        <v>0.12216699729445889</v>
      </c>
      <c r="N177">
        <f>VLOOKUP(N172,'8. Uncertainty Results'!$A$79:$CM$90,2+$A$154,FALSE)*((cubicm/gal)*(day/yr))</f>
        <v>7.2665448388975901E-2</v>
      </c>
      <c r="O177">
        <f>VLOOKUP(N172,'8. Uncertainty Results'!$A$79:$CM$90,3+$A$154,FALSE)*((cubicm/gal)*(day/yr))</f>
        <v>7.71879482588744E-2</v>
      </c>
      <c r="P177">
        <f>VLOOKUP(N172,'8. Uncertainty Results'!$A$79:$CM$90,4+$A$154,FALSE)*((cubicm/gal)*(day/yr))</f>
        <v>8.142740866487902E-2</v>
      </c>
      <c r="Q177">
        <f>VLOOKUP(Q172,'8. Uncertainty Results'!$A$79:$CM$90,2+$A$154,FALSE)*((cubicm/gal)*(day/yr))</f>
        <v>0.10896794153692263</v>
      </c>
      <c r="R177">
        <f>VLOOKUP(Q172,'8. Uncertainty Results'!$A$79:$CM$90,3+$A$154,FALSE)*((cubicm/gal)*(day/yr))</f>
        <v>0.11586552995583112</v>
      </c>
      <c r="S177">
        <f>VLOOKUP(Q172,'8. Uncertainty Results'!$A$79:$CM$90,4+$A$154,FALSE)*((cubicm/gal)*(day/yr))</f>
        <v>0.1220122397651844</v>
      </c>
      <c r="T177">
        <f>VLOOKUP(T172,'8. Uncertainty Results'!$A$79:$CM$90,2+$A$154,FALSE)*((cubicm/gal)*(day/yr))</f>
        <v>17.803229804950572</v>
      </c>
      <c r="U177">
        <f>VLOOKUP(T172,'8. Uncertainty Results'!$A$79:$CM$90,3+$A$154,FALSE)*((cubicm/gal)*(day/yr))</f>
        <v>18.574595836464386</v>
      </c>
      <c r="V177">
        <f>VLOOKUP(T172,'8. Uncertainty Results'!$A$79:$CM$90,4+$A$154,FALSE)*((cubicm/gal)*(day/yr))</f>
        <v>19.238405243180097</v>
      </c>
      <c r="W177">
        <f>VLOOKUP(W172,'8. Uncertainty Results'!$A$79:$CM$90,2+$A$154,FALSE)*((cubicm/gal)*(day/yr))</f>
        <v>27.078705396228425</v>
      </c>
      <c r="X177">
        <f>VLOOKUP(W172,'8. Uncertainty Results'!$A$79:$CM$90,3+$A$154,FALSE)*((cubicm/gal)*(day/yr))</f>
        <v>28.835299198597859</v>
      </c>
      <c r="Y177">
        <f>VLOOKUP(W172,'8. Uncertainty Results'!$A$79:$CM$90,4+$A$154,FALSE)*((cubicm/gal)*(day/yr))</f>
        <v>30.425543178028789</v>
      </c>
    </row>
    <row r="178" spans="1:25" x14ac:dyDescent="0.2">
      <c r="A178" t="s">
        <v>400</v>
      </c>
      <c r="B178">
        <f>VLOOKUP(B172,'8. Uncertainty Results'!$A$79:$CM$90,17+$A$154,FALSE)*((cubicm/gal)*(day/yr))</f>
        <v>32.744321263978371</v>
      </c>
      <c r="C178">
        <f>VLOOKUP(B172,'8. Uncertainty Results'!$A$79:$CM$90,18+$A$154+$A$154,FALSE)*((cubicm/gal)*(day/yr))</f>
        <v>32.64740229171661</v>
      </c>
      <c r="D178">
        <f>VLOOKUP(B172,'8. Uncertainty Results'!$A$79:$CM$90,19+$A$154,FALSE)*((cubicm/gal)*(day/yr))</f>
        <v>34.878481499624492</v>
      </c>
      <c r="E178">
        <f>VLOOKUP(E172,'8. Uncertainty Results'!$A$79:$CM$90,17+$A$154,FALSE)*((cubicm/gal)*(day/yr))</f>
        <v>4.0382409960342853</v>
      </c>
      <c r="F178">
        <f>VLOOKUP(E172,'8. Uncertainty Results'!$A$79:$CM$90,18+$A$154,FALSE)*((cubicm/gal)*(day/yr))</f>
        <v>4.2097969233136396</v>
      </c>
      <c r="G178">
        <f>VLOOKUP(E172,'8. Uncertainty Results'!$A$79:$CM$90,19+$A$154,FALSE)*((cubicm/gal)*(day/yr))</f>
        <v>4.3923632381644655</v>
      </c>
      <c r="H178">
        <f>VLOOKUP(H172,'8. Uncertainty Results'!$A$79:$CM$90,17+$A$154,FALSE)*((cubicm/gal)*(day/yr))</f>
        <v>58.73478807979032</v>
      </c>
      <c r="I178">
        <f>VLOOKUP(H172,'8. Uncertainty Results'!$A$79:$CM$90,18+$A$154,FALSE)*((cubicm/gal)*(day/yr))</f>
        <v>62.542393736691679</v>
      </c>
      <c r="J178">
        <f>VLOOKUP(H172,'8. Uncertainty Results'!$A$79:$CM$90,19+$A$154,FALSE)*((cubicm/gal)*(day/yr))</f>
        <v>66.707110929912133</v>
      </c>
      <c r="K178">
        <f>VLOOKUP(K172,'8. Uncertainty Results'!$A$79:$CM$90,17+$A$154,FALSE)*((cubicm/gal)*(day/yr))</f>
        <v>8.0073125532091627</v>
      </c>
      <c r="L178">
        <f>VLOOKUP(K172,'8. Uncertainty Results'!$A$79:$CM$90,18+$A$154,FALSE)*((cubicm/gal)*(day/yr))</f>
        <v>8.6734251206955886</v>
      </c>
      <c r="M178">
        <f>VLOOKUP(K172,'8. Uncertainty Results'!$A$79:$CM$90,19+$A$154,FALSE)*((cubicm/gal)*(day/yr))</f>
        <v>9.4768020319251871</v>
      </c>
      <c r="N178">
        <f>VLOOKUP(N172,'8. Uncertainty Results'!$A$79:$CM$90,17+$A$154,FALSE)*((cubicm/gal)*(day/yr))</f>
        <v>5.5791137848772907</v>
      </c>
      <c r="O178">
        <f>VLOOKUP(N172,'8. Uncertainty Results'!$A$79:$CM$90,18+$A$154,FALSE)*((cubicm/gal)*(day/yr))</f>
        <v>6.0318099205837461</v>
      </c>
      <c r="P178">
        <f>VLOOKUP(N172,'8. Uncertainty Results'!$A$79:$CM$90,19+$A$154,FALSE)*((cubicm/gal)*(day/yr))</f>
        <v>6.5687378826013969</v>
      </c>
      <c r="Q178">
        <f>VLOOKUP(Q172,'8. Uncertainty Results'!$A$79:$CM$90,17+$A$154,FALSE)*((cubicm/gal)*(day/yr))</f>
        <v>8.0093690252517149</v>
      </c>
      <c r="R178">
        <f>VLOOKUP(Q172,'8. Uncertainty Results'!$A$79:$CM$90,18+$A$154,FALSE)*((cubicm/gal)*(day/yr))</f>
        <v>8.6755413004676978</v>
      </c>
      <c r="S178">
        <f>VLOOKUP(Q172,'8. Uncertainty Results'!$A$79:$CM$90,19+$A$154,FALSE)*((cubicm/gal)*(day/yr))</f>
        <v>9.4636301686841549</v>
      </c>
      <c r="T178">
        <f>VLOOKUP(T172,'8. Uncertainty Results'!$A$79:$CM$90,17+$A$154,FALSE)*((cubicm/gal)*(day/yr))</f>
        <v>1.1536406367578569</v>
      </c>
      <c r="U178">
        <f>VLOOKUP(T172,'8. Uncertainty Results'!$A$79:$CM$90,18+$A$154,FALSE)*((cubicm/gal)*(day/yr))</f>
        <v>1.2559505789068657</v>
      </c>
      <c r="V178">
        <f>VLOOKUP(T172,'8. Uncertainty Results'!$A$79:$CM$90,19+$A$154,FALSE)*((cubicm/gal)*(day/yr))</f>
        <v>1.362223988064335</v>
      </c>
      <c r="W178">
        <f>VLOOKUP(W172,'8. Uncertainty Results'!$A$79:$CM$90,17+$A$154,FALSE)*((cubicm/gal)*(day/yr))</f>
        <v>58.835485733941958</v>
      </c>
      <c r="X178">
        <f>VLOOKUP(W172,'8. Uncertainty Results'!$A$79:$CM$90,18+$A$154,FALSE)*((cubicm/gal)*(day/yr))</f>
        <v>62.600717032958315</v>
      </c>
      <c r="Y178">
        <f>VLOOKUP(W172,'8. Uncertainty Results'!$A$79:$CM$90,19+$A$154,FALSE)*((cubicm/gal)*(day/yr))</f>
        <v>66.675859875311673</v>
      </c>
    </row>
    <row r="179" spans="1:25" x14ac:dyDescent="0.2">
      <c r="A179" t="s">
        <v>401</v>
      </c>
      <c r="B179">
        <f>VLOOKUP(B172,'8. Uncertainty Results'!$A$79:$CM$90,32+$A$154,FALSE)*((cubicm/gal)*(day/yr))</f>
        <v>0</v>
      </c>
      <c r="C179">
        <f>VLOOKUP(B172,'8. Uncertainty Results'!$A$79:$CM$90,33+$A$154,FALSE)*((cubicm/gal)*(day/yr))</f>
        <v>0</v>
      </c>
      <c r="D179">
        <f>VLOOKUP(B172,'8. Uncertainty Results'!$A$79:$CM$90,34+$A$154,FALSE)*((cubicm/gal)*(day/yr))</f>
        <v>0</v>
      </c>
      <c r="E179">
        <f>VLOOKUP(E172,'8. Uncertainty Results'!$A$79:$CM$90,32+$A$154,FALSE)*((cubicm/gal)*(day/yr))</f>
        <v>0</v>
      </c>
      <c r="F179">
        <f>VLOOKUP(E172,'8. Uncertainty Results'!$A$79:$CM$90,33+$A$154,FALSE)*((cubicm/gal)*(day/yr))</f>
        <v>0</v>
      </c>
      <c r="G179">
        <f>VLOOKUP(E172,'8. Uncertainty Results'!$A$79:$CM$90,34+$A$154,FALSE)*((cubicm/gal)*(day/yr))</f>
        <v>0</v>
      </c>
      <c r="H179">
        <f>VLOOKUP(H172,'8. Uncertainty Results'!$A$79:$CM$90,32+$A$154,FALSE)*((cubicm/gal)*(day/yr))</f>
        <v>0</v>
      </c>
      <c r="I179">
        <f>VLOOKUP(H172,'8. Uncertainty Results'!$A$79:$CM$90,33+$A$154,FALSE)*((cubicm/gal)*(day/yr))</f>
        <v>0</v>
      </c>
      <c r="J179">
        <f>VLOOKUP(H172,'8. Uncertainty Results'!$A$79:$CM$90,34+$A$154,FALSE)*((cubicm/gal)*(day/yr))</f>
        <v>0</v>
      </c>
      <c r="K179">
        <f>VLOOKUP(K172,'8. Uncertainty Results'!$A$79:$CM$90,32+$A$154,FALSE)*((cubicm/gal)*(day/yr))</f>
        <v>0</v>
      </c>
      <c r="L179">
        <f>VLOOKUP(K172,'8. Uncertainty Results'!$A$79:$CM$90,33+$A$154,FALSE)*((cubicm/gal)*(day/yr))</f>
        <v>0</v>
      </c>
      <c r="M179">
        <f>VLOOKUP(K172,'8. Uncertainty Results'!$A$79:$CM$90,34+$A$154,FALSE)*((cubicm/gal)*(day/yr))</f>
        <v>0</v>
      </c>
      <c r="N179">
        <f>VLOOKUP(N172,'8. Uncertainty Results'!$A$79:$CM$90,32+$A$154,FALSE)*((cubicm/gal)*(day/yr))</f>
        <v>0</v>
      </c>
      <c r="O179">
        <f>VLOOKUP(N172,'8. Uncertainty Results'!$A$79:$CM$90,33+$A$154,FALSE)*((cubicm/gal)*(day/yr))</f>
        <v>0</v>
      </c>
      <c r="P179">
        <f>VLOOKUP(N172,'8. Uncertainty Results'!$A$79:$CM$90,34+$A$154,FALSE)*((cubicm/gal)*(day/yr))</f>
        <v>0</v>
      </c>
      <c r="Q179">
        <f>VLOOKUP(Q172,'8. Uncertainty Results'!$A$79:$CM$90,32+$A$154,FALSE)*((cubicm/gal)*(day/yr))</f>
        <v>0</v>
      </c>
      <c r="R179">
        <f>VLOOKUP(Q172,'8. Uncertainty Results'!$A$79:$CM$90,33+$A$154,FALSE)*((cubicm/gal)*(day/yr))</f>
        <v>0</v>
      </c>
      <c r="S179">
        <f>VLOOKUP(Q172,'8. Uncertainty Results'!$A$79:$CM$90,34+$A$154,FALSE)*((cubicm/gal)*(day/yr))</f>
        <v>0</v>
      </c>
      <c r="T179">
        <f>VLOOKUP(T172,'8. Uncertainty Results'!$A$79:$CM$90,32+$A$154,FALSE)*((cubicm/gal)*(day/yr))</f>
        <v>0</v>
      </c>
      <c r="U179">
        <f>VLOOKUP(T172,'8. Uncertainty Results'!$A$79:$CM$90,33+$A$154,FALSE)*((cubicm/gal)*(day/yr))</f>
        <v>0</v>
      </c>
      <c r="V179">
        <f>VLOOKUP(T172,'8. Uncertainty Results'!$A$79:$CM$90,34+$A$154,FALSE)*((cubicm/gal)*(day/yr))</f>
        <v>0</v>
      </c>
      <c r="W179">
        <f>VLOOKUP(W172,'8. Uncertainty Results'!$A$79:$CM$90,32+$A$154,FALSE)*((cubicm/gal)*(day/yr))</f>
        <v>0</v>
      </c>
      <c r="X179">
        <f>VLOOKUP(W172,'8. Uncertainty Results'!$A$79:$CM$90,33+$A$154,FALSE)*((cubicm/gal)*(day/yr))</f>
        <v>0</v>
      </c>
      <c r="Y179">
        <f>VLOOKUP(W172,'8. Uncertainty Results'!$A$79:$CM$90,34+$A$154,FALSE)*((cubicm/gal)*(day/yr))</f>
        <v>0</v>
      </c>
    </row>
    <row r="180" spans="1:25" x14ac:dyDescent="0.2">
      <c r="A180" t="s">
        <v>402</v>
      </c>
      <c r="B180">
        <f>VLOOKUP(B172,'8. Uncertainty Results'!$A$79:$CM$91,47+$A$154,FALSE)*((cubicm/gal)*(day/yr))</f>
        <v>664.47199082513964</v>
      </c>
      <c r="C180">
        <f>VLOOKUP(B172,'8. Uncertainty Results'!$A$79:$CM$91,48+$A$154,FALSE)*((cubicm/gal)*(day/yr))</f>
        <v>1197.970560266451</v>
      </c>
      <c r="D180">
        <f>VLOOKUP(B172,'8. Uncertainty Results'!$A$79:$CM$91,49+$A$154,FALSE)*((cubicm/gal)*(day/yr))</f>
        <v>1884.5737847195746</v>
      </c>
      <c r="E180">
        <f>VLOOKUP(E172,'8. Uncertainty Results'!$A$79:$CM$90,47+$A$154,FALSE)*((cubicm/gal)*(day/yr))</f>
        <v>232.78385681048897</v>
      </c>
      <c r="F180">
        <f>VLOOKUP(E172,'8. Uncertainty Results'!$A$79:$CM$90,48+$A$154,FALSE)*((cubicm/gal)*(day/yr))</f>
        <v>329.82251505702106</v>
      </c>
      <c r="G180">
        <f>VLOOKUP(E172,'8. Uncertainty Results'!$A$79:$CM$90,49+$A$154,FALSE)*((cubicm/gal)*(day/yr))</f>
        <v>444.39782642745467</v>
      </c>
      <c r="H180">
        <f>VLOOKUP(H172,'8. Uncertainty Results'!$A$79:$CM$90,47+$A$154,FALSE)*((cubicm/gal)*(day/yr))</f>
        <v>30.840875762659323</v>
      </c>
      <c r="I180">
        <f>VLOOKUP(H172,'8. Uncertainty Results'!$A$79:$CM$90,48+$A$154,FALSE)*((cubicm/gal)*(day/yr))</f>
        <v>50.0617265636157</v>
      </c>
      <c r="J180">
        <f>VLOOKUP(H172,'8. Uncertainty Results'!$A$79:$CM$90,49+$A$154,FALSE)*((cubicm/gal)*(day/yr))</f>
        <v>75.994364614155742</v>
      </c>
      <c r="K180">
        <f>VLOOKUP(K172,'8. Uncertainty Results'!$A$79:$CM$90,47+$A$154,FALSE)*((cubicm/gal)*(day/yr))</f>
        <v>13.548972561692242</v>
      </c>
      <c r="L180">
        <f>VLOOKUP(K172,'8. Uncertainty Results'!$A$79:$CM$90,48+$A$154,FALSE)*((cubicm/gal)*(day/yr))</f>
        <v>22.417383177406407</v>
      </c>
      <c r="M180">
        <f>VLOOKUP(K172,'8. Uncertainty Results'!$A$79:$CM$90,49+$A$154,FALSE)*((cubicm/gal)*(day/yr))</f>
        <v>34.76705735120256</v>
      </c>
      <c r="N180">
        <f>VLOOKUP(N172,'8. Uncertainty Results'!$A$79:$CM$90,47+$A$154,FALSE)*((cubicm/gal)*(day/yr))</f>
        <v>10.160590970520758</v>
      </c>
      <c r="O180">
        <f>VLOOKUP(N172,'8. Uncertainty Results'!$A$79:$CM$90,48+$A$154,FALSE)*((cubicm/gal)*(day/yr))</f>
        <v>16.550491596902752</v>
      </c>
      <c r="P180">
        <f>VLOOKUP(N172,'8. Uncertainty Results'!$A$79:$CM$90,49+$A$154,FALSE)*((cubicm/gal)*(day/yr))</f>
        <v>25.113370191471038</v>
      </c>
      <c r="Q180">
        <f>VLOOKUP(Q172,'8. Uncertainty Results'!$A$79:$CM$90,47+$A$154,FALSE)*((cubicm/gal)*(day/yr))</f>
        <v>13.843610346464894</v>
      </c>
      <c r="R180">
        <f>VLOOKUP(Q172,'8. Uncertainty Results'!$A$79:$CM$90,48+$A$154,FALSE)*((cubicm/gal)*(day/yr))</f>
        <v>22.581530148271185</v>
      </c>
      <c r="S180">
        <f>VLOOKUP(Q172,'8. Uncertainty Results'!$A$79:$CM$90,49+$A$154,FALSE)*((cubicm/gal)*(day/yr))</f>
        <v>34.669261750796132</v>
      </c>
      <c r="T180">
        <f>VLOOKUP(T172,'8. Uncertainty Results'!$A$79:$CM$90,47+$A$154,FALSE)*((cubicm/gal)*(day/yr))</f>
        <v>9.5430020162006617</v>
      </c>
      <c r="U180">
        <f>VLOOKUP(T172,'8. Uncertainty Results'!$A$79:$CM$90,48+$A$154,FALSE)*((cubicm/gal)*(day/yr))</f>
        <v>15.517561476518075</v>
      </c>
      <c r="V180">
        <f>VLOOKUP(T172,'8. Uncertainty Results'!$A$79:$CM$90,49+$A$154,FALSE)*((cubicm/gal)*(day/yr))</f>
        <v>23.517440662629063</v>
      </c>
      <c r="W180">
        <f>VLOOKUP(W172,'8. Uncertainty Results'!$A$79:$CM$90,47+$A$154,FALSE)*((cubicm/gal)*(day/yr))</f>
        <v>31.135663088191826</v>
      </c>
      <c r="X180">
        <f>VLOOKUP(W172,'8. Uncertainty Results'!$A$79:$CM$90,48+$A$154,FALSE)*((cubicm/gal)*(day/yr))</f>
        <v>50.327866816940485</v>
      </c>
      <c r="Y180">
        <f>VLOOKUP(W172,'8. Uncertainty Results'!$A$79:$CM$90,49+$A$154,FALSE)*((cubicm/gal)*(day/yr))</f>
        <v>75.997167037078057</v>
      </c>
    </row>
    <row r="181" spans="1:25" x14ac:dyDescent="0.2">
      <c r="A181" t="s">
        <v>403</v>
      </c>
      <c r="B181">
        <f>VLOOKUP(B172,'8. Uncertainty Results'!$A$79:$CM$90,62+$A$154,FALSE)*((cubicm/gal)*(day/yr))</f>
        <v>5.0215584753616955</v>
      </c>
      <c r="C181">
        <f>VLOOKUP(B172,'8. Uncertainty Results'!$A$79:$CM$90,63+$A$154,FALSE)*((cubicm/gal)*(day/yr))</f>
        <v>5.0312316147578366</v>
      </c>
      <c r="D181">
        <f>VLOOKUP(B172,'8. Uncertainty Results'!$A$79:$CM$90,64+$A$154,FALSE)*((cubicm/gal)*(day/yr))</f>
        <v>5.0390860369204811</v>
      </c>
      <c r="E181">
        <f>VLOOKUP(E172,'8. Uncertainty Results'!$A$79:$CM$90,62+$A$154,FALSE)*((cubicm/gal)*(day/yr))</f>
        <v>1.0729619126554828</v>
      </c>
      <c r="F181">
        <f>VLOOKUP(E172,'8. Uncertainty Results'!$A$79:$CM$90,63+$A$154,FALSE)*((cubicm/gal)*(day/yr))</f>
        <v>1.0845247252207399</v>
      </c>
      <c r="G181">
        <f>VLOOKUP(E172,'8. Uncertainty Results'!$A$79:$CM$90,64+$A$154,FALSE)*((cubicm/gal)*(day/yr))</f>
        <v>1.0955464916648334</v>
      </c>
      <c r="H181">
        <f>VLOOKUP(H172,'8. Uncertainty Results'!$A$79:$CM$90,62+$A$154,FALSE)*((cubicm/gal)*(day/yr))</f>
        <v>0.50304190485233069</v>
      </c>
      <c r="I181">
        <f>VLOOKUP(H172,'8. Uncertainty Results'!$A$79:$CM$90,63+$A$154,FALSE)*((cubicm/gal)*(day/yr))</f>
        <v>0.51393057163325317</v>
      </c>
      <c r="J181">
        <f>VLOOKUP(H172,'8. Uncertainty Results'!$A$79:$CM$90,64+$A$154,FALSE)*((cubicm/gal)*(day/yr))</f>
        <v>0.52395831116844938</v>
      </c>
      <c r="K181">
        <f>VLOOKUP(K172,'8. Uncertainty Results'!$A$79:$CM$90,62+$A$154,FALSE)*((cubicm/gal)*(day/yr))</f>
        <v>0.27944292532070886</v>
      </c>
      <c r="L181">
        <f>VLOOKUP(K172,'8. Uncertainty Results'!$A$79:$CM$90,63+$A$154,FALSE)*((cubicm/gal)*(day/yr))</f>
        <v>0.28530466189979847</v>
      </c>
      <c r="M181">
        <f>VLOOKUP(K172,'8. Uncertainty Results'!$A$79:$CM$90,64+$A$154,FALSE)*((cubicm/gal)*(day/yr))</f>
        <v>0.29091388227926107</v>
      </c>
      <c r="N181">
        <f>VLOOKUP(N172,'8. Uncertainty Results'!$A$79:$CM$90,62+$A$154,FALSE)*((cubicm/gal)*(day/yr))</f>
        <v>0.19695005542172292</v>
      </c>
      <c r="O181">
        <f>VLOOKUP(N172,'8. Uncertainty Results'!$A$79:$CM$90,63+$A$154,FALSE)*((cubicm/gal)*(day/yr))</f>
        <v>0.20109985046673728</v>
      </c>
      <c r="P181">
        <f>VLOOKUP(N172,'8. Uncertainty Results'!$A$79:$CM$90,64+$A$154,FALSE)*((cubicm/gal)*(day/yr))</f>
        <v>0.20500142317641326</v>
      </c>
      <c r="Q181">
        <f>VLOOKUP(Q172,'8. Uncertainty Results'!$A$79:$CM$90,62+$A$154,FALSE)*((cubicm/gal)*(day/yr))</f>
        <v>0.27950009613913063</v>
      </c>
      <c r="R181">
        <f>VLOOKUP(Q172,'8. Uncertainty Results'!$A$79:$CM$90,63+$A$154,FALSE)*((cubicm/gal)*(day/yr))</f>
        <v>0.28540874714988007</v>
      </c>
      <c r="S181">
        <f>VLOOKUP(Q172,'8. Uncertainty Results'!$A$79:$CM$90,64+$A$154,FALSE)*((cubicm/gal)*(day/yr))</f>
        <v>0.29108143435537015</v>
      </c>
      <c r="T181">
        <f>VLOOKUP(T172,'8. Uncertainty Results'!$A$79:$CM$90,62+$A$154,FALSE)*((cubicm/gal)*(day/yr))</f>
        <v>0.10148531317509679</v>
      </c>
      <c r="U181">
        <f>VLOOKUP(T172,'8. Uncertainty Results'!$A$79:$CM$90,63+$A$154,FALSE)*((cubicm/gal)*(day/yr))</f>
        <v>0.10195247662189827</v>
      </c>
      <c r="V181">
        <f>VLOOKUP(T172,'8. Uncertainty Results'!$A$79:$CM$90,64+$A$154,FALSE)*((cubicm/gal)*(day/yr))</f>
        <v>0.10238117480156174</v>
      </c>
      <c r="W181">
        <f>VLOOKUP(W172,'8. Uncertainty Results'!$A$79:$CM$90,62+$A$154,FALSE)*((cubicm/gal)*(day/yr))</f>
        <v>0.50320116691309347</v>
      </c>
      <c r="X181">
        <f>VLOOKUP(W172,'8. Uncertainty Results'!$A$79:$CM$90,63+$A$154,FALSE)*((cubicm/gal)*(day/yr))</f>
        <v>0.51392927809088607</v>
      </c>
      <c r="Y181">
        <f>VLOOKUP(W172,'8. Uncertainty Results'!$A$79:$CM$90,64+$A$154,FALSE)*((cubicm/gal)*(day/yr))</f>
        <v>0.52408081637537884</v>
      </c>
    </row>
    <row r="182" spans="1:25" x14ac:dyDescent="0.2">
      <c r="A182" t="s">
        <v>439</v>
      </c>
      <c r="B182">
        <f>VLOOKUP(B172,'8. Uncertainty Results'!$A$79:$CM$90,77+$A$154,FALSE)*((cubicm/gal)*(day/yr))</f>
        <v>0</v>
      </c>
      <c r="C182">
        <f>VLOOKUP(B172,'8. Uncertainty Results'!$A$79:$CM$90,78+$A$154,FALSE)*((cubicm/gal)*(day/yr))</f>
        <v>0</v>
      </c>
      <c r="D182">
        <f>VLOOKUP(B172,'8. Uncertainty Results'!$A$79:$CM$90,79+$A$154,FALSE)*((cubicm/gal)*(day/yr))</f>
        <v>0</v>
      </c>
      <c r="E182">
        <f>VLOOKUP(E172,'8. Uncertainty Results'!$A$79:$CM$90,77+$A$154,FALSE)*((cubicm/gal)*(day/yr))</f>
        <v>1.1201350172411189</v>
      </c>
      <c r="F182">
        <f>VLOOKUP(E172,'8. Uncertainty Results'!$A$79:$CM$90,78+$A$154,FALSE)*((cubicm/gal)*(day/yr))</f>
        <v>1.2598119848515954</v>
      </c>
      <c r="G182">
        <f>VLOOKUP(E172,'8. Uncertainty Results'!$A$79:$CM$90,79+$A$154,FALSE)*((cubicm/gal)*(day/yr))</f>
        <v>1.4264931865568757</v>
      </c>
      <c r="H182">
        <f>VLOOKUP(H172,'8. Uncertainty Results'!$A$79:$CM$90,77+$A$154,FALSE)*((cubicm/gal)*(day/yr))</f>
        <v>2.3073893227976718</v>
      </c>
      <c r="I182">
        <f>VLOOKUP(H172,'8. Uncertainty Results'!$A$79:$CM$90,78+$A$154,FALSE)*((cubicm/gal)*(day/yr))</f>
        <v>2.7434877676488711</v>
      </c>
      <c r="J182">
        <f>VLOOKUP(H172,'8. Uncertainty Results'!$A$79:$CM$90,79+$A$154,FALSE)*((cubicm/gal)*(day/yr))</f>
        <v>3.2825665241349573</v>
      </c>
      <c r="K182">
        <f>VLOOKUP(K172,'8. Uncertainty Results'!$A$79:$CM$90,77+$A$154,FALSE)*((cubicm/gal)*(day/yr))</f>
        <v>0</v>
      </c>
      <c r="L182">
        <f>VLOOKUP(K172,'8. Uncertainty Results'!$A$79:$CM$90,78+$A$154,FALSE)*((cubicm/gal)*(day/yr))</f>
        <v>0</v>
      </c>
      <c r="M182">
        <f>VLOOKUP(K172,'8. Uncertainty Results'!$A$79:$CM$90,79+$A$154,FALSE)*((cubicm/gal)*(day/yr))</f>
        <v>0</v>
      </c>
      <c r="N182">
        <f>VLOOKUP(N172,'8. Uncertainty Results'!$A$79:$CM$90,77+$A$154,FALSE)*((cubicm/gal)*(day/yr))</f>
        <v>0</v>
      </c>
      <c r="O182">
        <f>VLOOKUP(N172,'8. Uncertainty Results'!$A$79:$CM$90,78+$A$154,FALSE)*((cubicm/gal)*(day/yr))</f>
        <v>0</v>
      </c>
      <c r="P182">
        <f>VLOOKUP(N172,'8. Uncertainty Results'!$A$79:$CM$90,79+$A$154,FALSE)*((cubicm/gal)*(day/yr))</f>
        <v>0</v>
      </c>
      <c r="Q182">
        <f>VLOOKUP(Q172,'8. Uncertainty Results'!$A$79:$CM$90,77+$A$154,FALSE)*((cubicm/gal)*(day/yr))</f>
        <v>0</v>
      </c>
      <c r="R182">
        <f>VLOOKUP(Q172,'8. Uncertainty Results'!$A$79:$CM$90,78+$A$154,FALSE)*((cubicm/gal)*(day/yr))</f>
        <v>0</v>
      </c>
      <c r="S182">
        <f>VLOOKUP(Q172,'8. Uncertainty Results'!$A$79:$CM$90,79+$A$154,FALSE)*((cubicm/gal)*(day/yr))</f>
        <v>0</v>
      </c>
      <c r="T182">
        <f>VLOOKUP(T172,'8. Uncertainty Results'!$A$79:$CM$90,77+$A$154,FALSE)*((cubicm/gal)*(day/yr))</f>
        <v>0</v>
      </c>
      <c r="U182">
        <f>VLOOKUP(T172,'8. Uncertainty Results'!$A$79:$CM$90,78+$A$154,FALSE)*((cubicm/gal)*(day/yr))</f>
        <v>0</v>
      </c>
      <c r="V182">
        <f>VLOOKUP(T172,'8. Uncertainty Results'!$A$79:$CM$90,79+$A$154,FALSE)*((cubicm/gal)*(day/yr))</f>
        <v>0</v>
      </c>
      <c r="W182">
        <f>VLOOKUP(W172,'8. Uncertainty Results'!$A$79:$CM$90,77+$A$154,FALSE)*((cubicm/gal)*(day/yr))</f>
        <v>2.3095762404846565</v>
      </c>
      <c r="X182">
        <f>VLOOKUP(W172,'8. Uncertainty Results'!$A$79:$CM$90,78+$A$154,FALSE)*((cubicm/gal)*(day/yr))</f>
        <v>2.7373433379748748</v>
      </c>
      <c r="Y182">
        <f>VLOOKUP(W172,'8. Uncertainty Results'!$A$79:$CM$90,79+$A$154,FALSE)*((cubicm/gal)*(day/yr))</f>
        <v>3.2874929335773624</v>
      </c>
    </row>
    <row r="183" spans="1:25" x14ac:dyDescent="0.2">
      <c r="A183" t="s">
        <v>492</v>
      </c>
      <c r="B183">
        <f>VLOOKUP(B172,'8. Uncertainty Results'!$A$203:$D$215,2,FALSE)/1000000</f>
        <v>22.19928637592842</v>
      </c>
      <c r="C183">
        <f>VLOOKUP(B172,'8. Uncertainty Results'!$A$203:$D$215,3,FALSE)/1000000</f>
        <v>24.2754169819958</v>
      </c>
      <c r="D183">
        <f>VLOOKUP(B172,'8. Uncertainty Results'!$A$203:$D$215,4,FALSE)/1000000</f>
        <v>26.300815250844281</v>
      </c>
      <c r="E183">
        <f>VLOOKUP(E172,'8. Uncertainty Results'!$A$203:$D$215,2,FALSE)/1000000</f>
        <v>30.329777237026992</v>
      </c>
      <c r="F183">
        <f>VLOOKUP(E172,'8. Uncertainty Results'!$A$203:$D$215,3,FALSE)/1000000</f>
        <v>34.810209497471384</v>
      </c>
      <c r="G183">
        <f>VLOOKUP(E172,'8. Uncertainty Results'!$A$203:$D$215,4,FALSE)/1000000</f>
        <v>39.804593895523155</v>
      </c>
      <c r="H183">
        <f>VLOOKUP(H172,'8. Uncertainty Results'!$A$203:$D$215,2,FALSE)/1000000</f>
        <v>0.36684257135850085</v>
      </c>
      <c r="I183">
        <f>VLOOKUP(H172,'8. Uncertainty Results'!$A$203:$D$215,3,FALSE)/1000000</f>
        <v>1.9272387365708405</v>
      </c>
      <c r="J183">
        <f>VLOOKUP(H172,'8. Uncertainty Results'!$A$203:$D$215,4,FALSE)/1000000</f>
        <v>9.7366119085476832</v>
      </c>
      <c r="K183">
        <f>VLOOKUP(K172,'8. Uncertainty Results'!$A$203:$D$215,2,FALSE)/1000000</f>
        <v>28.572915147869598</v>
      </c>
      <c r="L183">
        <f>VLOOKUP(K172,'8. Uncertainty Results'!$A$203:$D$215,3,FALSE)/1000000</f>
        <v>36.784589510791825</v>
      </c>
      <c r="M183">
        <f>VLOOKUP(K172,'8. Uncertainty Results'!$A$203:$D$215,4,FALSE)/1000000</f>
        <v>63.986855731934547</v>
      </c>
      <c r="N183">
        <f>VLOOKUP(N172,'8. Uncertainty Results'!$A$203:$D$215,2,FALSE)/1000000</f>
        <v>12.60217290105447</v>
      </c>
      <c r="O183">
        <f>VLOOKUP(N172,'8. Uncertainty Results'!$A$203:$D$215,3,FALSE)/1000000</f>
        <v>19.226978004610444</v>
      </c>
      <c r="P183">
        <f>VLOOKUP(N172,'8. Uncertainty Results'!$A$203:$D$215,4,FALSE)/1000000</f>
        <v>49.036167912910365</v>
      </c>
      <c r="Q183">
        <f>VLOOKUP(Q172,'8. Uncertainty Results'!$A$203:$D$215,2,FALSE)/1000000</f>
        <v>4.9234855062215894</v>
      </c>
      <c r="R183">
        <f>VLOOKUP(Q172,'8. Uncertainty Results'!$A$203:$D$215,3,FALSE)/1000000</f>
        <v>5.37106142092306</v>
      </c>
      <c r="S183">
        <f>VLOOKUP(Q172,'8. Uncertainty Results'!$A$203:$D$215,4,FALSE)/1000000</f>
        <v>5.8389653933930203</v>
      </c>
      <c r="T183">
        <f>VLOOKUP(T172,'8. Uncertainty Results'!$A$203:$D$215,2,FALSE)/1000000</f>
        <v>3.9079818470785299</v>
      </c>
      <c r="U183">
        <f>VLOOKUP(T172,'8. Uncertainty Results'!$A$203:$D$215,3,FALSE)/1000000</f>
        <v>4.2843021047777894</v>
      </c>
      <c r="V183">
        <f>VLOOKUP(T172,'8. Uncertainty Results'!$A$203:$D$215,4,FALSE)/1000000</f>
        <v>4.6474321803099699</v>
      </c>
      <c r="W183">
        <f>VLOOKUP(W172,'8. Uncertainty Results'!$A$203:$D$215,2,FALSE)/1000000</f>
        <v>0.23425673678805656</v>
      </c>
      <c r="X183">
        <f>VLOOKUP(W172,'8. Uncertainty Results'!$A$203:$D$215,3,FALSE)/1000000</f>
        <v>1.1548930353673985</v>
      </c>
      <c r="Y183">
        <f>VLOOKUP(W172,'8. Uncertainty Results'!$A$203:$D$215,4,FALSE)/1000000</f>
        <v>5.5129749020288967</v>
      </c>
    </row>
    <row r="185" spans="1:25" x14ac:dyDescent="0.2">
      <c r="A185" t="s">
        <v>563</v>
      </c>
      <c r="B185" s="474">
        <f>B172</f>
        <v>18100204</v>
      </c>
      <c r="C185" s="474"/>
      <c r="D185" s="474"/>
      <c r="E185" s="474">
        <f t="shared" ref="E185:E186" si="79">E172</f>
        <v>16040201</v>
      </c>
      <c r="F185" s="474"/>
      <c r="G185" s="474"/>
      <c r="H185" s="474">
        <f t="shared" ref="H185:H186" si="80">H172</f>
        <v>15030202</v>
      </c>
      <c r="I185" s="474"/>
      <c r="J185" s="474"/>
      <c r="K185" s="474">
        <f t="shared" ref="K185:K186" si="81">K172</f>
        <v>16060011</v>
      </c>
      <c r="L185" s="474"/>
      <c r="M185" s="474"/>
      <c r="N185" s="474">
        <f t="shared" ref="N185:N186" si="82">N172</f>
        <v>16060003</v>
      </c>
      <c r="O185" s="474"/>
      <c r="P185" s="474"/>
      <c r="Q185" s="474">
        <f t="shared" ref="Q185:Q186" si="83">Q172</f>
        <v>16060013</v>
      </c>
      <c r="R185" s="474"/>
      <c r="S185" s="474"/>
      <c r="T185" s="474">
        <f t="shared" ref="T185:T186" si="84">T172</f>
        <v>16060010</v>
      </c>
      <c r="U185" s="474"/>
      <c r="V185" s="474"/>
      <c r="W185" s="474">
        <f t="shared" ref="W185:W186" si="85">W172</f>
        <v>15030201</v>
      </c>
      <c r="X185" s="474"/>
      <c r="Y185" s="474"/>
    </row>
    <row r="186" spans="1:25" x14ac:dyDescent="0.2">
      <c r="B186" s="474" t="str">
        <f>B173</f>
        <v>SS</v>
      </c>
      <c r="C186" s="474"/>
      <c r="D186" s="474"/>
      <c r="E186" s="474" t="str">
        <f t="shared" si="79"/>
        <v>UQ</v>
      </c>
      <c r="F186" s="474"/>
      <c r="G186" s="474"/>
      <c r="H186" s="474" t="str">
        <f t="shared" si="80"/>
        <v>BUR</v>
      </c>
      <c r="I186" s="474"/>
      <c r="J186" s="474"/>
      <c r="K186" s="474" t="str">
        <f t="shared" si="81"/>
        <v>RSCV</v>
      </c>
      <c r="L186" s="474"/>
      <c r="M186" s="474"/>
      <c r="N186" s="474" t="str">
        <f t="shared" si="82"/>
        <v>SBSV</v>
      </c>
      <c r="O186" s="474"/>
      <c r="P186" s="474"/>
      <c r="Q186" s="474" t="str">
        <f t="shared" si="83"/>
        <v>CSF</v>
      </c>
      <c r="R186" s="474"/>
      <c r="S186" s="474"/>
      <c r="T186" s="474" t="str">
        <f t="shared" si="84"/>
        <v>FLSSV</v>
      </c>
      <c r="U186" s="474"/>
      <c r="V186" s="474"/>
      <c r="W186" s="474" t="str">
        <f t="shared" si="85"/>
        <v>BS</v>
      </c>
      <c r="X186" s="474"/>
      <c r="Y186" s="474"/>
    </row>
    <row r="187" spans="1:25" x14ac:dyDescent="0.2">
      <c r="B187" t="s">
        <v>440</v>
      </c>
      <c r="C187" t="s">
        <v>441</v>
      </c>
      <c r="D187" t="s">
        <v>442</v>
      </c>
      <c r="E187" t="s">
        <v>440</v>
      </c>
      <c r="F187" t="s">
        <v>441</v>
      </c>
      <c r="G187" t="s">
        <v>442</v>
      </c>
      <c r="H187" t="s">
        <v>440</v>
      </c>
      <c r="I187" t="s">
        <v>441</v>
      </c>
      <c r="J187" t="s">
        <v>442</v>
      </c>
      <c r="K187" t="s">
        <v>440</v>
      </c>
      <c r="L187" t="s">
        <v>441</v>
      </c>
      <c r="M187" t="s">
        <v>442</v>
      </c>
      <c r="N187" t="s">
        <v>440</v>
      </c>
      <c r="O187" t="s">
        <v>441</v>
      </c>
      <c r="P187" t="s">
        <v>442</v>
      </c>
      <c r="Q187" t="s">
        <v>440</v>
      </c>
      <c r="R187" t="s">
        <v>441</v>
      </c>
      <c r="S187" t="s">
        <v>442</v>
      </c>
      <c r="T187" t="s">
        <v>440</v>
      </c>
      <c r="U187" t="s">
        <v>441</v>
      </c>
      <c r="V187" t="s">
        <v>442</v>
      </c>
      <c r="W187" t="s">
        <v>440</v>
      </c>
      <c r="X187" t="s">
        <v>441</v>
      </c>
      <c r="Y187" t="s">
        <v>442</v>
      </c>
    </row>
    <row r="188" spans="1:25" x14ac:dyDescent="0.2">
      <c r="A188" t="s">
        <v>436</v>
      </c>
      <c r="B188">
        <f>VLOOKUP(B185,'8. Uncertainty Results'!$B$319:$E$331,2,FALSE)*(cubicm/gal)*(day/yr)</f>
        <v>635.11983654395613</v>
      </c>
      <c r="C188">
        <f>B188</f>
        <v>635.11983654395613</v>
      </c>
      <c r="D188">
        <f>B188</f>
        <v>635.11983654395613</v>
      </c>
      <c r="E188">
        <f>VLOOKUP(E185,'8. Uncertainty Results'!$B$319:$E$331,2,FALSE)*(cubicm/gal)*(day/yr)</f>
        <v>105.57634464509907</v>
      </c>
      <c r="F188">
        <f t="shared" ref="F188" si="86">E188</f>
        <v>105.57634464509907</v>
      </c>
      <c r="G188">
        <f t="shared" ref="G188:G189" si="87">E188</f>
        <v>105.57634464509907</v>
      </c>
      <c r="H188">
        <f>VLOOKUP(H185,'8. Uncertainty Results'!$B$319:$E$331,2,FALSE)*(cubicm/gal)*(day/yr)</f>
        <v>35.716443637853835</v>
      </c>
      <c r="I188">
        <f t="shared" ref="I188" si="88">H188</f>
        <v>35.716443637853835</v>
      </c>
      <c r="J188">
        <f t="shared" ref="J188:J189" si="89">H188</f>
        <v>35.716443637853835</v>
      </c>
      <c r="K188">
        <f>VLOOKUP(K185,'8. Uncertainty Results'!$B$319:$E$331,2,FALSE)*(cubicm/gal)*(day/yr)</f>
        <v>45.493738441861822</v>
      </c>
      <c r="L188">
        <f t="shared" ref="L188" si="90">K188</f>
        <v>45.493738441861822</v>
      </c>
      <c r="M188">
        <f t="shared" ref="M188:M189" si="91">K188</f>
        <v>45.493738441861822</v>
      </c>
      <c r="N188">
        <f>VLOOKUP(N185,'8. Uncertainty Results'!$B$319:$E$331,2,FALSE)*(cubicm/gal)*(day/yr)</f>
        <v>26.05098815865275</v>
      </c>
      <c r="O188">
        <f t="shared" ref="O188" si="92">N188</f>
        <v>26.05098815865275</v>
      </c>
      <c r="P188">
        <f t="shared" ref="P188:P189" si="93">N188</f>
        <v>26.05098815865275</v>
      </c>
      <c r="Q188">
        <f>VLOOKUP(Q185,'8. Uncertainty Results'!$B$319:$E$331,2,FALSE)*(cubicm/gal)*(day/yr)</f>
        <v>34.990527999264685</v>
      </c>
      <c r="R188">
        <f t="shared" ref="R188" si="94">Q188</f>
        <v>34.990527999264685</v>
      </c>
      <c r="S188">
        <f t="shared" ref="S188:S189" si="95">Q188</f>
        <v>34.990527999264685</v>
      </c>
      <c r="T188">
        <f>VLOOKUP(T185,'8. Uncertainty Results'!$B$319:$E$331,2,FALSE)*(cubicm/gal)*(day/yr)</f>
        <v>48.996732347662821</v>
      </c>
      <c r="U188">
        <f t="shared" ref="U188" si="96">T188</f>
        <v>48.996732347662821</v>
      </c>
      <c r="V188">
        <f t="shared" ref="V188:V189" si="97">T188</f>
        <v>48.996732347662821</v>
      </c>
      <c r="W188">
        <f>VLOOKUP(W185,'8. Uncertainty Results'!$B$319:$E$331,2,FALSE)*(cubicm/gal)*(day/yr)</f>
        <v>72.773805744733039</v>
      </c>
      <c r="X188">
        <f t="shared" ref="X188" si="98">W188</f>
        <v>72.773805744733039</v>
      </c>
      <c r="Y188">
        <f t="shared" ref="Y188:Y189" si="99">W188</f>
        <v>72.773805744733039</v>
      </c>
    </row>
    <row r="189" spans="1:25" x14ac:dyDescent="0.2">
      <c r="A189" t="s">
        <v>437</v>
      </c>
      <c r="B189">
        <f>VLOOKUP(B185,'8. Uncertainty Results'!$B$319:$E$331,4,FALSE)*(cubicm/gal)*(day/yr)</f>
        <v>715.22506656210362</v>
      </c>
      <c r="C189">
        <f>B189</f>
        <v>715.22506656210362</v>
      </c>
      <c r="D189">
        <f>B189</f>
        <v>715.22506656210362</v>
      </c>
      <c r="E189">
        <f>VLOOKUP(E185,'8. Uncertainty Results'!$B$319:$E$331,4,FALSE)*(cubicm/gal)*(day/yr)</f>
        <v>321.72856975229149</v>
      </c>
      <c r="F189">
        <f t="shared" ref="F189" si="100">E189</f>
        <v>321.72856975229149</v>
      </c>
      <c r="G189">
        <f t="shared" si="87"/>
        <v>321.72856975229149</v>
      </c>
      <c r="H189">
        <f>VLOOKUP(H185,'8. Uncertainty Results'!$B$319:$E$331,4,FALSE)*(cubicm/gal)*(day/yr)</f>
        <v>90.090299760130051</v>
      </c>
      <c r="I189">
        <f t="shared" ref="I189" si="101">H189</f>
        <v>90.090299760130051</v>
      </c>
      <c r="J189">
        <f t="shared" si="89"/>
        <v>90.090299760130051</v>
      </c>
      <c r="K189">
        <f>VLOOKUP(K185,'8. Uncertainty Results'!$B$319:$E$331,4,FALSE)*(cubicm/gal)*(day/yr)</f>
        <v>89.4560134396325</v>
      </c>
      <c r="L189">
        <f t="shared" ref="L189" si="102">K189</f>
        <v>89.4560134396325</v>
      </c>
      <c r="M189">
        <f t="shared" si="91"/>
        <v>89.4560134396325</v>
      </c>
      <c r="N189">
        <f>VLOOKUP(N185,'8. Uncertainty Results'!$B$319:$E$331,4,FALSE)*(cubicm/gal)*(day/yr)</f>
        <v>98.154531758679852</v>
      </c>
      <c r="O189">
        <f t="shared" ref="O189" si="103">N189</f>
        <v>98.154531758679852</v>
      </c>
      <c r="P189">
        <f t="shared" si="93"/>
        <v>98.154531758679852</v>
      </c>
      <c r="Q189">
        <f>VLOOKUP(Q185,'8. Uncertainty Results'!$B$319:$E$331,4,FALSE)*(cubicm/gal)*(day/yr)</f>
        <v>105.60259289352661</v>
      </c>
      <c r="R189">
        <f t="shared" ref="R189" si="104">Q189</f>
        <v>105.60259289352661</v>
      </c>
      <c r="S189">
        <f t="shared" si="95"/>
        <v>105.60259289352661</v>
      </c>
      <c r="T189">
        <f>VLOOKUP(T185,'8. Uncertainty Results'!$B$319:$E$331,4,FALSE)*(cubicm/gal)*(day/yr)</f>
        <v>101.01738302855959</v>
      </c>
      <c r="U189">
        <f t="shared" ref="U189" si="105">T189</f>
        <v>101.01738302855959</v>
      </c>
      <c r="V189">
        <f t="shared" si="97"/>
        <v>101.01738302855959</v>
      </c>
      <c r="W189">
        <f>VLOOKUP(W185,'8. Uncertainty Results'!$B$319:$E$331,4,FALSE)*(cubicm/gal)*(day/yr)</f>
        <v>225.45972670700448</v>
      </c>
      <c r="X189">
        <f t="shared" ref="X189" si="106">W189</f>
        <v>225.45972670700448</v>
      </c>
      <c r="Y189">
        <f t="shared" si="99"/>
        <v>225.45972670700448</v>
      </c>
    </row>
    <row r="190" spans="1:25" x14ac:dyDescent="0.2">
      <c r="A190" t="s">
        <v>438</v>
      </c>
      <c r="B190">
        <f>VLOOKUP(B185,'8. Uncertainty Results'!$A$79:$CM$90,2+$A$154,FALSE)*((cubicm/gal)*(day/yr))/B198</f>
        <v>18.370759309193748</v>
      </c>
      <c r="C190">
        <f>VLOOKUP(B185,'8. Uncertainty Results'!$A$79:$CM$90,3+$A$154,FALSE)*((cubicm/gal)*(day/yr))/C198</f>
        <v>12.765314679176385</v>
      </c>
      <c r="D190">
        <f>VLOOKUP(B185,'8. Uncertainty Results'!$A$79:$CM$90,4+$A$154,FALSE)*((cubicm/gal)*(day/yr))/D198</f>
        <v>9.8465847260413</v>
      </c>
      <c r="E190">
        <f>VLOOKUP(E185,'8. Uncertainty Results'!$A$79:$CM$90,2+$A$154,FALSE)*((cubicm/gal)*(day/yr))</f>
        <v>0</v>
      </c>
      <c r="F190">
        <f>VLOOKUP(E185,'8. Uncertainty Results'!$A$79:$CM$90,3+$A$154,FALSE)*((cubicm/gal)*(day/yr))</f>
        <v>0</v>
      </c>
      <c r="G190">
        <f>VLOOKUP(E185,'8. Uncertainty Results'!$A$79:$CM$90,4+$A$154,FALSE)*((cubicm/gal)*(day/yr))</f>
        <v>0</v>
      </c>
      <c r="H190">
        <f>VLOOKUP(H185,'8. Uncertainty Results'!$A$79:$CM$90,2+$A$154,FALSE)*((cubicm/gal)*(day/yr))</f>
        <v>27.133484979504814</v>
      </c>
      <c r="I190">
        <f>VLOOKUP(H185,'8. Uncertainty Results'!$A$79:$CM$90,3+$A$154,FALSE)*((cubicm/gal)*(day/yr))</f>
        <v>28.819711609076759</v>
      </c>
      <c r="J190">
        <f>VLOOKUP(H185,'8. Uncertainty Results'!$A$79:$CM$90,4+$A$154,FALSE)*((cubicm/gal)*(day/yr))</f>
        <v>30.40513953687239</v>
      </c>
      <c r="K190">
        <f>VLOOKUP(K185,'8. Uncertainty Results'!$A$79:$CM$90,2+$A$154,FALSE)*((cubicm/gal)*(day/yr))</f>
        <v>0.10889936546812751</v>
      </c>
      <c r="L190">
        <f>VLOOKUP(K185,'8. Uncertainty Results'!$A$79:$CM$90,3+$A$154,FALSE)*((cubicm/gal)*(day/yr))</f>
        <v>0.11578952163060066</v>
      </c>
      <c r="M190">
        <f>VLOOKUP(K185,'8. Uncertainty Results'!$A$79:$CM$90,4+$A$154,FALSE)*((cubicm/gal)*(day/yr))</f>
        <v>0.12216699729445889</v>
      </c>
      <c r="N190">
        <f>VLOOKUP(N185,'8. Uncertainty Results'!$A$79:$CM$90,2+$A$154,FALSE)*((cubicm/gal)*(day/yr))</f>
        <v>7.2665448388975901E-2</v>
      </c>
      <c r="O190">
        <f>VLOOKUP(N185,'8. Uncertainty Results'!$A$79:$CM$90,3+$A$154,FALSE)*((cubicm/gal)*(day/yr))</f>
        <v>7.71879482588744E-2</v>
      </c>
      <c r="P190">
        <f>VLOOKUP(N185,'8. Uncertainty Results'!$A$79:$CM$90,4+$A$154,FALSE)*((cubicm/gal)*(day/yr))</f>
        <v>8.142740866487902E-2</v>
      </c>
      <c r="Q190">
        <f>VLOOKUP(Q185,'8. Uncertainty Results'!$A$79:$CM$90,2+$A$154,FALSE)*((cubicm/gal)*(day/yr))</f>
        <v>0.10896794153692263</v>
      </c>
      <c r="R190">
        <f>VLOOKUP(Q185,'8. Uncertainty Results'!$A$79:$CM$90,3+$A$154,FALSE)*((cubicm/gal)*(day/yr))</f>
        <v>0.11586552995583112</v>
      </c>
      <c r="S190">
        <f>VLOOKUP(Q185,'8. Uncertainty Results'!$A$79:$CM$90,4+$A$154,FALSE)*((cubicm/gal)*(day/yr))</f>
        <v>0.1220122397651844</v>
      </c>
      <c r="T190">
        <f>VLOOKUP(T185,'8. Uncertainty Results'!$A$79:$CM$90,2+$A$154,FALSE)*((cubicm/gal)*(day/yr))</f>
        <v>17.803229804950572</v>
      </c>
      <c r="U190">
        <f>VLOOKUP(T185,'8. Uncertainty Results'!$A$79:$CM$90,3+$A$154,FALSE)*((cubicm/gal)*(day/yr))</f>
        <v>18.574595836464386</v>
      </c>
      <c r="V190">
        <f>VLOOKUP(T185,'8. Uncertainty Results'!$A$79:$CM$90,4+$A$154,FALSE)*((cubicm/gal)*(day/yr))</f>
        <v>19.238405243180097</v>
      </c>
      <c r="W190">
        <f>VLOOKUP(W185,'8. Uncertainty Results'!$A$79:$CM$90,2+$A$154,FALSE)*((cubicm/gal)*(day/yr))</f>
        <v>27.078705396228425</v>
      </c>
      <c r="X190">
        <f>VLOOKUP(W185,'8. Uncertainty Results'!$A$79:$CM$90,3+$A$154,FALSE)*((cubicm/gal)*(day/yr))</f>
        <v>28.835299198597859</v>
      </c>
      <c r="Y190">
        <f>VLOOKUP(W185,'8. Uncertainty Results'!$A$79:$CM$90,4+$A$154,FALSE)*((cubicm/gal)*(day/yr))</f>
        <v>30.425543178028789</v>
      </c>
    </row>
    <row r="191" spans="1:25" x14ac:dyDescent="0.2">
      <c r="A191" t="s">
        <v>400</v>
      </c>
      <c r="B191">
        <f>VLOOKUP(B185,'8. Uncertainty Results'!$A$79:$CM$90,17+$A$154,FALSE)*((cubicm/gal)*(day/yr))/B198</f>
        <v>32.744321263978371</v>
      </c>
      <c r="C191">
        <f>VLOOKUP(B185,'8. Uncertainty Results'!$A$79:$CM$90,18+$A$154+$A$154,FALSE)*((cubicm/gal)*(day/yr))/C198</f>
        <v>21.746499256351459</v>
      </c>
      <c r="D191">
        <f>VLOOKUP(B185,'8. Uncertainty Results'!$A$79:$CM$90,19+$A$154,FALSE)*((cubicm/gal)*(day/yr))/D198</f>
        <v>17.296491506288305</v>
      </c>
      <c r="E191">
        <f>VLOOKUP(E185,'8. Uncertainty Results'!$A$79:$CM$90,17+$A$154,FALSE)*((cubicm/gal)*(day/yr))</f>
        <v>4.0382409960342853</v>
      </c>
      <c r="F191">
        <f>VLOOKUP(E185,'8. Uncertainty Results'!$A$79:$CM$90,18+$A$154,FALSE)*((cubicm/gal)*(day/yr))</f>
        <v>4.2097969233136396</v>
      </c>
      <c r="G191">
        <f>VLOOKUP(E185,'8. Uncertainty Results'!$A$79:$CM$90,19+$A$154,FALSE)*((cubicm/gal)*(day/yr))</f>
        <v>4.3923632381644655</v>
      </c>
      <c r="H191">
        <f>VLOOKUP(H185,'8. Uncertainty Results'!$A$79:$CM$90,17+$A$154,FALSE)*((cubicm/gal)*(day/yr))</f>
        <v>58.73478807979032</v>
      </c>
      <c r="I191">
        <f>VLOOKUP(H185,'8. Uncertainty Results'!$A$79:$CM$90,18+$A$154,FALSE)*((cubicm/gal)*(day/yr))</f>
        <v>62.542393736691679</v>
      </c>
      <c r="J191">
        <f>VLOOKUP(H185,'8. Uncertainty Results'!$A$79:$CM$90,19+$A$154,FALSE)*((cubicm/gal)*(day/yr))</f>
        <v>66.707110929912133</v>
      </c>
      <c r="K191">
        <f>VLOOKUP(K185,'8. Uncertainty Results'!$A$79:$CM$90,17+$A$154,FALSE)*((cubicm/gal)*(day/yr))</f>
        <v>8.0073125532091627</v>
      </c>
      <c r="L191">
        <f>VLOOKUP(K185,'8. Uncertainty Results'!$A$79:$CM$90,18+$A$154,FALSE)*((cubicm/gal)*(day/yr))</f>
        <v>8.6734251206955886</v>
      </c>
      <c r="M191">
        <f>VLOOKUP(K185,'8. Uncertainty Results'!$A$79:$CM$90,19+$A$154,FALSE)*((cubicm/gal)*(day/yr))</f>
        <v>9.4768020319251871</v>
      </c>
      <c r="N191">
        <f>VLOOKUP(N185,'8. Uncertainty Results'!$A$79:$CM$90,17+$A$154,FALSE)*((cubicm/gal)*(day/yr))</f>
        <v>5.5791137848772907</v>
      </c>
      <c r="O191">
        <f>VLOOKUP(N185,'8. Uncertainty Results'!$A$79:$CM$90,18+$A$154,FALSE)*((cubicm/gal)*(day/yr))</f>
        <v>6.0318099205837461</v>
      </c>
      <c r="P191">
        <f>VLOOKUP(N185,'8. Uncertainty Results'!$A$79:$CM$90,19+$A$154,FALSE)*((cubicm/gal)*(day/yr))</f>
        <v>6.5687378826013969</v>
      </c>
      <c r="Q191">
        <f>VLOOKUP(Q185,'8. Uncertainty Results'!$A$79:$CM$90,17+$A$154,FALSE)*((cubicm/gal)*(day/yr))</f>
        <v>8.0093690252517149</v>
      </c>
      <c r="R191">
        <f>VLOOKUP(Q185,'8. Uncertainty Results'!$A$79:$CM$90,18+$A$154,FALSE)*((cubicm/gal)*(day/yr))</f>
        <v>8.6755413004676978</v>
      </c>
      <c r="S191">
        <f>VLOOKUP(Q185,'8. Uncertainty Results'!$A$79:$CM$90,19+$A$154,FALSE)*((cubicm/gal)*(day/yr))</f>
        <v>9.4636301686841549</v>
      </c>
      <c r="T191">
        <f>VLOOKUP(T185,'8. Uncertainty Results'!$A$79:$CM$90,17+$A$154,FALSE)*((cubicm/gal)*(day/yr))</f>
        <v>1.1536406367578569</v>
      </c>
      <c r="U191">
        <f>VLOOKUP(T185,'8. Uncertainty Results'!$A$79:$CM$90,18+$A$154,FALSE)*((cubicm/gal)*(day/yr))</f>
        <v>1.2559505789068657</v>
      </c>
      <c r="V191">
        <f>VLOOKUP(T185,'8. Uncertainty Results'!$A$79:$CM$90,19+$A$154,FALSE)*((cubicm/gal)*(day/yr))</f>
        <v>1.362223988064335</v>
      </c>
      <c r="W191">
        <f>VLOOKUP(W185,'8. Uncertainty Results'!$A$79:$CM$90,17+$A$154,FALSE)*((cubicm/gal)*(day/yr))</f>
        <v>58.835485733941958</v>
      </c>
      <c r="X191">
        <f>VLOOKUP(W185,'8. Uncertainty Results'!$A$79:$CM$90,18+$A$154,FALSE)*((cubicm/gal)*(day/yr))</f>
        <v>62.600717032958315</v>
      </c>
      <c r="Y191">
        <f>VLOOKUP(W185,'8. Uncertainty Results'!$A$79:$CM$90,19+$A$154,FALSE)*((cubicm/gal)*(day/yr))</f>
        <v>66.675859875311673</v>
      </c>
    </row>
    <row r="192" spans="1:25" x14ac:dyDescent="0.2">
      <c r="A192" t="s">
        <v>401</v>
      </c>
      <c r="B192">
        <f>VLOOKUP(B185,'8. Uncertainty Results'!$A$79:$CM$90,32+$A$154,FALSE)*((cubicm/gal)*(day/yr))/B198</f>
        <v>0</v>
      </c>
      <c r="C192">
        <f>VLOOKUP(B185,'8. Uncertainty Results'!$A$79:$CM$90,33+$A$154,FALSE)*((cubicm/gal)*(day/yr))/C198</f>
        <v>0</v>
      </c>
      <c r="D192">
        <f>VLOOKUP(B185,'8. Uncertainty Results'!$A$79:$CM$90,34+$A$154,FALSE)*((cubicm/gal)*(day/yr))/D198</f>
        <v>0</v>
      </c>
      <c r="E192">
        <f>VLOOKUP(E185,'8. Uncertainty Results'!$A$79:$CM$90,32+$A$154,FALSE)*((cubicm/gal)*(day/yr))</f>
        <v>0</v>
      </c>
      <c r="F192">
        <f>VLOOKUP(E185,'8. Uncertainty Results'!$A$79:$CM$90,33+$A$154,FALSE)*((cubicm/gal)*(day/yr))</f>
        <v>0</v>
      </c>
      <c r="G192">
        <f>VLOOKUP(E185,'8. Uncertainty Results'!$A$79:$CM$90,34+$A$154,FALSE)*((cubicm/gal)*(day/yr))</f>
        <v>0</v>
      </c>
      <c r="H192">
        <f>VLOOKUP(H185,'8. Uncertainty Results'!$A$79:$CM$90,32+$A$154,FALSE)*((cubicm/gal)*(day/yr))</f>
        <v>0</v>
      </c>
      <c r="I192">
        <f>VLOOKUP(H185,'8. Uncertainty Results'!$A$79:$CM$90,33+$A$154,FALSE)*((cubicm/gal)*(day/yr))</f>
        <v>0</v>
      </c>
      <c r="J192">
        <f>VLOOKUP(H185,'8. Uncertainty Results'!$A$79:$CM$90,34+$A$154,FALSE)*((cubicm/gal)*(day/yr))</f>
        <v>0</v>
      </c>
      <c r="K192">
        <f>VLOOKUP(K185,'8. Uncertainty Results'!$A$79:$CM$90,32+$A$154,FALSE)*((cubicm/gal)*(day/yr))</f>
        <v>0</v>
      </c>
      <c r="L192">
        <f>VLOOKUP(K185,'8. Uncertainty Results'!$A$79:$CM$90,33+$A$154,FALSE)*((cubicm/gal)*(day/yr))</f>
        <v>0</v>
      </c>
      <c r="M192">
        <f>VLOOKUP(K185,'8. Uncertainty Results'!$A$79:$CM$90,34+$A$154,FALSE)*((cubicm/gal)*(day/yr))</f>
        <v>0</v>
      </c>
      <c r="N192">
        <f>VLOOKUP(N185,'8. Uncertainty Results'!$A$79:$CM$90,32+$A$154,FALSE)*((cubicm/gal)*(day/yr))</f>
        <v>0</v>
      </c>
      <c r="O192">
        <f>VLOOKUP(N185,'8. Uncertainty Results'!$A$79:$CM$90,33+$A$154,FALSE)*((cubicm/gal)*(day/yr))</f>
        <v>0</v>
      </c>
      <c r="P192">
        <f>VLOOKUP(N185,'8. Uncertainty Results'!$A$79:$CM$90,34+$A$154,FALSE)*((cubicm/gal)*(day/yr))</f>
        <v>0</v>
      </c>
      <c r="Q192">
        <f>VLOOKUP(Q185,'8. Uncertainty Results'!$A$79:$CM$90,32+$A$154,FALSE)*((cubicm/gal)*(day/yr))</f>
        <v>0</v>
      </c>
      <c r="R192">
        <f>VLOOKUP(Q185,'8. Uncertainty Results'!$A$79:$CM$90,33+$A$154,FALSE)*((cubicm/gal)*(day/yr))</f>
        <v>0</v>
      </c>
      <c r="S192">
        <f>VLOOKUP(Q185,'8. Uncertainty Results'!$A$79:$CM$90,34+$A$154,FALSE)*((cubicm/gal)*(day/yr))</f>
        <v>0</v>
      </c>
      <c r="T192">
        <f>VLOOKUP(T185,'8. Uncertainty Results'!$A$79:$CM$90,32+$A$154,FALSE)*((cubicm/gal)*(day/yr))</f>
        <v>0</v>
      </c>
      <c r="U192">
        <f>VLOOKUP(T185,'8. Uncertainty Results'!$A$79:$CM$90,33+$A$154,FALSE)*((cubicm/gal)*(day/yr))</f>
        <v>0</v>
      </c>
      <c r="V192">
        <f>VLOOKUP(T185,'8. Uncertainty Results'!$A$79:$CM$90,34+$A$154,FALSE)*((cubicm/gal)*(day/yr))</f>
        <v>0</v>
      </c>
      <c r="W192">
        <f>VLOOKUP(W185,'8. Uncertainty Results'!$A$79:$CM$90,32+$A$154,FALSE)*((cubicm/gal)*(day/yr))</f>
        <v>0</v>
      </c>
      <c r="X192">
        <f>VLOOKUP(W185,'8. Uncertainty Results'!$A$79:$CM$90,33+$A$154,FALSE)*((cubicm/gal)*(day/yr))</f>
        <v>0</v>
      </c>
      <c r="Y192">
        <f>VLOOKUP(W185,'8. Uncertainty Results'!$A$79:$CM$90,34+$A$154,FALSE)*((cubicm/gal)*(day/yr))</f>
        <v>0</v>
      </c>
    </row>
    <row r="193" spans="1:25" x14ac:dyDescent="0.2">
      <c r="A193" t="s">
        <v>402</v>
      </c>
      <c r="B193">
        <f>VLOOKUP(B185,'8. Uncertainty Results'!$A$79:$CM$91,47+$A$154,FALSE)*((cubicm/gal)*(day/yr))</f>
        <v>664.47199082513964</v>
      </c>
      <c r="C193">
        <f>VLOOKUP(B185,'8. Uncertainty Results'!$A$79:$CM$91,48+$A$154,FALSE)*((cubicm/gal)*(day/yr))-400</f>
        <v>797.970560266451</v>
      </c>
      <c r="D193">
        <f>VLOOKUP(B185,'8. Uncertainty Results'!$A$79:$CM$91,49+$A$154,FALSE)*((cubicm/gal)*(day/yr))-950</f>
        <v>934.57378471957463</v>
      </c>
      <c r="E193">
        <f>VLOOKUP(E185,'8. Uncertainty Results'!$A$79:$CM$90,47+$A$154,FALSE)*((cubicm/gal)*(day/yr))</f>
        <v>232.78385681048897</v>
      </c>
      <c r="F193">
        <f>VLOOKUP(E185,'8. Uncertainty Results'!$A$79:$CM$90,48+$A$154,FALSE)*((cubicm/gal)*(day/yr))</f>
        <v>329.82251505702106</v>
      </c>
      <c r="G193">
        <f>VLOOKUP(E185,'8. Uncertainty Results'!$A$79:$CM$90,49+$A$154,FALSE)*((cubicm/gal)*(day/yr))</f>
        <v>444.39782642745467</v>
      </c>
      <c r="H193">
        <f>VLOOKUP(H185,'8. Uncertainty Results'!$A$79:$CM$90,47+$A$154,FALSE)*((cubicm/gal)*(day/yr))</f>
        <v>30.840875762659323</v>
      </c>
      <c r="I193">
        <f>VLOOKUP(H185,'8. Uncertainty Results'!$A$79:$CM$90,48+$A$154,FALSE)*((cubicm/gal)*(day/yr))</f>
        <v>50.0617265636157</v>
      </c>
      <c r="J193">
        <f>VLOOKUP(H185,'8. Uncertainty Results'!$A$79:$CM$90,49+$A$154,FALSE)*((cubicm/gal)*(day/yr))</f>
        <v>75.994364614155742</v>
      </c>
      <c r="K193">
        <f>VLOOKUP(K185,'8. Uncertainty Results'!$A$79:$CM$90,47+$A$154,FALSE)*((cubicm/gal)*(day/yr))</f>
        <v>13.548972561692242</v>
      </c>
      <c r="L193">
        <f>VLOOKUP(K185,'8. Uncertainty Results'!$A$79:$CM$90,48+$A$154,FALSE)*((cubicm/gal)*(day/yr))</f>
        <v>22.417383177406407</v>
      </c>
      <c r="M193">
        <f>VLOOKUP(K185,'8. Uncertainty Results'!$A$79:$CM$90,49+$A$154,FALSE)*((cubicm/gal)*(day/yr))</f>
        <v>34.76705735120256</v>
      </c>
      <c r="N193">
        <f>VLOOKUP(N185,'8. Uncertainty Results'!$A$79:$CM$90,47+$A$154,FALSE)*((cubicm/gal)*(day/yr))</f>
        <v>10.160590970520758</v>
      </c>
      <c r="O193">
        <f>VLOOKUP(N185,'8. Uncertainty Results'!$A$79:$CM$90,48+$A$154,FALSE)*((cubicm/gal)*(day/yr))</f>
        <v>16.550491596902752</v>
      </c>
      <c r="P193">
        <f>VLOOKUP(N185,'8. Uncertainty Results'!$A$79:$CM$90,49+$A$154,FALSE)*((cubicm/gal)*(day/yr))</f>
        <v>25.113370191471038</v>
      </c>
      <c r="Q193">
        <f>VLOOKUP(Q185,'8. Uncertainty Results'!$A$79:$CM$90,47+$A$154,FALSE)*((cubicm/gal)*(day/yr))</f>
        <v>13.843610346464894</v>
      </c>
      <c r="R193">
        <f>VLOOKUP(Q185,'8. Uncertainty Results'!$A$79:$CM$90,48+$A$154,FALSE)*((cubicm/gal)*(day/yr))</f>
        <v>22.581530148271185</v>
      </c>
      <c r="S193">
        <f>VLOOKUP(Q185,'8. Uncertainty Results'!$A$79:$CM$90,49+$A$154,FALSE)*((cubicm/gal)*(day/yr))</f>
        <v>34.669261750796132</v>
      </c>
      <c r="T193">
        <f>VLOOKUP(T185,'8. Uncertainty Results'!$A$79:$CM$90,47+$A$154,FALSE)*((cubicm/gal)*(day/yr))</f>
        <v>9.5430020162006617</v>
      </c>
      <c r="U193">
        <f>VLOOKUP(T185,'8. Uncertainty Results'!$A$79:$CM$90,48+$A$154,FALSE)*((cubicm/gal)*(day/yr))</f>
        <v>15.517561476518075</v>
      </c>
      <c r="V193">
        <f>VLOOKUP(T185,'8. Uncertainty Results'!$A$79:$CM$90,49+$A$154,FALSE)*((cubicm/gal)*(day/yr))</f>
        <v>23.517440662629063</v>
      </c>
      <c r="W193">
        <f>VLOOKUP(W185,'8. Uncertainty Results'!$A$79:$CM$90,47+$A$154,FALSE)*((cubicm/gal)*(day/yr))</f>
        <v>31.135663088191826</v>
      </c>
      <c r="X193">
        <f>VLOOKUP(W185,'8. Uncertainty Results'!$A$79:$CM$90,48+$A$154,FALSE)*((cubicm/gal)*(day/yr))</f>
        <v>50.327866816940485</v>
      </c>
      <c r="Y193">
        <f>VLOOKUP(W185,'8. Uncertainty Results'!$A$79:$CM$90,49+$A$154,FALSE)*((cubicm/gal)*(day/yr))</f>
        <v>75.997167037078057</v>
      </c>
    </row>
    <row r="194" spans="1:25" x14ac:dyDescent="0.2">
      <c r="A194" t="s">
        <v>403</v>
      </c>
      <c r="B194">
        <f>VLOOKUP(B185,'8. Uncertainty Results'!$A$79:$CM$90,62+$A$154,FALSE)*((cubicm/gal)*(day/yr))/B198</f>
        <v>5.0215584753616955</v>
      </c>
      <c r="C194">
        <f>VLOOKUP(B185,'8. Uncertainty Results'!$A$79:$CM$90,63+$A$154,FALSE)*((cubicm/gal)*(day/yr))/C198</f>
        <v>3.3513133324124684</v>
      </c>
      <c r="D194">
        <f>VLOOKUP(B185,'8. Uncertainty Results'!$A$79:$CM$90,64+$A$154,FALSE)*((cubicm/gal)*(day/yr))/D198</f>
        <v>2.4989192501969861</v>
      </c>
      <c r="E194">
        <f>VLOOKUP(E185,'8. Uncertainty Results'!$A$79:$CM$90,62+$A$154,FALSE)*((cubicm/gal)*(day/yr))</f>
        <v>1.0729619126554828</v>
      </c>
      <c r="F194">
        <f>VLOOKUP(E185,'8. Uncertainty Results'!$A$79:$CM$90,63+$A$154,FALSE)*((cubicm/gal)*(day/yr))</f>
        <v>1.0845247252207399</v>
      </c>
      <c r="G194">
        <f>VLOOKUP(E185,'8. Uncertainty Results'!$A$79:$CM$90,64+$A$154,FALSE)*((cubicm/gal)*(day/yr))</f>
        <v>1.0955464916648334</v>
      </c>
      <c r="H194">
        <f>VLOOKUP(H185,'8. Uncertainty Results'!$A$79:$CM$90,62+$A$154,FALSE)*((cubicm/gal)*(day/yr))</f>
        <v>0.50304190485233069</v>
      </c>
      <c r="I194">
        <f>VLOOKUP(H185,'8. Uncertainty Results'!$A$79:$CM$90,63+$A$154,FALSE)*((cubicm/gal)*(day/yr))</f>
        <v>0.51393057163325317</v>
      </c>
      <c r="J194">
        <f>VLOOKUP(H185,'8. Uncertainty Results'!$A$79:$CM$90,64+$A$154,FALSE)*((cubicm/gal)*(day/yr))</f>
        <v>0.52395831116844938</v>
      </c>
      <c r="K194">
        <f>VLOOKUP(K185,'8. Uncertainty Results'!$A$79:$CM$90,62+$A$154,FALSE)*((cubicm/gal)*(day/yr))</f>
        <v>0.27944292532070886</v>
      </c>
      <c r="L194">
        <f>VLOOKUP(K185,'8. Uncertainty Results'!$A$79:$CM$90,63+$A$154,FALSE)*((cubicm/gal)*(day/yr))</f>
        <v>0.28530466189979847</v>
      </c>
      <c r="M194">
        <f>VLOOKUP(K185,'8. Uncertainty Results'!$A$79:$CM$90,64+$A$154,FALSE)*((cubicm/gal)*(day/yr))</f>
        <v>0.29091388227926107</v>
      </c>
      <c r="N194">
        <f>VLOOKUP(N185,'8. Uncertainty Results'!$A$79:$CM$90,62+$A$154,FALSE)*((cubicm/gal)*(day/yr))</f>
        <v>0.19695005542172292</v>
      </c>
      <c r="O194">
        <f>VLOOKUP(N185,'8. Uncertainty Results'!$A$79:$CM$90,63+$A$154,FALSE)*((cubicm/gal)*(day/yr))</f>
        <v>0.20109985046673728</v>
      </c>
      <c r="P194">
        <f>VLOOKUP(N185,'8. Uncertainty Results'!$A$79:$CM$90,64+$A$154,FALSE)*((cubicm/gal)*(day/yr))</f>
        <v>0.20500142317641326</v>
      </c>
      <c r="Q194">
        <f>VLOOKUP(Q185,'8. Uncertainty Results'!$A$79:$CM$90,62+$A$154,FALSE)*((cubicm/gal)*(day/yr))</f>
        <v>0.27950009613913063</v>
      </c>
      <c r="R194">
        <f>VLOOKUP(Q185,'8. Uncertainty Results'!$A$79:$CM$90,63+$A$154,FALSE)*((cubicm/gal)*(day/yr))</f>
        <v>0.28540874714988007</v>
      </c>
      <c r="S194">
        <f>VLOOKUP(Q185,'8. Uncertainty Results'!$A$79:$CM$90,64+$A$154,FALSE)*((cubicm/gal)*(day/yr))</f>
        <v>0.29108143435537015</v>
      </c>
      <c r="T194">
        <f>VLOOKUP(T185,'8. Uncertainty Results'!$A$79:$CM$90,62+$A$154,FALSE)*((cubicm/gal)*(day/yr))</f>
        <v>0.10148531317509679</v>
      </c>
      <c r="U194">
        <f>VLOOKUP(T185,'8. Uncertainty Results'!$A$79:$CM$90,63+$A$154,FALSE)*((cubicm/gal)*(day/yr))</f>
        <v>0.10195247662189827</v>
      </c>
      <c r="V194">
        <f>VLOOKUP(T185,'8. Uncertainty Results'!$A$79:$CM$90,64+$A$154,FALSE)*((cubicm/gal)*(day/yr))</f>
        <v>0.10238117480156174</v>
      </c>
      <c r="W194">
        <f>VLOOKUP(W185,'8. Uncertainty Results'!$A$79:$CM$90,62+$A$154,FALSE)*((cubicm/gal)*(day/yr))</f>
        <v>0.50320116691309347</v>
      </c>
      <c r="X194">
        <f>VLOOKUP(W185,'8. Uncertainty Results'!$A$79:$CM$90,63+$A$154,FALSE)*((cubicm/gal)*(day/yr))</f>
        <v>0.51392927809088607</v>
      </c>
      <c r="Y194">
        <f>VLOOKUP(W185,'8. Uncertainty Results'!$A$79:$CM$90,64+$A$154,FALSE)*((cubicm/gal)*(day/yr))</f>
        <v>0.52408081637537884</v>
      </c>
    </row>
    <row r="195" spans="1:25" x14ac:dyDescent="0.2">
      <c r="A195" t="s">
        <v>439</v>
      </c>
      <c r="B195">
        <f>VLOOKUP(B185,'8. Uncertainty Results'!$A$79:$CM$90,77+$A$154,FALSE)*((cubicm/gal)*(day/yr))/B198</f>
        <v>0</v>
      </c>
      <c r="C195">
        <f>VLOOKUP(B185,'8. Uncertainty Results'!$A$79:$CM$90,78+$A$154,FALSE)*((cubicm/gal)*(day/yr))/C198</f>
        <v>0</v>
      </c>
      <c r="D195">
        <f>VLOOKUP(B185,'8. Uncertainty Results'!$A$79:$CM$90,79+$A$154,FALSE)*((cubicm/gal)*(day/yr))/D198</f>
        <v>0</v>
      </c>
      <c r="E195">
        <f>VLOOKUP(E185,'8. Uncertainty Results'!$A$79:$CM$90,77+$A$154,FALSE)*((cubicm/gal)*(day/yr))</f>
        <v>1.1201350172411189</v>
      </c>
      <c r="F195">
        <f>VLOOKUP(E185,'8. Uncertainty Results'!$A$79:$CM$90,78+$A$154,FALSE)*((cubicm/gal)*(day/yr))</f>
        <v>1.2598119848515954</v>
      </c>
      <c r="G195">
        <f>VLOOKUP(E185,'8. Uncertainty Results'!$A$79:$CM$90,79+$A$154,FALSE)*((cubicm/gal)*(day/yr))</f>
        <v>1.4264931865568757</v>
      </c>
      <c r="H195">
        <f>VLOOKUP(H185,'8. Uncertainty Results'!$A$79:$CM$90,77+$A$154,FALSE)*((cubicm/gal)*(day/yr))</f>
        <v>2.3073893227976718</v>
      </c>
      <c r="I195">
        <f>VLOOKUP(H185,'8. Uncertainty Results'!$A$79:$CM$90,78+$A$154,FALSE)*((cubicm/gal)*(day/yr))</f>
        <v>2.7434877676488711</v>
      </c>
      <c r="J195">
        <f>VLOOKUP(H185,'8. Uncertainty Results'!$A$79:$CM$90,79+$A$154,FALSE)*((cubicm/gal)*(day/yr))</f>
        <v>3.2825665241349573</v>
      </c>
      <c r="K195">
        <f>VLOOKUP(K185,'8. Uncertainty Results'!$A$79:$CM$90,77+$A$154,FALSE)*((cubicm/gal)*(day/yr))</f>
        <v>0</v>
      </c>
      <c r="L195">
        <f>VLOOKUP(K185,'8. Uncertainty Results'!$A$79:$CM$90,78+$A$154,FALSE)*((cubicm/gal)*(day/yr))</f>
        <v>0</v>
      </c>
      <c r="M195">
        <f>VLOOKUP(K185,'8. Uncertainty Results'!$A$79:$CM$90,79+$A$154,FALSE)*((cubicm/gal)*(day/yr))</f>
        <v>0</v>
      </c>
      <c r="N195">
        <f>VLOOKUP(N185,'8. Uncertainty Results'!$A$79:$CM$90,77+$A$154,FALSE)*((cubicm/gal)*(day/yr))</f>
        <v>0</v>
      </c>
      <c r="O195">
        <f>VLOOKUP(N185,'8. Uncertainty Results'!$A$79:$CM$90,78+$A$154,FALSE)*((cubicm/gal)*(day/yr))</f>
        <v>0</v>
      </c>
      <c r="P195">
        <f>VLOOKUP(N185,'8. Uncertainty Results'!$A$79:$CM$90,79+$A$154,FALSE)*((cubicm/gal)*(day/yr))</f>
        <v>0</v>
      </c>
      <c r="Q195">
        <f>VLOOKUP(Q185,'8. Uncertainty Results'!$A$79:$CM$90,77+$A$154,FALSE)*((cubicm/gal)*(day/yr))</f>
        <v>0</v>
      </c>
      <c r="R195">
        <f>VLOOKUP(Q185,'8. Uncertainty Results'!$A$79:$CM$90,78+$A$154,FALSE)*((cubicm/gal)*(day/yr))</f>
        <v>0</v>
      </c>
      <c r="S195">
        <f>VLOOKUP(Q185,'8. Uncertainty Results'!$A$79:$CM$90,79+$A$154,FALSE)*((cubicm/gal)*(day/yr))</f>
        <v>0</v>
      </c>
      <c r="T195">
        <f>VLOOKUP(T185,'8. Uncertainty Results'!$A$79:$CM$90,77+$A$154,FALSE)*((cubicm/gal)*(day/yr))</f>
        <v>0</v>
      </c>
      <c r="U195">
        <f>VLOOKUP(T185,'8. Uncertainty Results'!$A$79:$CM$90,78+$A$154,FALSE)*((cubicm/gal)*(day/yr))</f>
        <v>0</v>
      </c>
      <c r="V195">
        <f>VLOOKUP(T185,'8. Uncertainty Results'!$A$79:$CM$90,79+$A$154,FALSE)*((cubicm/gal)*(day/yr))</f>
        <v>0</v>
      </c>
      <c r="W195">
        <f>VLOOKUP(W185,'8. Uncertainty Results'!$A$79:$CM$90,77+$A$154,FALSE)*((cubicm/gal)*(day/yr))</f>
        <v>2.3095762404846565</v>
      </c>
      <c r="X195">
        <f>VLOOKUP(W185,'8. Uncertainty Results'!$A$79:$CM$90,78+$A$154,FALSE)*((cubicm/gal)*(day/yr))</f>
        <v>2.7373433379748748</v>
      </c>
      <c r="Y195">
        <f>VLOOKUP(W185,'8. Uncertainty Results'!$A$79:$CM$90,79+$A$154,FALSE)*((cubicm/gal)*(day/yr))</f>
        <v>3.2874929335773624</v>
      </c>
    </row>
    <row r="196" spans="1:25" x14ac:dyDescent="0.2">
      <c r="A196" t="s">
        <v>492</v>
      </c>
      <c r="B196">
        <f>VLOOKUP(B185,'8. Uncertainty Results'!$A$203:$D$215,2,FALSE)/1000000/B198</f>
        <v>22.19928637592842</v>
      </c>
      <c r="C196">
        <f>VLOOKUP(B185,'8. Uncertainty Results'!$A$203:$D$215,3,FALSE)/1000000/C198</f>
        <v>16.169903278354703</v>
      </c>
      <c r="D196">
        <f>VLOOKUP(B185,'8. Uncertainty Results'!$A$203:$D$215,4,FALSE)/1000000/D198</f>
        <v>13.042764708652344</v>
      </c>
      <c r="E196">
        <f>VLOOKUP(E185,'8. Uncertainty Results'!$A$203:$D$215,2,FALSE)/1000000</f>
        <v>30.329777237026992</v>
      </c>
      <c r="F196">
        <f>VLOOKUP(E185,'8. Uncertainty Results'!$A$203:$D$215,3,FALSE)/1000000</f>
        <v>34.810209497471384</v>
      </c>
      <c r="G196">
        <f>VLOOKUP(E185,'8. Uncertainty Results'!$A$203:$D$215,4,FALSE)/1000000</f>
        <v>39.804593895523155</v>
      </c>
      <c r="H196">
        <f>VLOOKUP(H185,'8. Uncertainty Results'!$A$203:$D$215,2,FALSE)/1000000</f>
        <v>0.36684257135850085</v>
      </c>
      <c r="I196">
        <f>VLOOKUP(H185,'8. Uncertainty Results'!$A$203:$D$215,3,FALSE)/1000000</f>
        <v>1.9272387365708405</v>
      </c>
      <c r="J196">
        <f>VLOOKUP(H185,'8. Uncertainty Results'!$A$203:$D$215,4,FALSE)/1000000</f>
        <v>9.7366119085476832</v>
      </c>
      <c r="K196">
        <f>VLOOKUP(K185,'8. Uncertainty Results'!$A$203:$D$215,2,FALSE)/1000000</f>
        <v>28.572915147869598</v>
      </c>
      <c r="L196">
        <f>VLOOKUP(K185,'8. Uncertainty Results'!$A$203:$D$215,3,FALSE)/1000000</f>
        <v>36.784589510791825</v>
      </c>
      <c r="M196">
        <f>VLOOKUP(K185,'8. Uncertainty Results'!$A$203:$D$215,4,FALSE)/1000000</f>
        <v>63.986855731934547</v>
      </c>
      <c r="N196">
        <f>VLOOKUP(N185,'8. Uncertainty Results'!$A$203:$D$215,2,FALSE)/1000000</f>
        <v>12.60217290105447</v>
      </c>
      <c r="O196">
        <f>VLOOKUP(N185,'8. Uncertainty Results'!$A$203:$D$215,3,FALSE)/1000000</f>
        <v>19.226978004610444</v>
      </c>
      <c r="P196">
        <f>VLOOKUP(N185,'8. Uncertainty Results'!$A$203:$D$215,4,FALSE)/1000000</f>
        <v>49.036167912910365</v>
      </c>
      <c r="Q196">
        <f>VLOOKUP(Q185,'8. Uncertainty Results'!$A$203:$D$215,2,FALSE)/1000000</f>
        <v>4.9234855062215894</v>
      </c>
      <c r="R196">
        <f>VLOOKUP(Q185,'8. Uncertainty Results'!$A$203:$D$215,3,FALSE)/1000000</f>
        <v>5.37106142092306</v>
      </c>
      <c r="S196">
        <f>VLOOKUP(Q185,'8. Uncertainty Results'!$A$203:$D$215,4,FALSE)/1000000</f>
        <v>5.8389653933930203</v>
      </c>
      <c r="T196">
        <f>VLOOKUP(T185,'8. Uncertainty Results'!$A$203:$D$215,2,FALSE)/1000000</f>
        <v>3.9079818470785299</v>
      </c>
      <c r="U196">
        <f>VLOOKUP(T185,'8. Uncertainty Results'!$A$203:$D$215,3,FALSE)/1000000</f>
        <v>4.2843021047777894</v>
      </c>
      <c r="V196">
        <f>VLOOKUP(T185,'8. Uncertainty Results'!$A$203:$D$215,4,FALSE)/1000000</f>
        <v>4.6474321803099699</v>
      </c>
      <c r="W196">
        <f>VLOOKUP(W185,'8. Uncertainty Results'!$A$203:$D$215,2,FALSE)/1000000</f>
        <v>0.23425673678805656</v>
      </c>
      <c r="X196">
        <f>VLOOKUP(W185,'8. Uncertainty Results'!$A$203:$D$215,3,FALSE)/1000000</f>
        <v>1.1548930353673985</v>
      </c>
      <c r="Y196">
        <f>VLOOKUP(W185,'8. Uncertainty Results'!$A$203:$D$215,4,FALSE)/1000000</f>
        <v>5.5129749020288967</v>
      </c>
    </row>
    <row r="198" spans="1:25" x14ac:dyDescent="0.2">
      <c r="A198" t="s">
        <v>564</v>
      </c>
      <c r="B198">
        <f>B180/B193</f>
        <v>1</v>
      </c>
      <c r="C198">
        <f t="shared" ref="C198:D198" si="107">C180/C193</f>
        <v>1.5012716256931029</v>
      </c>
      <c r="D198">
        <f t="shared" si="107"/>
        <v>2.0165061502180421</v>
      </c>
    </row>
    <row r="201" spans="1:25" x14ac:dyDescent="0.2">
      <c r="A201" s="36" t="s">
        <v>565</v>
      </c>
      <c r="B201" s="481">
        <v>18100204</v>
      </c>
      <c r="C201" s="481"/>
      <c r="D201" s="481"/>
      <c r="E201" s="481">
        <v>16040201</v>
      </c>
      <c r="F201" s="481"/>
      <c r="G201" s="481"/>
      <c r="H201" s="481">
        <v>15030202</v>
      </c>
      <c r="I201" s="481"/>
      <c r="J201" s="481"/>
      <c r="K201" s="481">
        <v>16060011</v>
      </c>
      <c r="L201" s="481"/>
      <c r="M201" s="481"/>
      <c r="N201" s="481">
        <v>16060003</v>
      </c>
      <c r="O201" s="481"/>
      <c r="P201" s="481"/>
      <c r="Q201" s="481">
        <v>16060013</v>
      </c>
      <c r="R201" s="481"/>
      <c r="S201" s="481"/>
      <c r="T201" s="481">
        <v>16060010</v>
      </c>
      <c r="U201" s="481"/>
      <c r="V201" s="481"/>
      <c r="W201" s="481">
        <v>15030201</v>
      </c>
      <c r="X201" s="481"/>
      <c r="Y201" s="481"/>
    </row>
    <row r="202" spans="1:25" x14ac:dyDescent="0.2">
      <c r="A202" s="36"/>
      <c r="B202" s="481" t="s">
        <v>539</v>
      </c>
      <c r="C202" s="481"/>
      <c r="D202" s="481"/>
      <c r="E202" s="481" t="s">
        <v>417</v>
      </c>
      <c r="F202" s="481"/>
      <c r="G202" s="481"/>
      <c r="H202" s="481" t="s">
        <v>418</v>
      </c>
      <c r="I202" s="481"/>
      <c r="J202" s="481"/>
      <c r="K202" s="481" t="s">
        <v>419</v>
      </c>
      <c r="L202" s="481"/>
      <c r="M202" s="481"/>
      <c r="N202" s="481" t="s">
        <v>420</v>
      </c>
      <c r="O202" s="481"/>
      <c r="P202" s="481"/>
      <c r="Q202" s="481" t="s">
        <v>421</v>
      </c>
      <c r="R202" s="481"/>
      <c r="S202" s="481"/>
      <c r="T202" s="481" t="s">
        <v>422</v>
      </c>
      <c r="U202" s="481"/>
      <c r="V202" s="481"/>
      <c r="W202" s="481" t="s">
        <v>423</v>
      </c>
      <c r="X202" s="481"/>
      <c r="Y202" s="481"/>
    </row>
    <row r="203" spans="1:25" x14ac:dyDescent="0.2">
      <c r="A203" s="36"/>
      <c r="B203" s="36" t="s">
        <v>440</v>
      </c>
      <c r="C203" s="36" t="s">
        <v>441</v>
      </c>
      <c r="D203" s="36" t="s">
        <v>442</v>
      </c>
      <c r="E203" s="36" t="s">
        <v>440</v>
      </c>
      <c r="F203" s="36" t="s">
        <v>441</v>
      </c>
      <c r="G203" s="36" t="s">
        <v>442</v>
      </c>
      <c r="H203" s="36" t="s">
        <v>440</v>
      </c>
      <c r="I203" s="36" t="s">
        <v>441</v>
      </c>
      <c r="J203" s="36" t="s">
        <v>442</v>
      </c>
      <c r="K203" s="36" t="s">
        <v>440</v>
      </c>
      <c r="L203" s="36" t="s">
        <v>441</v>
      </c>
      <c r="M203" s="36" t="s">
        <v>442</v>
      </c>
      <c r="N203" s="36" t="s">
        <v>440</v>
      </c>
      <c r="O203" s="36" t="s">
        <v>441</v>
      </c>
      <c r="P203" s="36" t="s">
        <v>442</v>
      </c>
      <c r="Q203" s="36" t="s">
        <v>440</v>
      </c>
      <c r="R203" s="36" t="s">
        <v>441</v>
      </c>
      <c r="S203" s="36" t="s">
        <v>442</v>
      </c>
      <c r="T203" s="36" t="s">
        <v>440</v>
      </c>
      <c r="U203" s="36" t="s">
        <v>441</v>
      </c>
      <c r="V203" s="36" t="s">
        <v>442</v>
      </c>
      <c r="W203" s="36" t="s">
        <v>440</v>
      </c>
      <c r="X203" s="36" t="s">
        <v>441</v>
      </c>
      <c r="Y203" s="36" t="s">
        <v>442</v>
      </c>
    </row>
    <row r="204" spans="1:25" x14ac:dyDescent="0.2">
      <c r="A204" s="36" t="s">
        <v>436</v>
      </c>
      <c r="B204">
        <f>VLOOKUP(B201,'8. Uncertainty Results'!$B$390:$E$402,2,FALSE)*(cubicm/gal)*(day/yr)</f>
        <v>635.11983654395613</v>
      </c>
      <c r="C204">
        <f>B204</f>
        <v>635.11983654395613</v>
      </c>
      <c r="D204">
        <f>B204</f>
        <v>635.11983654395613</v>
      </c>
      <c r="E204">
        <f>VLOOKUP(E201,'8. Uncertainty Results'!$B$390:$E$402,2,FALSE)*(cubicm/gal)*(day/yr)</f>
        <v>105.57634464509907</v>
      </c>
      <c r="F204">
        <f>E204</f>
        <v>105.57634464509907</v>
      </c>
      <c r="G204">
        <f>E204</f>
        <v>105.57634464509907</v>
      </c>
      <c r="H204">
        <f>VLOOKUP(H201,'8. Uncertainty Results'!$B$390:$E$402,2,FALSE)*(cubicm/gal)*(day/yr)</f>
        <v>35.716443637853835</v>
      </c>
      <c r="I204">
        <f>H204</f>
        <v>35.716443637853835</v>
      </c>
      <c r="J204">
        <f>H204</f>
        <v>35.716443637853835</v>
      </c>
      <c r="K204">
        <f>VLOOKUP(K201,'8. Uncertainty Results'!$B$390:$E$402,2,FALSE)*(cubicm/gal)*(day/yr)</f>
        <v>45.493738441861822</v>
      </c>
      <c r="L204">
        <f>K204</f>
        <v>45.493738441861822</v>
      </c>
      <c r="M204">
        <f>K204</f>
        <v>45.493738441861822</v>
      </c>
      <c r="N204">
        <f>VLOOKUP(N201,'8. Uncertainty Results'!$B$390:$E$402,2,FALSE)*(cubicm/gal)*(day/yr)</f>
        <v>26.05098815865275</v>
      </c>
      <c r="O204">
        <f>N204</f>
        <v>26.05098815865275</v>
      </c>
      <c r="P204">
        <f>N204</f>
        <v>26.05098815865275</v>
      </c>
      <c r="Q204">
        <f>VLOOKUP(Q201,'8. Uncertainty Results'!$B$390:$E$402,2,FALSE)*(cubicm/gal)*(day/yr)</f>
        <v>34.990527999264685</v>
      </c>
      <c r="R204">
        <f>Q204</f>
        <v>34.990527999264685</v>
      </c>
      <c r="S204">
        <f>Q204</f>
        <v>34.990527999264685</v>
      </c>
      <c r="T204">
        <f>VLOOKUP(T201,'8. Uncertainty Results'!$B$390:$E$402,2,FALSE)*(cubicm/gal)*(day/yr)</f>
        <v>48.996732347662821</v>
      </c>
      <c r="U204">
        <f>T204</f>
        <v>48.996732347662821</v>
      </c>
      <c r="V204">
        <f>T204</f>
        <v>48.996732347662821</v>
      </c>
      <c r="W204">
        <f>VLOOKUP(W201,'8. Uncertainty Results'!$B$390:$E$402,2,FALSE)*(cubicm/gal)*(day/yr)</f>
        <v>72.773805744733039</v>
      </c>
      <c r="X204">
        <f>W204</f>
        <v>72.773805744733039</v>
      </c>
      <c r="Y204">
        <f>W204</f>
        <v>72.773805744733039</v>
      </c>
    </row>
    <row r="205" spans="1:25" x14ac:dyDescent="0.2">
      <c r="A205" s="36" t="s">
        <v>437</v>
      </c>
      <c r="B205">
        <f>VLOOKUP(B201,'8. Uncertainty Results'!$B$390:$E$402,4,FALSE)*(cubicm/gal)*(day/yr)</f>
        <v>715.22506656210362</v>
      </c>
      <c r="C205">
        <f>B205</f>
        <v>715.22506656210362</v>
      </c>
      <c r="D205">
        <f>B205</f>
        <v>715.22506656210362</v>
      </c>
      <c r="E205">
        <f>VLOOKUP(E201,'8. Uncertainty Results'!$B$390:$E$402,4,FALSE)*(cubicm/gal)*(day/yr)</f>
        <v>321.72856975229149</v>
      </c>
      <c r="F205">
        <f>E205</f>
        <v>321.72856975229149</v>
      </c>
      <c r="G205">
        <f>E205</f>
        <v>321.72856975229149</v>
      </c>
      <c r="H205">
        <f>VLOOKUP(H201,'8. Uncertainty Results'!$B$390:$E$402,4,FALSE)*(cubicm/gal)*(day/yr)</f>
        <v>90.090299760130051</v>
      </c>
      <c r="I205">
        <f>H205</f>
        <v>90.090299760130051</v>
      </c>
      <c r="J205">
        <f>H205</f>
        <v>90.090299760130051</v>
      </c>
      <c r="K205">
        <f>VLOOKUP(K201,'8. Uncertainty Results'!$B$390:$E$402,4,FALSE)*(cubicm/gal)*(day/yr)</f>
        <v>89.4560134396325</v>
      </c>
      <c r="L205">
        <f>K205</f>
        <v>89.4560134396325</v>
      </c>
      <c r="M205">
        <f>K205</f>
        <v>89.4560134396325</v>
      </c>
      <c r="N205">
        <f>VLOOKUP(N201,'8. Uncertainty Results'!$B$390:$E$402,4,FALSE)*(cubicm/gal)*(day/yr)</f>
        <v>98.154531758679852</v>
      </c>
      <c r="O205">
        <f>N205</f>
        <v>98.154531758679852</v>
      </c>
      <c r="P205">
        <f>N205</f>
        <v>98.154531758679852</v>
      </c>
      <c r="Q205">
        <f>VLOOKUP(Q201,'8. Uncertainty Results'!$B$390:$E$402,4,FALSE)*(cubicm/gal)*(day/yr)</f>
        <v>105.60259289352661</v>
      </c>
      <c r="R205">
        <f>Q205</f>
        <v>105.60259289352661</v>
      </c>
      <c r="S205">
        <f>Q205</f>
        <v>105.60259289352661</v>
      </c>
      <c r="T205">
        <f>VLOOKUP(T201,'8. Uncertainty Results'!$B$390:$E$402,4,FALSE)*(cubicm/gal)*(day/yr)</f>
        <v>101.01738302855959</v>
      </c>
      <c r="U205">
        <f>T205</f>
        <v>101.01738302855959</v>
      </c>
      <c r="V205">
        <f>T205</f>
        <v>101.01738302855959</v>
      </c>
      <c r="W205">
        <f>VLOOKUP(W201,'8. Uncertainty Results'!$B$390:$E$402,4,FALSE)*(cubicm/gal)*(day/yr)</f>
        <v>225.45972670700448</v>
      </c>
      <c r="X205">
        <f>W205</f>
        <v>225.45972670700448</v>
      </c>
      <c r="Y205">
        <f>W205</f>
        <v>225.45972670700448</v>
      </c>
    </row>
    <row r="206" spans="1:25" x14ac:dyDescent="0.2">
      <c r="A206" s="36" t="s">
        <v>438</v>
      </c>
      <c r="B206">
        <f>VLOOKUP(B201,'8. Uncertainty Results'!$A$97:$CM$109,2+$A$154,FALSE)*((cubicm/gal)*(day/yr))/B198</f>
        <v>16.304915850706355</v>
      </c>
      <c r="C206">
        <f>VLOOKUP(B201,'8. Uncertainty Results'!$A$97:$CM$109,3+$A$154,FALSE)*((cubicm/gal)*(day/yr))/C198</f>
        <v>10.94861613274815</v>
      </c>
      <c r="D206">
        <f>VLOOKUP(B201,'8. Uncertainty Results'!$A$97:$CM$109,4+$A$154,FALSE)*((cubicm/gal)*(day/yr))/D198</f>
        <v>8.2081347068596635</v>
      </c>
      <c r="E206">
        <f>VLOOKUP(E201,'8. Uncertainty Results'!$A$97:$CM$109,2+$A$154,FALSE)*((cubicm/gal)*(day/yr))</f>
        <v>0</v>
      </c>
      <c r="F206">
        <f>VLOOKUP(E201,'8. Uncertainty Results'!$A$97:$CM$109,3+$A$154,FALSE)*((cubicm/gal)*(day/yr))</f>
        <v>0</v>
      </c>
      <c r="G206">
        <f>VLOOKUP(E201,'8. Uncertainty Results'!$A$97:$CM$109,4+$A$154,FALSE)*((cubicm/gal)*(day/yr))</f>
        <v>0</v>
      </c>
      <c r="H206">
        <f>VLOOKUP(H201,'8. Uncertainty Results'!$A$97:$CM$109,2+$A$154,FALSE)*((cubicm/gal)*(day/yr))</f>
        <v>23.880577994281712</v>
      </c>
      <c r="I206">
        <f>VLOOKUP(H201,'8. Uncertainty Results'!$A$97:$CM$109,3+$A$154,FALSE)*((cubicm/gal)*(day/yr))</f>
        <v>24.491143039833524</v>
      </c>
      <c r="J206">
        <f>VLOOKUP(H201,'8. Uncertainty Results'!$A$97:$CM$109,4+$A$154,FALSE)*((cubicm/gal)*(day/yr))</f>
        <v>24.97074396325959</v>
      </c>
      <c r="K206">
        <f>VLOOKUP(K201,'8. Uncertainty Results'!$A$97:$CM$109,2+$A$154,FALSE)*((cubicm/gal)*(day/yr))</f>
        <v>9.5933586454738415E-2</v>
      </c>
      <c r="L206">
        <f>VLOOKUP(K201,'8. Uncertainty Results'!$A$97:$CM$109,3+$A$154,FALSE)*((cubicm/gal)*(day/yr))</f>
        <v>9.8275150496450012E-2</v>
      </c>
      <c r="M206">
        <f>VLOOKUP(K201,'8. Uncertainty Results'!$A$97:$CM$109,4+$A$154,FALSE)*((cubicm/gal)*(day/yr))</f>
        <v>0.10011643692379145</v>
      </c>
      <c r="N206">
        <f>VLOOKUP(N201,'8. Uncertainty Results'!$A$97:$CM$109,2+$A$154,FALSE)*((cubicm/gal)*(day/yr))</f>
        <v>6.392289040751345E-2</v>
      </c>
      <c r="O206">
        <f>VLOOKUP(N201,'8. Uncertainty Results'!$A$97:$CM$109,3+$A$154,FALSE)*((cubicm/gal)*(day/yr))</f>
        <v>6.5515453592613793E-2</v>
      </c>
      <c r="P206">
        <f>VLOOKUP(N201,'8. Uncertainty Results'!$A$97:$CM$109,4+$A$154,FALSE)*((cubicm/gal)*(day/yr))</f>
        <v>6.6735623107614717E-2</v>
      </c>
      <c r="Q206">
        <f>VLOOKUP(Q201,'8. Uncertainty Results'!$A$97:$CM$109,2+$A$154,FALSE)*((cubicm/gal)*(day/yr))</f>
        <v>9.5866836664807428E-2</v>
      </c>
      <c r="R206">
        <f>VLOOKUP(Q201,'8. Uncertainty Results'!$A$97:$CM$109,3+$A$154,FALSE)*((cubicm/gal)*(day/yr))</f>
        <v>9.8253256587265012E-2</v>
      </c>
      <c r="S206">
        <f>VLOOKUP(Q201,'8. Uncertainty Results'!$A$97:$CM$109,4+$A$154,FALSE)*((cubicm/gal)*(day/yr))</f>
        <v>0.10011779838504976</v>
      </c>
      <c r="T206">
        <f>VLOOKUP(T201,'8. Uncertainty Results'!$A$97:$CM$109,2+$A$154,FALSE)*((cubicm/gal)*(day/yr))</f>
        <v>15.79516401606649</v>
      </c>
      <c r="U206">
        <f>VLOOKUP(T201,'8. Uncertainty Results'!$A$97:$CM$109,3+$A$154,FALSE)*((cubicm/gal)*(day/yr))</f>
        <v>15.922976483972507</v>
      </c>
      <c r="V206">
        <f>VLOOKUP(T201,'8. Uncertainty Results'!$A$97:$CM$109,4+$A$154,FALSE)*((cubicm/gal)*(day/yr))</f>
        <v>16.032031716884084</v>
      </c>
      <c r="W206">
        <f>VLOOKUP(W201,'8. Uncertainty Results'!$A$97:$CM$109,2+$A$154,FALSE)*((cubicm/gal)*(day/yr))</f>
        <v>23.872230891253622</v>
      </c>
      <c r="X206">
        <f>VLOOKUP(W201,'8. Uncertainty Results'!$A$97:$CM$109,3+$A$154,FALSE)*((cubicm/gal)*(day/yr))</f>
        <v>24.480696052156731</v>
      </c>
      <c r="Y206">
        <f>VLOOKUP(W201,'8. Uncertainty Results'!$A$97:$CM$109,4+$A$154,FALSE)*((cubicm/gal)*(day/yr))</f>
        <v>24.958265833391181</v>
      </c>
    </row>
    <row r="207" spans="1:25" x14ac:dyDescent="0.2">
      <c r="A207" s="36" t="s">
        <v>400</v>
      </c>
      <c r="B207">
        <f>VLOOKUP(B201,'8. Uncertainty Results'!$A$97:$CM$109,17+$A$154,FALSE)*((cubicm/gal)*(day/yr))/B198</f>
        <v>27.440442526311394</v>
      </c>
      <c r="C207">
        <f>VLOOKUP(B201,'8. Uncertainty Results'!$A$97:$CM$109,18+$A$154+$A$154,FALSE)*((cubicm/gal)*(day/yr))/C198</f>
        <v>18.109368464397807</v>
      </c>
      <c r="D207">
        <f>VLOOKUP(B201,'8. Uncertainty Results'!$A$97:$CM$109,19+$A$154,FALSE)*((cubicm/gal)*(day/yr))/D198</f>
        <v>14.779389781944072</v>
      </c>
      <c r="E207">
        <f>VLOOKUP(E201,'8. Uncertainty Results'!$A$97:$CM$109,17+$A$154,FALSE)*((cubicm/gal)*(day/yr))</f>
        <v>3.2920422792789408</v>
      </c>
      <c r="F207">
        <f>VLOOKUP(E201,'8. Uncertainty Results'!$A$97:$CM$109,18+$A$154,FALSE)*((cubicm/gal)*(day/yr))</f>
        <v>3.4626830500407739</v>
      </c>
      <c r="G207">
        <f>VLOOKUP(E201,'8. Uncertainty Results'!$A$97:$CM$109,19+$A$154,FALSE)*((cubicm/gal)*(day/yr))</f>
        <v>3.6139196994672607</v>
      </c>
      <c r="H207">
        <f>VLOOKUP(H201,'8. Uncertainty Results'!$A$97:$CM$109,17+$A$154,FALSE)*((cubicm/gal)*(day/yr))</f>
        <v>49.769528734792324</v>
      </c>
      <c r="I207">
        <f>VLOOKUP(H201,'8. Uncertainty Results'!$A$97:$CM$109,18+$A$154,FALSE)*((cubicm/gal)*(day/yr))</f>
        <v>52.117512919762419</v>
      </c>
      <c r="J207">
        <f>VLOOKUP(H201,'8. Uncertainty Results'!$A$97:$CM$109,19+$A$154,FALSE)*((cubicm/gal)*(day/yr))</f>
        <v>54.834456116456344</v>
      </c>
      <c r="K207">
        <f>VLOOKUP(K201,'8. Uncertainty Results'!$A$97:$CM$109,17+$A$154,FALSE)*((cubicm/gal)*(day/yr))</f>
        <v>6.8196271047337236</v>
      </c>
      <c r="L207">
        <f>VLOOKUP(K201,'8. Uncertainty Results'!$A$97:$CM$109,18+$A$154,FALSE)*((cubicm/gal)*(day/yr))</f>
        <v>7.1953709127268244</v>
      </c>
      <c r="M207">
        <f>VLOOKUP(K201,'8. Uncertainty Results'!$A$97:$CM$109,19+$A$154,FALSE)*((cubicm/gal)*(day/yr))</f>
        <v>7.6429866762462408</v>
      </c>
      <c r="N207">
        <f>VLOOKUP(N201,'8. Uncertainty Results'!$A$97:$CM$109,17+$A$154,FALSE)*((cubicm/gal)*(day/yr))</f>
        <v>4.7502017680741782</v>
      </c>
      <c r="O207">
        <f>VLOOKUP(N201,'8. Uncertainty Results'!$A$97:$CM$109,18+$A$154,FALSE)*((cubicm/gal)*(day/yr))</f>
        <v>5.0038875759655985</v>
      </c>
      <c r="P207">
        <f>VLOOKUP(N201,'8. Uncertainty Results'!$A$97:$CM$109,19+$A$154,FALSE)*((cubicm/gal)*(day/yr))</f>
        <v>5.3006795486664346</v>
      </c>
      <c r="Q207">
        <f>VLOOKUP(Q201,'8. Uncertainty Results'!$A$97:$CM$109,17+$A$154,FALSE)*((cubicm/gal)*(day/yr))</f>
        <v>6.818858753477854</v>
      </c>
      <c r="R207">
        <f>VLOOKUP(Q201,'8. Uncertainty Results'!$A$97:$CM$109,18+$A$154,FALSE)*((cubicm/gal)*(day/yr))</f>
        <v>7.187587091394648</v>
      </c>
      <c r="S207">
        <f>VLOOKUP(Q201,'8. Uncertainty Results'!$A$97:$CM$109,19+$A$154,FALSE)*((cubicm/gal)*(day/yr))</f>
        <v>7.6298140776219521</v>
      </c>
      <c r="T207">
        <f>VLOOKUP(T201,'8. Uncertainty Results'!$A$97:$CM$109,17+$A$154,FALSE)*((cubicm/gal)*(day/yr))</f>
        <v>0.94610498375808472</v>
      </c>
      <c r="U207">
        <f>VLOOKUP(T201,'8. Uncertainty Results'!$A$97:$CM$109,18+$A$154,FALSE)*((cubicm/gal)*(day/yr))</f>
        <v>1.0378354043222127</v>
      </c>
      <c r="V207">
        <f>VLOOKUP(T201,'8. Uncertainty Results'!$A$97:$CM$109,19+$A$154,FALSE)*((cubicm/gal)*(day/yr))</f>
        <v>1.1162852952671229</v>
      </c>
      <c r="W207">
        <f>VLOOKUP(W201,'8. Uncertainty Results'!$A$97:$CM$109,17+$A$154,FALSE)*((cubicm/gal)*(day/yr))</f>
        <v>49.683213068379551</v>
      </c>
      <c r="X207">
        <f>VLOOKUP(W201,'8. Uncertainty Results'!$A$97:$CM$109,18+$A$154,FALSE)*((cubicm/gal)*(day/yr))</f>
        <v>52.080612007442234</v>
      </c>
      <c r="Y207">
        <f>VLOOKUP(W201,'8. Uncertainty Results'!$A$97:$CM$109,19+$A$154,FALSE)*((cubicm/gal)*(day/yr))</f>
        <v>54.87878617619188</v>
      </c>
    </row>
    <row r="208" spans="1:25" x14ac:dyDescent="0.2">
      <c r="A208" s="36" t="s">
        <v>401</v>
      </c>
      <c r="B208">
        <f>VLOOKUP(B201,'8. Uncertainty Results'!$A$97:$CM$109,32+$A$154,FALSE)*((cubicm/gal)*(day/yr))/B198</f>
        <v>0</v>
      </c>
      <c r="C208">
        <f>VLOOKUP(B201,'8. Uncertainty Results'!$A$97:$CM$109,33+$A$154,FALSE)*((cubicm/gal)*(day/yr))/C198</f>
        <v>0</v>
      </c>
      <c r="D208">
        <f>VLOOKUP(B201,'8. Uncertainty Results'!$A$97:$CM$109,34+$A$154,FALSE)*((cubicm/gal)*(day/yr))/D198</f>
        <v>0</v>
      </c>
      <c r="E208">
        <f>VLOOKUP(E201,'8. Uncertainty Results'!$A$97:$CM$109,32+$A$154,FALSE)*((cubicm/gal)*(day/yr))</f>
        <v>0</v>
      </c>
      <c r="F208">
        <f>VLOOKUP(E201,'8. Uncertainty Results'!$A$97:$CM$109,33+$A$154,FALSE)*((cubicm/gal)*(day/yr))</f>
        <v>0</v>
      </c>
      <c r="G208">
        <f>VLOOKUP(E201,'8. Uncertainty Results'!$A$97:$CM$109,34+$A$154,FALSE)*((cubicm/gal)*(day/yr))</f>
        <v>0</v>
      </c>
      <c r="H208">
        <f>VLOOKUP(H201,'8. Uncertainty Results'!$A$97:$CM$109,32+$A$154,FALSE)*((cubicm/gal)*(day/yr))</f>
        <v>0</v>
      </c>
      <c r="I208">
        <f>VLOOKUP(H201,'8. Uncertainty Results'!$A$97:$CM$109,33+$A$154,FALSE)*((cubicm/gal)*(day/yr))</f>
        <v>0</v>
      </c>
      <c r="J208">
        <f>VLOOKUP(H201,'8. Uncertainty Results'!$A$97:$CM$109,34+$A$154,FALSE)*((cubicm/gal)*(day/yr))</f>
        <v>0</v>
      </c>
      <c r="K208">
        <f>VLOOKUP(K201,'8. Uncertainty Results'!$A$97:$CM$109,32+$A$154,FALSE)*((cubicm/gal)*(day/yr))</f>
        <v>0</v>
      </c>
      <c r="L208">
        <f>VLOOKUP(K201,'8. Uncertainty Results'!$A$97:$CM$109,33+$A$154,FALSE)*((cubicm/gal)*(day/yr))</f>
        <v>0</v>
      </c>
      <c r="M208">
        <f>VLOOKUP(K201,'8. Uncertainty Results'!$A$97:$CM$109,34+$A$154,FALSE)*((cubicm/gal)*(day/yr))</f>
        <v>0</v>
      </c>
      <c r="N208">
        <f>VLOOKUP(N201,'8. Uncertainty Results'!$A$97:$CM$109,32+$A$154,FALSE)*((cubicm/gal)*(day/yr))</f>
        <v>0</v>
      </c>
      <c r="O208">
        <f>VLOOKUP(N201,'8. Uncertainty Results'!$A$97:$CM$109,33+$A$154,FALSE)*((cubicm/gal)*(day/yr))</f>
        <v>0</v>
      </c>
      <c r="P208">
        <f>VLOOKUP(N201,'8. Uncertainty Results'!$A$97:$CM$109,34+$A$154,FALSE)*((cubicm/gal)*(day/yr))</f>
        <v>0</v>
      </c>
      <c r="Q208">
        <f>VLOOKUP(Q201,'8. Uncertainty Results'!$A$97:$CM$109,32+$A$154,FALSE)*((cubicm/gal)*(day/yr))</f>
        <v>0</v>
      </c>
      <c r="R208">
        <f>VLOOKUP(Q201,'8. Uncertainty Results'!$A$97:$CM$109,33+$A$154,FALSE)*((cubicm/gal)*(day/yr))</f>
        <v>0</v>
      </c>
      <c r="S208">
        <f>VLOOKUP(Q201,'8. Uncertainty Results'!$A$97:$CM$109,34+$A$154,FALSE)*((cubicm/gal)*(day/yr))</f>
        <v>0</v>
      </c>
      <c r="T208">
        <f>VLOOKUP(T201,'8. Uncertainty Results'!$A$97:$CM$109,32+$A$154,FALSE)*((cubicm/gal)*(day/yr))</f>
        <v>0</v>
      </c>
      <c r="U208">
        <f>VLOOKUP(T201,'8. Uncertainty Results'!$A$97:$CM$109,33+$A$154,FALSE)*((cubicm/gal)*(day/yr))</f>
        <v>0</v>
      </c>
      <c r="V208">
        <f>VLOOKUP(T201,'8. Uncertainty Results'!$A$97:$CM$109,34+$A$154,FALSE)*((cubicm/gal)*(day/yr))</f>
        <v>0</v>
      </c>
      <c r="W208">
        <f>VLOOKUP(W201,'8. Uncertainty Results'!$A$97:$CM$109,32+$A$154,FALSE)*((cubicm/gal)*(day/yr))</f>
        <v>0</v>
      </c>
      <c r="X208">
        <f>VLOOKUP(W201,'8. Uncertainty Results'!$A$97:$CM$109,33+$A$154,FALSE)*((cubicm/gal)*(day/yr))</f>
        <v>0</v>
      </c>
      <c r="Y208">
        <f>VLOOKUP(W201,'8. Uncertainty Results'!$A$97:$CM$109,34+$A$154,FALSE)*((cubicm/gal)*(day/yr))</f>
        <v>0</v>
      </c>
    </row>
    <row r="209" spans="1:25" x14ac:dyDescent="0.2">
      <c r="A209" s="36" t="s">
        <v>402</v>
      </c>
      <c r="B209">
        <f>VLOOKUP(B201,'8. Uncertainty Results'!$A$97:$CM$109,47+$A$154,FALSE)*((cubicm/gal)*(day/yr))/B198</f>
        <v>647.39903846182335</v>
      </c>
      <c r="C209">
        <f>VLOOKUP(B201,'8. Uncertainty Results'!$A$97:$CM$109,48+$A$154,FALSE)*((cubicm/gal)*(day/yr))/C198</f>
        <v>792.50858313463209</v>
      </c>
      <c r="D209">
        <f>VLOOKUP(B201,'8. Uncertainty Results'!$A$97:$CM$109,49+$A$154,FALSE)*((cubicm/gal)*(day/yr))/D198</f>
        <v>941.32663377108713</v>
      </c>
      <c r="E209">
        <f>VLOOKUP(E201,'8. Uncertainty Results'!$A$97:$CM$109,47+$A$154,FALSE)*((cubicm/gal)*(day/yr))</f>
        <v>231.03713111081376</v>
      </c>
      <c r="F209">
        <f>VLOOKUP(E201,'8. Uncertainty Results'!$A$97:$CM$109,48+$A$154,FALSE)*((cubicm/gal)*(day/yr))</f>
        <v>329.06989043171694</v>
      </c>
      <c r="G209">
        <f>VLOOKUP(E201,'8. Uncertainty Results'!$A$97:$CM$109,49+$A$154,FALSE)*((cubicm/gal)*(day/yr))</f>
        <v>445.88958596248284</v>
      </c>
      <c r="H209">
        <f>VLOOKUP(H201,'8. Uncertainty Results'!$A$97:$CM$109,47+$A$154,FALSE)*((cubicm/gal)*(day/yr))</f>
        <v>31.523075213058398</v>
      </c>
      <c r="I209">
        <f>VLOOKUP(H201,'8. Uncertainty Results'!$A$97:$CM$109,48+$A$154,FALSE)*((cubicm/gal)*(day/yr))</f>
        <v>50.518576630938163</v>
      </c>
      <c r="J209">
        <f>VLOOKUP(H201,'8. Uncertainty Results'!$A$97:$CM$109,49+$A$154,FALSE)*((cubicm/gal)*(day/yr))</f>
        <v>75.870893180194258</v>
      </c>
      <c r="K209">
        <f>VLOOKUP(K201,'8. Uncertainty Results'!$A$97:$CM$109,47+$A$154,FALSE)*((cubicm/gal)*(day/yr))</f>
        <v>13.566281637329567</v>
      </c>
      <c r="L209">
        <f>VLOOKUP(K201,'8. Uncertainty Results'!$A$97:$CM$109,48+$A$154,FALSE)*((cubicm/gal)*(day/yr))</f>
        <v>22.486930810468312</v>
      </c>
      <c r="M209">
        <f>VLOOKUP(K201,'8. Uncertainty Results'!$A$97:$CM$109,49+$A$154,FALSE)*((cubicm/gal)*(day/yr))</f>
        <v>34.657877553092149</v>
      </c>
      <c r="N209">
        <f>VLOOKUP(N201,'8. Uncertainty Results'!$A$97:$CM$109,47+$A$154,FALSE)*((cubicm/gal)*(day/yr))</f>
        <v>10.152955780238218</v>
      </c>
      <c r="O209">
        <f>VLOOKUP(N201,'8. Uncertainty Results'!$A$97:$CM$109,48+$A$154,FALSE)*((cubicm/gal)*(day/yr))</f>
        <v>16.638547343190538</v>
      </c>
      <c r="P209">
        <f>VLOOKUP(N201,'8. Uncertainty Results'!$A$97:$CM$109,49+$A$154,FALSE)*((cubicm/gal)*(day/yr))</f>
        <v>25.09589913321987</v>
      </c>
      <c r="Q209">
        <f>VLOOKUP(Q201,'8. Uncertainty Results'!$A$97:$CM$109,47+$A$154,FALSE)*((cubicm/gal)*(day/yr))</f>
        <v>13.54028075310166</v>
      </c>
      <c r="R209">
        <f>VLOOKUP(Q201,'8. Uncertainty Results'!$A$97:$CM$109,48+$A$154,FALSE)*((cubicm/gal)*(day/yr))</f>
        <v>22.499914972761225</v>
      </c>
      <c r="S209">
        <f>VLOOKUP(Q201,'8. Uncertainty Results'!$A$97:$CM$109,49+$A$154,FALSE)*((cubicm/gal)*(day/yr))</f>
        <v>34.767286279752057</v>
      </c>
      <c r="T209">
        <f>VLOOKUP(T201,'8. Uncertainty Results'!$A$97:$CM$109,47+$A$154,FALSE)*((cubicm/gal)*(day/yr))</f>
        <v>9.4797180916963271</v>
      </c>
      <c r="U209">
        <f>VLOOKUP(T201,'8. Uncertainty Results'!$A$97:$CM$109,48+$A$154,FALSE)*((cubicm/gal)*(day/yr))</f>
        <v>15.589173395233139</v>
      </c>
      <c r="V209">
        <f>VLOOKUP(T201,'8. Uncertainty Results'!$A$97:$CM$109,49+$A$154,FALSE)*((cubicm/gal)*(day/yr))</f>
        <v>23.55123004379859</v>
      </c>
      <c r="W209">
        <f>VLOOKUP(W201,'8. Uncertainty Results'!$A$97:$CM$109,47+$A$154,FALSE)*((cubicm/gal)*(day/yr))</f>
        <v>31.54261617785523</v>
      </c>
      <c r="X209">
        <f>VLOOKUP(W201,'8. Uncertainty Results'!$A$97:$CM$109,48+$A$154,FALSE)*((cubicm/gal)*(day/yr))</f>
        <v>50.251222806491811</v>
      </c>
      <c r="Y209">
        <f>VLOOKUP(W201,'8. Uncertainty Results'!$A$97:$CM$109,49+$A$154,FALSE)*((cubicm/gal)*(day/yr))</f>
        <v>75.848314670003901</v>
      </c>
    </row>
    <row r="210" spans="1:25" x14ac:dyDescent="0.2">
      <c r="A210" s="36" t="s">
        <v>403</v>
      </c>
      <c r="B210">
        <f>VLOOKUP(B201,'8. Uncertainty Results'!$A$97:$CM$109,62+$A$154,FALSE)*((cubicm/gal)*(day/yr))/B198</f>
        <v>4.1753677725198877</v>
      </c>
      <c r="C210">
        <f>VLOOKUP(B201,'8. Uncertainty Results'!$A$97:$CM$109,63+$A$154,FALSE)*((cubicm/gal)*(day/yr))/C198</f>
        <v>2.8733823384613291</v>
      </c>
      <c r="D210">
        <f>VLOOKUP(B201,'8. Uncertainty Results'!$A$97:$CM$109,64+$A$154,FALSE)*((cubicm/gal)*(day/yr))/D198</f>
        <v>2.2132035404308912</v>
      </c>
      <c r="E210">
        <f>VLOOKUP(E201,'8. Uncertainty Results'!$A$97:$CM$109,62+$A$154,FALSE)*((cubicm/gal)*(day/yr))</f>
        <v>0.90205581987474581</v>
      </c>
      <c r="F210">
        <f>VLOOKUP(E201,'8. Uncertainty Results'!$A$97:$CM$109,63+$A$154,FALSE)*((cubicm/gal)*(day/yr))</f>
        <v>0.92512442257839556</v>
      </c>
      <c r="G210">
        <f>VLOOKUP(E201,'8. Uncertainty Results'!$A$97:$CM$109,64+$A$154,FALSE)*((cubicm/gal)*(day/yr))</f>
        <v>0.94967936569256417</v>
      </c>
      <c r="H210">
        <f>VLOOKUP(H201,'8. Uncertainty Results'!$A$97:$CM$109,62+$A$154,FALSE)*((cubicm/gal)*(day/yr))</f>
        <v>0.43084152744780246</v>
      </c>
      <c r="I210">
        <f>VLOOKUP(H201,'8. Uncertainty Results'!$A$97:$CM$109,63+$A$154,FALSE)*((cubicm/gal)*(day/yr))</f>
        <v>0.43756965882503207</v>
      </c>
      <c r="J210">
        <f>VLOOKUP(H201,'8. Uncertainty Results'!$A$97:$CM$109,64+$A$154,FALSE)*((cubicm/gal)*(day/yr))</f>
        <v>0.44447179828582073</v>
      </c>
      <c r="K210">
        <f>VLOOKUP(K201,'8. Uncertainty Results'!$A$97:$CM$109,62+$A$154,FALSE)*((cubicm/gal)*(day/yr))</f>
        <v>0.23897553469116267</v>
      </c>
      <c r="L210">
        <f>VLOOKUP(K201,'8. Uncertainty Results'!$A$97:$CM$109,63+$A$154,FALSE)*((cubicm/gal)*(day/yr))</f>
        <v>0.24287444531376379</v>
      </c>
      <c r="M210">
        <f>VLOOKUP(K201,'8. Uncertainty Results'!$A$97:$CM$109,64+$A$154,FALSE)*((cubicm/gal)*(day/yr))</f>
        <v>0.24695464694235314</v>
      </c>
      <c r="N210">
        <f>VLOOKUP(N201,'8. Uncertainty Results'!$A$97:$CM$109,62+$A$154,FALSE)*((cubicm/gal)*(day/yr))</f>
        <v>0.16846923910677114</v>
      </c>
      <c r="O210">
        <f>VLOOKUP(N201,'8. Uncertainty Results'!$A$97:$CM$109,63+$A$154,FALSE)*((cubicm/gal)*(day/yr))</f>
        <v>0.17116525293633714</v>
      </c>
      <c r="P210">
        <f>VLOOKUP(N201,'8. Uncertainty Results'!$A$97:$CM$109,64+$A$154,FALSE)*((cubicm/gal)*(day/yr))</f>
        <v>0.17392959695882265</v>
      </c>
      <c r="Q210">
        <f>VLOOKUP(Q201,'8. Uncertainty Results'!$A$97:$CM$109,62+$A$154,FALSE)*((cubicm/gal)*(day/yr))</f>
        <v>0.23907777072241265</v>
      </c>
      <c r="R210">
        <f>VLOOKUP(Q201,'8. Uncertainty Results'!$A$97:$CM$109,63+$A$154,FALSE)*((cubicm/gal)*(day/yr))</f>
        <v>0.242925502646717</v>
      </c>
      <c r="S210">
        <f>VLOOKUP(Q201,'8. Uncertainty Results'!$A$97:$CM$109,64+$A$154,FALSE)*((cubicm/gal)*(day/yr))</f>
        <v>0.2469308280279659</v>
      </c>
      <c r="T210">
        <f>VLOOKUP(T201,'8. Uncertainty Results'!$A$97:$CM$109,62+$A$154,FALSE)*((cubicm/gal)*(day/yr))</f>
        <v>8.4723746919024984E-2</v>
      </c>
      <c r="U210">
        <f>VLOOKUP(T201,'8. Uncertainty Results'!$A$97:$CM$109,63+$A$154,FALSE)*((cubicm/gal)*(day/yr))</f>
        <v>8.7314802202921357E-2</v>
      </c>
      <c r="V210">
        <f>VLOOKUP(T201,'8. Uncertainty Results'!$A$97:$CM$109,64+$A$154,FALSE)*((cubicm/gal)*(day/yr))</f>
        <v>9.0079174566731826E-2</v>
      </c>
      <c r="W210">
        <f>VLOOKUP(W201,'8. Uncertainty Results'!$A$97:$CM$109,62+$A$154,FALSE)*((cubicm/gal)*(day/yr))</f>
        <v>0.43087411785162771</v>
      </c>
      <c r="X210">
        <f>VLOOKUP(W201,'8. Uncertainty Results'!$A$97:$CM$109,63+$A$154,FALSE)*((cubicm/gal)*(day/yr))</f>
        <v>0.43760917339888755</v>
      </c>
      <c r="Y210">
        <f>VLOOKUP(W201,'8. Uncertainty Results'!$A$97:$CM$109,64+$A$154,FALSE)*((cubicm/gal)*(day/yr))</f>
        <v>0.44446247081109586</v>
      </c>
    </row>
    <row r="211" spans="1:25" x14ac:dyDescent="0.2">
      <c r="A211" s="36" t="s">
        <v>439</v>
      </c>
      <c r="B211">
        <f>VLOOKUP(B201,'8. Uncertainty Results'!$A$97:$CM$109,77+$A$154,FALSE)*((cubicm/gal)*(day/yr))/B198</f>
        <v>0</v>
      </c>
      <c r="C211">
        <f>VLOOKUP(B201,'8. Uncertainty Results'!$A$97:$CM$109,78+$A$154,FALSE)*((cubicm/gal)*(day/yr))/C198</f>
        <v>0</v>
      </c>
      <c r="D211">
        <f>VLOOKUP(B201,'8. Uncertainty Results'!$A$97:$CM$109,79+$A$154,FALSE)*((cubicm/gal)*(day/yr))/D198</f>
        <v>0</v>
      </c>
      <c r="E211">
        <f>VLOOKUP(E201,'8. Uncertainty Results'!$A$97:$CM$109,77+$A$154,FALSE)*((cubicm/gal)*(day/yr))</f>
        <v>0.91169471102580202</v>
      </c>
      <c r="F211">
        <f>VLOOKUP(E201,'8. Uncertainty Results'!$A$97:$CM$109,78+$A$154,FALSE)*((cubicm/gal)*(day/yr))</f>
        <v>0.98713175571809908</v>
      </c>
      <c r="G211">
        <f>VLOOKUP(E201,'8. Uncertainty Results'!$A$97:$CM$109,79+$A$154,FALSE)*((cubicm/gal)*(day/yr))</f>
        <v>1.0764251065500088</v>
      </c>
      <c r="H211">
        <f>VLOOKUP(H201,'8. Uncertainty Results'!$A$97:$CM$109,77+$A$154,FALSE)*((cubicm/gal)*(day/yr))</f>
        <v>1.8741184599586869</v>
      </c>
      <c r="I211">
        <f>VLOOKUP(H201,'8. Uncertainty Results'!$A$97:$CM$109,78+$A$154,FALSE)*((cubicm/gal)*(day/yr))</f>
        <v>2.1409822220896944</v>
      </c>
      <c r="J211">
        <f>VLOOKUP(H201,'8. Uncertainty Results'!$A$97:$CM$109,79+$A$154,FALSE)*((cubicm/gal)*(day/yr))</f>
        <v>2.4735915449644836</v>
      </c>
      <c r="K211">
        <f>VLOOKUP(K201,'8. Uncertainty Results'!$A$97:$CM$109,77+$A$154,FALSE)*((cubicm/gal)*(day/yr))</f>
        <v>0</v>
      </c>
      <c r="L211">
        <f>VLOOKUP(K201,'8. Uncertainty Results'!$A$97:$CM$109,78+$A$154,FALSE)*((cubicm/gal)*(day/yr))</f>
        <v>0</v>
      </c>
      <c r="M211">
        <f>VLOOKUP(K201,'8. Uncertainty Results'!$A$97:$CM$109,79+$A$154,FALSE)*((cubicm/gal)*(day/yr))</f>
        <v>0</v>
      </c>
      <c r="N211">
        <f>VLOOKUP(N201,'8. Uncertainty Results'!$A$97:$CM$109,77+$A$154,FALSE)*((cubicm/gal)*(day/yr))</f>
        <v>0</v>
      </c>
      <c r="O211">
        <f>VLOOKUP(N201,'8. Uncertainty Results'!$A$97:$CM$109,78+$A$154,FALSE)*((cubicm/gal)*(day/yr))</f>
        <v>0</v>
      </c>
      <c r="P211">
        <f>VLOOKUP(N201,'8. Uncertainty Results'!$A$97:$CM$109,79+$A$154,FALSE)*((cubicm/gal)*(day/yr))</f>
        <v>0</v>
      </c>
      <c r="Q211">
        <f>VLOOKUP(Q201,'8. Uncertainty Results'!$A$97:$CM$109,77+$A$154,FALSE)*((cubicm/gal)*(day/yr))</f>
        <v>0</v>
      </c>
      <c r="R211">
        <f>VLOOKUP(Q201,'8. Uncertainty Results'!$A$97:$CM$109,78+$A$154,FALSE)*((cubicm/gal)*(day/yr))</f>
        <v>0</v>
      </c>
      <c r="S211">
        <f>VLOOKUP(Q201,'8. Uncertainty Results'!$A$97:$CM$109,79+$A$154,FALSE)*((cubicm/gal)*(day/yr))</f>
        <v>0</v>
      </c>
      <c r="T211">
        <f>VLOOKUP(T201,'8. Uncertainty Results'!$A$97:$CM$109,77+$A$154,FALSE)*((cubicm/gal)*(day/yr))</f>
        <v>0</v>
      </c>
      <c r="U211">
        <f>VLOOKUP(T201,'8. Uncertainty Results'!$A$97:$CM$109,78+$A$154,FALSE)*((cubicm/gal)*(day/yr))</f>
        <v>0</v>
      </c>
      <c r="V211">
        <f>VLOOKUP(T201,'8. Uncertainty Results'!$A$97:$CM$109,79+$A$154,FALSE)*((cubicm/gal)*(day/yr))</f>
        <v>0</v>
      </c>
      <c r="W211">
        <f>VLOOKUP(W201,'8. Uncertainty Results'!$A$97:$CM$109,77+$A$154,FALSE)*((cubicm/gal)*(day/yr))</f>
        <v>1.8698604090930999</v>
      </c>
      <c r="X211">
        <f>VLOOKUP(W201,'8. Uncertainty Results'!$A$97:$CM$109,78+$A$154,FALSE)*((cubicm/gal)*(day/yr))</f>
        <v>2.13812470249899</v>
      </c>
      <c r="Y211">
        <f>VLOOKUP(W201,'8. Uncertainty Results'!$A$97:$CM$109,79+$A$154,FALSE)*((cubicm/gal)*(day/yr))</f>
        <v>2.4832904565395282</v>
      </c>
    </row>
    <row r="212" spans="1:25" x14ac:dyDescent="0.2">
      <c r="A212" s="36" t="s">
        <v>492</v>
      </c>
      <c r="B212">
        <f>VLOOKUP(B201,'8. Uncertainty Results'!$A$203:$D$215,2,FALSE)/1000000/B198</f>
        <v>22.19928637592842</v>
      </c>
      <c r="C212">
        <f>VLOOKUP(B201,'8. Uncertainty Results'!$A$203:$D$215,3,FALSE)/1000000/C198</f>
        <v>16.169903278354703</v>
      </c>
      <c r="D212">
        <f>VLOOKUP(B201,'8. Uncertainty Results'!$A$203:$D$215,4,FALSE)/1000000/D198</f>
        <v>13.042764708652344</v>
      </c>
      <c r="E212">
        <f>VLOOKUP(E201,'8. Uncertainty Results'!$A$203:$D$215,2,FALSE)/1000000</f>
        <v>30.329777237026992</v>
      </c>
      <c r="F212">
        <f>VLOOKUP(E201,'8. Uncertainty Results'!$A$203:$D$215,3,FALSE)/1000000</f>
        <v>34.810209497471384</v>
      </c>
      <c r="G212">
        <f>VLOOKUP(E201,'8. Uncertainty Results'!$A$203:$D$215,4,FALSE)/1000000</f>
        <v>39.804593895523155</v>
      </c>
      <c r="H212">
        <f>VLOOKUP(H201,'8. Uncertainty Results'!$A$203:$D$215,2,FALSE)/1000000</f>
        <v>0.36684257135850085</v>
      </c>
      <c r="I212">
        <f>VLOOKUP(H201,'8. Uncertainty Results'!$A$203:$D$215,3,FALSE)/1000000</f>
        <v>1.9272387365708405</v>
      </c>
      <c r="J212">
        <f>VLOOKUP(H201,'8. Uncertainty Results'!$A$203:$D$215,4,FALSE)/1000000</f>
        <v>9.7366119085476832</v>
      </c>
      <c r="K212">
        <f>VLOOKUP(K201,'8. Uncertainty Results'!$A$203:$D$215,2,FALSE)/1000000</f>
        <v>28.572915147869598</v>
      </c>
      <c r="L212">
        <f>VLOOKUP(K201,'8. Uncertainty Results'!$A$203:$D$215,3,FALSE)/1000000</f>
        <v>36.784589510791825</v>
      </c>
      <c r="M212">
        <f>VLOOKUP(K201,'8. Uncertainty Results'!$A$203:$D$215,4,FALSE)/1000000</f>
        <v>63.986855731934547</v>
      </c>
      <c r="N212">
        <f>VLOOKUP(N201,'8. Uncertainty Results'!$A$203:$D$215,2,FALSE)/1000000</f>
        <v>12.60217290105447</v>
      </c>
      <c r="O212">
        <f>VLOOKUP(N201,'8. Uncertainty Results'!$A$203:$D$215,3,FALSE)/1000000</f>
        <v>19.226978004610444</v>
      </c>
      <c r="P212">
        <f>VLOOKUP(N201,'8. Uncertainty Results'!$A$203:$D$215,4,FALSE)/1000000</f>
        <v>49.036167912910365</v>
      </c>
      <c r="Q212">
        <f>VLOOKUP(Q201,'8. Uncertainty Results'!$A$203:$D$215,2,FALSE)/1000000</f>
        <v>4.9234855062215894</v>
      </c>
      <c r="R212">
        <f>VLOOKUP(Q201,'8. Uncertainty Results'!$A$203:$D$215,3,FALSE)/1000000</f>
        <v>5.37106142092306</v>
      </c>
      <c r="S212">
        <f>VLOOKUP(Q201,'8. Uncertainty Results'!$A$203:$D$215,4,FALSE)/1000000</f>
        <v>5.8389653933930203</v>
      </c>
      <c r="T212">
        <f>VLOOKUP(T201,'8. Uncertainty Results'!$A$203:$D$215,2,FALSE)/1000000</f>
        <v>3.9079818470785299</v>
      </c>
      <c r="U212">
        <f>VLOOKUP(T201,'8. Uncertainty Results'!$A$203:$D$215,3,FALSE)/1000000</f>
        <v>4.2843021047777894</v>
      </c>
      <c r="V212">
        <f>VLOOKUP(T201,'8. Uncertainty Results'!$A$203:$D$215,4,FALSE)/1000000</f>
        <v>4.6474321803099699</v>
      </c>
      <c r="W212">
        <f>VLOOKUP(W201,'8. Uncertainty Results'!$A$203:$D$215,2,FALSE)/1000000</f>
        <v>0.23425673678805656</v>
      </c>
      <c r="X212">
        <f>VLOOKUP(W201,'8. Uncertainty Results'!$A$203:$D$215,3,FALSE)/1000000</f>
        <v>1.1548930353673985</v>
      </c>
      <c r="Y212">
        <f>VLOOKUP(W201,'8. Uncertainty Results'!$A$203:$D$215,4,FALSE)/1000000</f>
        <v>5.5129749020288967</v>
      </c>
    </row>
    <row r="213" spans="1:25" x14ac:dyDescent="0.2">
      <c r="A213" s="36"/>
    </row>
    <row r="215" spans="1:25" x14ac:dyDescent="0.2">
      <c r="A215" s="36" t="s">
        <v>566</v>
      </c>
      <c r="B215" s="481">
        <v>18100204</v>
      </c>
      <c r="C215" s="481"/>
      <c r="D215" s="481"/>
      <c r="E215" s="481">
        <v>16040201</v>
      </c>
      <c r="F215" s="481"/>
      <c r="G215" s="481"/>
      <c r="H215" s="481">
        <v>15030202</v>
      </c>
      <c r="I215" s="481"/>
      <c r="J215" s="481"/>
      <c r="K215" s="481">
        <v>16060011</v>
      </c>
      <c r="L215" s="481"/>
      <c r="M215" s="481"/>
      <c r="N215" s="481">
        <v>16060003</v>
      </c>
      <c r="O215" s="481"/>
      <c r="P215" s="481"/>
      <c r="Q215" s="481">
        <v>16060013</v>
      </c>
      <c r="R215" s="481"/>
      <c r="S215" s="481"/>
      <c r="T215" s="481">
        <v>16060010</v>
      </c>
      <c r="U215" s="481"/>
      <c r="V215" s="481"/>
      <c r="W215" s="481">
        <v>15030201</v>
      </c>
      <c r="X215" s="481"/>
      <c r="Y215" s="481"/>
    </row>
    <row r="216" spans="1:25" x14ac:dyDescent="0.2">
      <c r="A216" s="36"/>
      <c r="B216" s="481" t="s">
        <v>539</v>
      </c>
      <c r="C216" s="481"/>
      <c r="D216" s="481"/>
      <c r="E216" s="481" t="s">
        <v>417</v>
      </c>
      <c r="F216" s="481"/>
      <c r="G216" s="481"/>
      <c r="H216" s="481" t="s">
        <v>418</v>
      </c>
      <c r="I216" s="481"/>
      <c r="J216" s="481"/>
      <c r="K216" s="481" t="s">
        <v>419</v>
      </c>
      <c r="L216" s="481"/>
      <c r="M216" s="481"/>
      <c r="N216" s="481" t="s">
        <v>420</v>
      </c>
      <c r="O216" s="481"/>
      <c r="P216" s="481"/>
      <c r="Q216" s="481" t="s">
        <v>421</v>
      </c>
      <c r="R216" s="481"/>
      <c r="S216" s="481"/>
      <c r="T216" s="481" t="s">
        <v>422</v>
      </c>
      <c r="U216" s="481"/>
      <c r="V216" s="481"/>
      <c r="W216" s="481" t="s">
        <v>423</v>
      </c>
      <c r="X216" s="481"/>
      <c r="Y216" s="481"/>
    </row>
    <row r="217" spans="1:25" x14ac:dyDescent="0.2">
      <c r="A217" s="36"/>
      <c r="B217" s="36" t="s">
        <v>440</v>
      </c>
      <c r="C217" s="36" t="s">
        <v>441</v>
      </c>
      <c r="D217" s="36" t="s">
        <v>442</v>
      </c>
      <c r="E217" s="36" t="s">
        <v>440</v>
      </c>
      <c r="F217" s="36" t="s">
        <v>441</v>
      </c>
      <c r="G217" s="36" t="s">
        <v>442</v>
      </c>
      <c r="H217" s="36" t="s">
        <v>440</v>
      </c>
      <c r="I217" s="36" t="s">
        <v>441</v>
      </c>
      <c r="J217" s="36" t="s">
        <v>442</v>
      </c>
      <c r="K217" s="36" t="s">
        <v>440</v>
      </c>
      <c r="L217" s="36" t="s">
        <v>441</v>
      </c>
      <c r="M217" s="36" t="s">
        <v>442</v>
      </c>
      <c r="N217" s="36" t="s">
        <v>440</v>
      </c>
      <c r="O217" s="36" t="s">
        <v>441</v>
      </c>
      <c r="P217" s="36" t="s">
        <v>442</v>
      </c>
      <c r="Q217" s="36" t="s">
        <v>440</v>
      </c>
      <c r="R217" s="36" t="s">
        <v>441</v>
      </c>
      <c r="S217" s="36" t="s">
        <v>442</v>
      </c>
      <c r="T217" s="36" t="s">
        <v>440</v>
      </c>
      <c r="U217" s="36" t="s">
        <v>441</v>
      </c>
      <c r="V217" s="36" t="s">
        <v>442</v>
      </c>
      <c r="W217" s="36" t="s">
        <v>440</v>
      </c>
      <c r="X217" s="36" t="s">
        <v>441</v>
      </c>
      <c r="Y217" s="36" t="s">
        <v>442</v>
      </c>
    </row>
    <row r="218" spans="1:25" x14ac:dyDescent="0.2">
      <c r="A218" s="36" t="s">
        <v>436</v>
      </c>
      <c r="B218">
        <f>VLOOKUP(B215,'8. Uncertainty Results'!$B$460:$E$472,2,FALSE)*(cubicm/gal)*(day/yr)</f>
        <v>635.11983654395613</v>
      </c>
      <c r="C218">
        <f>B218</f>
        <v>635.11983654395613</v>
      </c>
      <c r="D218">
        <f>B218</f>
        <v>635.11983654395613</v>
      </c>
      <c r="E218">
        <f>VLOOKUP(E215,'8. Uncertainty Results'!$B$460:$E$472,2,FALSE)*(cubicm/gal)*(day/yr)</f>
        <v>105.57634464509907</v>
      </c>
      <c r="F218">
        <f t="shared" ref="F218" si="108">E218</f>
        <v>105.57634464509907</v>
      </c>
      <c r="G218">
        <f t="shared" ref="G218:G219" si="109">E218</f>
        <v>105.57634464509907</v>
      </c>
      <c r="H218">
        <f>VLOOKUP(H215,'8. Uncertainty Results'!$B$460:$E$472,2,FALSE)*(cubicm/gal)*(day/yr)</f>
        <v>35.716443637853835</v>
      </c>
      <c r="I218">
        <f t="shared" ref="I218" si="110">H218</f>
        <v>35.716443637853835</v>
      </c>
      <c r="J218">
        <f t="shared" ref="J218:J219" si="111">H218</f>
        <v>35.716443637853835</v>
      </c>
      <c r="K218">
        <f>VLOOKUP(K215,'8. Uncertainty Results'!$B$460:$E$472,2,FALSE)*(cubicm/gal)*(day/yr)</f>
        <v>45.493738441861822</v>
      </c>
      <c r="L218">
        <f t="shared" ref="L218" si="112">K218</f>
        <v>45.493738441861822</v>
      </c>
      <c r="M218">
        <f t="shared" ref="M218:M219" si="113">K218</f>
        <v>45.493738441861822</v>
      </c>
      <c r="N218">
        <f>VLOOKUP(N215,'8. Uncertainty Results'!$B$460:$E$472,2,FALSE)*(cubicm/gal)*(day/yr)</f>
        <v>26.05098815865275</v>
      </c>
      <c r="O218">
        <f t="shared" ref="O218" si="114">N218</f>
        <v>26.05098815865275</v>
      </c>
      <c r="P218">
        <f t="shared" ref="P218:P219" si="115">N218</f>
        <v>26.05098815865275</v>
      </c>
      <c r="Q218">
        <f>VLOOKUP(Q215,'8. Uncertainty Results'!$B$460:$E$472,2,FALSE)*(cubicm/gal)*(day/yr)</f>
        <v>34.990527999264685</v>
      </c>
      <c r="R218">
        <f t="shared" ref="R218" si="116">Q218</f>
        <v>34.990527999264685</v>
      </c>
      <c r="S218">
        <f t="shared" ref="S218:S219" si="117">Q218</f>
        <v>34.990527999264685</v>
      </c>
      <c r="T218">
        <f>VLOOKUP(T215,'8. Uncertainty Results'!$B$460:$E$472,2,FALSE)*(cubicm/gal)*(day/yr)</f>
        <v>48.996732347662821</v>
      </c>
      <c r="U218">
        <f t="shared" ref="U218" si="118">T218</f>
        <v>48.996732347662821</v>
      </c>
      <c r="V218">
        <f t="shared" ref="V218:V219" si="119">T218</f>
        <v>48.996732347662821</v>
      </c>
      <c r="W218">
        <f>VLOOKUP(W215,'8. Uncertainty Results'!$B$460:$E$472,2,FALSE)*(cubicm/gal)*(day/yr)</f>
        <v>72.773805744733039</v>
      </c>
      <c r="X218">
        <f t="shared" ref="X218" si="120">W218</f>
        <v>72.773805744733039</v>
      </c>
      <c r="Y218">
        <f t="shared" ref="Y218:Y219" si="121">W218</f>
        <v>72.773805744733039</v>
      </c>
    </row>
    <row r="219" spans="1:25" x14ac:dyDescent="0.2">
      <c r="A219" s="36" t="s">
        <v>437</v>
      </c>
      <c r="B219">
        <f>VLOOKUP(B215,'8. Uncertainty Results'!$B$460:$E$472,4,FALSE)*(cubicm/gal)*(day/yr)</f>
        <v>715.22506656210362</v>
      </c>
      <c r="C219">
        <f>B219</f>
        <v>715.22506656210362</v>
      </c>
      <c r="D219">
        <f>B219</f>
        <v>715.22506656210362</v>
      </c>
      <c r="E219">
        <f>VLOOKUP(E215,'8. Uncertainty Results'!$B$460:$E$472,4,FALSE)*(cubicm/gal)*(day/yr)</f>
        <v>321.72856975229149</v>
      </c>
      <c r="F219">
        <f t="shared" ref="F219" si="122">E219</f>
        <v>321.72856975229149</v>
      </c>
      <c r="G219">
        <f t="shared" si="109"/>
        <v>321.72856975229149</v>
      </c>
      <c r="H219">
        <f>VLOOKUP(H215,'8. Uncertainty Results'!$B$460:$E$472,4,FALSE)*(cubicm/gal)*(day/yr)</f>
        <v>90.090299760130051</v>
      </c>
      <c r="I219">
        <f t="shared" ref="I219" si="123">H219</f>
        <v>90.090299760130051</v>
      </c>
      <c r="J219">
        <f t="shared" si="111"/>
        <v>90.090299760130051</v>
      </c>
      <c r="K219">
        <f>VLOOKUP(K215,'8. Uncertainty Results'!$B$460:$E$472,4,FALSE)*(cubicm/gal)*(day/yr)</f>
        <v>89.4560134396325</v>
      </c>
      <c r="L219">
        <f t="shared" ref="L219" si="124">K219</f>
        <v>89.4560134396325</v>
      </c>
      <c r="M219">
        <f t="shared" si="113"/>
        <v>89.4560134396325</v>
      </c>
      <c r="N219">
        <f>VLOOKUP(N215,'8. Uncertainty Results'!$B$460:$E$472,4,FALSE)*(cubicm/gal)*(day/yr)</f>
        <v>98.154531758679852</v>
      </c>
      <c r="O219">
        <f t="shared" ref="O219" si="125">N219</f>
        <v>98.154531758679852</v>
      </c>
      <c r="P219">
        <f t="shared" si="115"/>
        <v>98.154531758679852</v>
      </c>
      <c r="Q219">
        <f>VLOOKUP(Q215,'8. Uncertainty Results'!$B$460:$E$472,4,FALSE)*(cubicm/gal)*(day/yr)</f>
        <v>105.60259289352661</v>
      </c>
      <c r="R219">
        <f t="shared" ref="R219" si="126">Q219</f>
        <v>105.60259289352661</v>
      </c>
      <c r="S219">
        <f t="shared" si="117"/>
        <v>105.60259289352661</v>
      </c>
      <c r="T219">
        <f>VLOOKUP(T215,'8. Uncertainty Results'!$B$460:$E$472,4,FALSE)*(cubicm/gal)*(day/yr)</f>
        <v>101.01738302855959</v>
      </c>
      <c r="U219">
        <f t="shared" ref="U219" si="127">T219</f>
        <v>101.01738302855959</v>
      </c>
      <c r="V219">
        <f t="shared" si="119"/>
        <v>101.01738302855959</v>
      </c>
      <c r="W219">
        <f>VLOOKUP(W215,'8. Uncertainty Results'!$B$460:$E$472,4,FALSE)*(cubicm/gal)*(day/yr)</f>
        <v>225.45972670700448</v>
      </c>
      <c r="X219">
        <f t="shared" ref="X219" si="128">W219</f>
        <v>225.45972670700448</v>
      </c>
      <c r="Y219">
        <f t="shared" si="121"/>
        <v>225.45972670700448</v>
      </c>
    </row>
    <row r="220" spans="1:25" x14ac:dyDescent="0.2">
      <c r="A220" s="36" t="s">
        <v>438</v>
      </c>
      <c r="B220">
        <f>VLOOKUP(B215,'8. Uncertainty Results'!$A$115:$CM$126,2+$A$154,FALSE)*((cubicm/gal)*(day/yr))/B198</f>
        <v>20.873423221501813</v>
      </c>
      <c r="C220">
        <f>VLOOKUP(B215,'8. Uncertainty Results'!$A$115:$CM$126,3+$A$154,FALSE)*((cubicm/gal)*(day/yr))/C198</f>
        <v>14.944657237165899</v>
      </c>
      <c r="D220">
        <f>VLOOKUP(B215,'8. Uncertainty Results'!$A$115:$CM$126,4+$A$154,FALSE)*((cubicm/gal)*(day/yr))/D198</f>
        <v>11.878984447189076</v>
      </c>
      <c r="E220">
        <f>VLOOKUP(E215,'8. Uncertainty Results'!$A$115:$CM$126,2+$A$154,FALSE)*((cubicm/gal)*(day/yr))</f>
        <v>0</v>
      </c>
      <c r="F220">
        <f>VLOOKUP(E215,'8. Uncertainty Results'!$A$115:$CM$126,3+$A$154,FALSE)*((cubicm/gal)*(day/yr))</f>
        <v>0</v>
      </c>
      <c r="G220">
        <f>VLOOKUP(E215,'8. Uncertainty Results'!$A$115:$CM$126,4+$A$154,FALSE)*((cubicm/gal)*(day/yr))</f>
        <v>0</v>
      </c>
      <c r="H220">
        <f>VLOOKUP(H215,'8. Uncertainty Results'!$A$115:$CM$126,2+$A$154,FALSE)*((cubicm/gal)*(day/yr))</f>
        <v>30.942146989561699</v>
      </c>
      <c r="I220">
        <f>VLOOKUP(H215,'8. Uncertainty Results'!$A$115:$CM$126,3+$A$154,FALSE)*((cubicm/gal)*(day/yr))</f>
        <v>33.98768398171336</v>
      </c>
      <c r="J220">
        <f>VLOOKUP(H215,'8. Uncertainty Results'!$A$115:$CM$126,4+$A$154,FALSE)*((cubicm/gal)*(day/yr))</f>
        <v>36.998093309351695</v>
      </c>
      <c r="K220">
        <f>VLOOKUP(K215,'8. Uncertainty Results'!$A$115:$CM$126,2+$A$154,FALSE)*((cubicm/gal)*(day/yr))</f>
        <v>0.12446879976176096</v>
      </c>
      <c r="L220">
        <f>VLOOKUP(K215,'8. Uncertainty Results'!$A$115:$CM$126,3+$A$154,FALSE)*((cubicm/gal)*(day/yr))</f>
        <v>0.13663993841957922</v>
      </c>
      <c r="M220">
        <f>VLOOKUP(K215,'8. Uncertainty Results'!$A$115:$CM$126,4+$A$154,FALSE)*((cubicm/gal)*(day/yr))</f>
        <v>0.14883692183660527</v>
      </c>
      <c r="N220">
        <f>VLOOKUP(N215,'8. Uncertainty Results'!$A$115:$CM$126,2+$A$154,FALSE)*((cubicm/gal)*(day/yr))</f>
        <v>8.3014939753922753E-2</v>
      </c>
      <c r="O220">
        <f>VLOOKUP(N215,'8. Uncertainty Results'!$A$115:$CM$126,3+$A$154,FALSE)*((cubicm/gal)*(day/yr))</f>
        <v>9.0935104782197324E-2</v>
      </c>
      <c r="P220">
        <f>VLOOKUP(N215,'8. Uncertainty Results'!$A$115:$CM$126,4+$A$154,FALSE)*((cubicm/gal)*(day/yr))</f>
        <v>9.8994956582603127E-2</v>
      </c>
      <c r="Q220">
        <f>VLOOKUP(Q215,'8. Uncertainty Results'!$A$115:$CM$126,2+$A$154,FALSE)*((cubicm/gal)*(day/yr))</f>
        <v>0.12398870694264907</v>
      </c>
      <c r="R220">
        <f>VLOOKUP(Q215,'8. Uncertainty Results'!$A$115:$CM$126,3+$A$154,FALSE)*((cubicm/gal)*(day/yr))</f>
        <v>0.13631255632872882</v>
      </c>
      <c r="S220">
        <f>VLOOKUP(Q215,'8. Uncertainty Results'!$A$115:$CM$126,4+$A$154,FALSE)*((cubicm/gal)*(day/yr))</f>
        <v>0.14837060567347052</v>
      </c>
      <c r="T220">
        <f>VLOOKUP(T215,'8. Uncertainty Results'!$A$115:$CM$126,2+$A$154,FALSE)*((cubicm/gal)*(day/yr))</f>
        <v>20.25052359673818</v>
      </c>
      <c r="U220">
        <f>VLOOKUP(T215,'8. Uncertainty Results'!$A$115:$CM$126,3+$A$154,FALSE)*((cubicm/gal)*(day/yr))</f>
        <v>21.734006023319044</v>
      </c>
      <c r="V220">
        <f>VLOOKUP(T215,'8. Uncertainty Results'!$A$115:$CM$126,4+$A$154,FALSE)*((cubicm/gal)*(day/yr))</f>
        <v>23.202771854469688</v>
      </c>
      <c r="W220">
        <f>VLOOKUP(W215,'8. Uncertainty Results'!$A$115:$CM$126,2+$A$154,FALSE)*((cubicm/gal)*(day/yr))</f>
        <v>30.993662539679004</v>
      </c>
      <c r="X220">
        <f>VLOOKUP(W215,'8. Uncertainty Results'!$A$115:$CM$126,3+$A$154,FALSE)*((cubicm/gal)*(day/yr))</f>
        <v>33.969467598672082</v>
      </c>
      <c r="Y220">
        <f>VLOOKUP(W215,'8. Uncertainty Results'!$A$115:$CM$126,4+$A$154,FALSE)*((cubicm/gal)*(day/yr))</f>
        <v>36.918389464335554</v>
      </c>
    </row>
    <row r="221" spans="1:25" x14ac:dyDescent="0.2">
      <c r="A221" s="36" t="s">
        <v>400</v>
      </c>
      <c r="B221">
        <f>VLOOKUP(B215,'8. Uncertainty Results'!$A$115:$CM$126,17+$A$154,FALSE)*((cubicm/gal)*(day/yr))/B198</f>
        <v>38.677918387872737</v>
      </c>
      <c r="C221">
        <f>VLOOKUP(B215,'8. Uncertainty Results'!$A$115:$CM$126,18+$A$154,FALSE)*((cubicm/gal)*(day/yr))/C198</f>
        <v>27.109299900917989</v>
      </c>
      <c r="D221">
        <f>VLOOKUP(B215,'8. Uncertainty Results'!$A$115:$CM$126,19+$A$154,FALSE)*((cubicm/gal)*(day/yr))/D198</f>
        <v>21.439649245718574</v>
      </c>
      <c r="E221">
        <f>VLOOKUP(E215,'8. Uncertainty Results'!$A$115:$CM$126,17+$A$154,FALSE)*((cubicm/gal)*(day/yr))</f>
        <v>4.6915498054837022</v>
      </c>
      <c r="F221">
        <f>VLOOKUP(E215,'8. Uncertainty Results'!$A$115:$CM$126,18+$A$154,FALSE)*((cubicm/gal)*(day/yr))</f>
        <v>5.0230770546122709</v>
      </c>
      <c r="G221">
        <f>VLOOKUP(E215,'8. Uncertainty Results'!$A$115:$CM$126,19+$A$154,FALSE)*((cubicm/gal)*(day/yr))</f>
        <v>5.3679892644267584</v>
      </c>
      <c r="H221">
        <f>VLOOKUP(H215,'8. Uncertainty Results'!$A$115:$CM$126,17+$A$154,FALSE)*((cubicm/gal)*(day/yr))</f>
        <v>68.421141812017268</v>
      </c>
      <c r="I221">
        <f>VLOOKUP(H215,'8. Uncertainty Results'!$A$115:$CM$126,18+$A$154,FALSE)*((cubicm/gal)*(day/yr))</f>
        <v>74.415339755041529</v>
      </c>
      <c r="J221">
        <f>VLOOKUP(H215,'8. Uncertainty Results'!$A$115:$CM$126,19+$A$154,FALSE)*((cubicm/gal)*(day/yr))</f>
        <v>80.920773405904612</v>
      </c>
      <c r="K221">
        <f>VLOOKUP(K215,'8. Uncertainty Results'!$A$115:$CM$126,17+$A$154,FALSE)*((cubicm/gal)*(day/yr))</f>
        <v>9.347049088233911</v>
      </c>
      <c r="L221">
        <f>VLOOKUP(K215,'8. Uncertainty Results'!$A$115:$CM$126,18+$A$154,FALSE)*((cubicm/gal)*(day/yr))</f>
        <v>10.448414105107904</v>
      </c>
      <c r="M221">
        <f>VLOOKUP(K215,'8. Uncertainty Results'!$A$115:$CM$126,19+$A$154,FALSE)*((cubicm/gal)*(day/yr))</f>
        <v>11.727277789274698</v>
      </c>
      <c r="N221">
        <f>VLOOKUP(N215,'8. Uncertainty Results'!$A$115:$CM$126,17+$A$154,FALSE)*((cubicm/gal)*(day/yr))</f>
        <v>6.5259712997258328</v>
      </c>
      <c r="O221">
        <f>VLOOKUP(N215,'8. Uncertainty Results'!$A$115:$CM$126,18+$A$154,FALSE)*((cubicm/gal)*(day/yr))</f>
        <v>7.241718036420961</v>
      </c>
      <c r="P221">
        <f>VLOOKUP(N215,'8. Uncertainty Results'!$A$115:$CM$126,19+$A$154,FALSE)*((cubicm/gal)*(day/yr))</f>
        <v>8.1270058907165286</v>
      </c>
      <c r="Q221">
        <f>VLOOKUP(Q215,'8. Uncertainty Results'!$A$115:$CM$126,17+$A$154,FALSE)*((cubicm/gal)*(day/yr))</f>
        <v>9.3536314562078449</v>
      </c>
      <c r="R221">
        <f>VLOOKUP(Q215,'8. Uncertainty Results'!$A$115:$CM$126,18+$A$154,FALSE)*((cubicm/gal)*(day/yr))</f>
        <v>10.40996041351837</v>
      </c>
      <c r="S221">
        <f>VLOOKUP(Q215,'8. Uncertainty Results'!$A$115:$CM$126,19+$A$154,FALSE)*((cubicm/gal)*(day/yr))</f>
        <v>11.726565641344711</v>
      </c>
      <c r="T221">
        <f>VLOOKUP(T215,'8. Uncertainty Results'!$A$115:$CM$126,17+$A$154,FALSE)*((cubicm/gal)*(day/yr))</f>
        <v>1.3886770152118311</v>
      </c>
      <c r="U221">
        <f>VLOOKUP(T215,'8. Uncertainty Results'!$A$115:$CM$126,18+$A$154,FALSE)*((cubicm/gal)*(day/yr))</f>
        <v>1.502473997791957</v>
      </c>
      <c r="V221">
        <f>VLOOKUP(T215,'8. Uncertainty Results'!$A$115:$CM$126,19+$A$154,FALSE)*((cubicm/gal)*(day/yr))</f>
        <v>1.6361904986003895</v>
      </c>
      <c r="W221">
        <f>VLOOKUP(W215,'8. Uncertainty Results'!$A$115:$CM$126,17+$A$154,FALSE)*((cubicm/gal)*(day/yr))</f>
        <v>68.542065586569464</v>
      </c>
      <c r="X221">
        <f>VLOOKUP(W215,'8. Uncertainty Results'!$A$115:$CM$126,18+$A$154,FALSE)*((cubicm/gal)*(day/yr))</f>
        <v>74.526981429247542</v>
      </c>
      <c r="Y221">
        <f>VLOOKUP(W215,'8. Uncertainty Results'!$A$115:$CM$126,19+$A$154,FALSE)*((cubicm/gal)*(day/yr))</f>
        <v>80.923174145868472</v>
      </c>
    </row>
    <row r="222" spans="1:25" x14ac:dyDescent="0.2">
      <c r="A222" s="36" t="s">
        <v>401</v>
      </c>
      <c r="B222">
        <f>VLOOKUP(B215,'8. Uncertainty Results'!$A$115:$CM$126,32+$A$154,FALSE)*((cubicm/gal)*(day/yr))/B198</f>
        <v>0</v>
      </c>
      <c r="C222">
        <f>VLOOKUP(B215,'8. Uncertainty Results'!$A$115:$CM$126,33+$A$154,FALSE)*((cubicm/gal)*(day/yr))/C198</f>
        <v>0</v>
      </c>
      <c r="D222">
        <f>VLOOKUP(B215,'8. Uncertainty Results'!$A$115:$CM$126,34+$A$154,FALSE)*((cubicm/gal)*(day/yr))/D198</f>
        <v>0</v>
      </c>
      <c r="E222">
        <f>VLOOKUP(E215,'8. Uncertainty Results'!$A$115:$CM$126,32+$A$154,FALSE)*((cubicm/gal)*(day/yr))</f>
        <v>0</v>
      </c>
      <c r="F222">
        <f>VLOOKUP(E215,'8. Uncertainty Results'!$A$115:$CM$126,33+$A$154,FALSE)*((cubicm/gal)*(day/yr))</f>
        <v>0</v>
      </c>
      <c r="G222">
        <f>VLOOKUP(E215,'8. Uncertainty Results'!$A$115:$CM$126,34+$A$154,FALSE)*((cubicm/gal)*(day/yr))</f>
        <v>0</v>
      </c>
      <c r="H222">
        <f>VLOOKUP(H215,'8. Uncertainty Results'!$A$115:$CM$126,32+$A$154,FALSE)*((cubicm/gal)*(day/yr))</f>
        <v>0</v>
      </c>
      <c r="I222">
        <f>VLOOKUP(H215,'8. Uncertainty Results'!$A$115:$CM$126,33+$A$154,FALSE)*((cubicm/gal)*(day/yr))</f>
        <v>0</v>
      </c>
      <c r="J222">
        <f>VLOOKUP(H215,'8. Uncertainty Results'!$A$115:$CM$126,34+$A$154,FALSE)*((cubicm/gal)*(day/yr))</f>
        <v>0</v>
      </c>
      <c r="K222">
        <f>VLOOKUP(K215,'8. Uncertainty Results'!$A$115:$CM$126,32+$A$154,FALSE)*((cubicm/gal)*(day/yr))</f>
        <v>0</v>
      </c>
      <c r="L222">
        <f>VLOOKUP(K215,'8. Uncertainty Results'!$A$115:$CM$126,33+$A$154,FALSE)*((cubicm/gal)*(day/yr))</f>
        <v>0</v>
      </c>
      <c r="M222">
        <f>VLOOKUP(K215,'8. Uncertainty Results'!$A$115:$CM$126,34+$A$154,FALSE)*((cubicm/gal)*(day/yr))</f>
        <v>0</v>
      </c>
      <c r="N222">
        <f>VLOOKUP(N215,'8. Uncertainty Results'!$A$115:$CM$126,32+$A$154,FALSE)*((cubicm/gal)*(day/yr))</f>
        <v>0</v>
      </c>
      <c r="O222">
        <f>VLOOKUP(N215,'8. Uncertainty Results'!$A$115:$CM$126,33+$A$154,FALSE)*((cubicm/gal)*(day/yr))</f>
        <v>0</v>
      </c>
      <c r="P222">
        <f>VLOOKUP(N215,'8. Uncertainty Results'!$A$115:$CM$126,34+$A$154,FALSE)*((cubicm/gal)*(day/yr))</f>
        <v>0</v>
      </c>
      <c r="Q222">
        <f>VLOOKUP(Q215,'8. Uncertainty Results'!$A$115:$CM$126,32+$A$154,FALSE)*((cubicm/gal)*(day/yr))</f>
        <v>0</v>
      </c>
      <c r="R222">
        <f>VLOOKUP(Q215,'8. Uncertainty Results'!$A$115:$CM$126,33+$A$154,FALSE)*((cubicm/gal)*(day/yr))</f>
        <v>0</v>
      </c>
      <c r="S222">
        <f>VLOOKUP(Q215,'8. Uncertainty Results'!$A$115:$CM$126,34+$A$154,FALSE)*((cubicm/gal)*(day/yr))</f>
        <v>0</v>
      </c>
      <c r="T222">
        <f>VLOOKUP(T215,'8. Uncertainty Results'!$A$115:$CM$126,32+$A$154,FALSE)*((cubicm/gal)*(day/yr))</f>
        <v>0</v>
      </c>
      <c r="U222">
        <f>VLOOKUP(T215,'8. Uncertainty Results'!$A$115:$CM$126,33+$A$154,FALSE)*((cubicm/gal)*(day/yr))</f>
        <v>0</v>
      </c>
      <c r="V222">
        <f>VLOOKUP(T215,'8. Uncertainty Results'!$A$115:$CM$126,34+$A$154,FALSE)*((cubicm/gal)*(day/yr))</f>
        <v>0</v>
      </c>
      <c r="W222">
        <f>VLOOKUP(W215,'8. Uncertainty Results'!$A$115:$CM$126,32+$A$154,FALSE)*((cubicm/gal)*(day/yr))</f>
        <v>0</v>
      </c>
      <c r="X222">
        <f>VLOOKUP(W215,'8. Uncertainty Results'!$A$115:$CM$126,33+$A$154,FALSE)*((cubicm/gal)*(day/yr))</f>
        <v>0</v>
      </c>
      <c r="Y222">
        <f>VLOOKUP(W215,'8. Uncertainty Results'!$A$115:$CM$126,34+$A$154,FALSE)*((cubicm/gal)*(day/yr))</f>
        <v>0</v>
      </c>
    </row>
    <row r="223" spans="1:25" x14ac:dyDescent="0.2">
      <c r="A223" s="36" t="s">
        <v>402</v>
      </c>
      <c r="B223">
        <f>VLOOKUP(B215,'8. Uncertainty Results'!$A$115:$CM$126,47+$A$154,FALSE)*((cubicm/gal)*(day/yr))/B198</f>
        <v>649.91051142352501</v>
      </c>
      <c r="C223">
        <f>VLOOKUP(B215,'8. Uncertainty Results'!$A$115:$CM$126,48+$A$154,FALSE)*((cubicm/gal)*(day/yr))/C198</f>
        <v>796.67647266869972</v>
      </c>
      <c r="D223">
        <f>VLOOKUP(B215,'8. Uncertainty Results'!$A$115:$CM$126,49+$A$154,FALSE)*((cubicm/gal)*(day/yr))/D198</f>
        <v>946.50100001225599</v>
      </c>
      <c r="E223">
        <f>VLOOKUP(E215,'8. Uncertainty Results'!$A$115:$CM$126,47+$A$154,FALSE)*((cubicm/gal)*(day/yr))</f>
        <v>231.45215020324275</v>
      </c>
      <c r="F223">
        <f>VLOOKUP(E215,'8. Uncertainty Results'!$A$115:$CM$126,48+$A$154,FALSE)*((cubicm/gal)*(day/yr))</f>
        <v>329.54150327101723</v>
      </c>
      <c r="G223">
        <f>VLOOKUP(E215,'8. Uncertainty Results'!$A$115:$CM$126,49+$A$154,FALSE)*((cubicm/gal)*(day/yr))</f>
        <v>443.78433309362521</v>
      </c>
      <c r="H223">
        <f>VLOOKUP(H215,'8. Uncertainty Results'!$A$115:$CM$126,47+$A$154,FALSE)*((cubicm/gal)*(day/yr))</f>
        <v>31.818876410153287</v>
      </c>
      <c r="I223">
        <f>VLOOKUP(H215,'8. Uncertainty Results'!$A$115:$CM$126,48+$A$154,FALSE)*((cubicm/gal)*(day/yr))</f>
        <v>50.414946560815743</v>
      </c>
      <c r="J223">
        <f>VLOOKUP(H215,'8. Uncertainty Results'!$A$115:$CM$126,49+$A$154,FALSE)*((cubicm/gal)*(day/yr))</f>
        <v>75.756679313003644</v>
      </c>
      <c r="K223">
        <f>VLOOKUP(K215,'8. Uncertainty Results'!$A$115:$CM$126,47+$A$154,FALSE)*((cubicm/gal)*(day/yr))</f>
        <v>13.839189700514794</v>
      </c>
      <c r="L223">
        <f>VLOOKUP(K215,'8. Uncertainty Results'!$A$115:$CM$126,48+$A$154,FALSE)*((cubicm/gal)*(day/yr))</f>
        <v>22.526731711953367</v>
      </c>
      <c r="M223">
        <f>VLOOKUP(K215,'8. Uncertainty Results'!$A$115:$CM$126,49+$A$154,FALSE)*((cubicm/gal)*(day/yr))</f>
        <v>34.60496883661672</v>
      </c>
      <c r="N223">
        <f>VLOOKUP(N215,'8. Uncertainty Results'!$A$115:$CM$126,47+$A$154,FALSE)*((cubicm/gal)*(day/yr))</f>
        <v>10.257986136770231</v>
      </c>
      <c r="O223">
        <f>VLOOKUP(N215,'8. Uncertainty Results'!$A$115:$CM$126,48+$A$154,FALSE)*((cubicm/gal)*(day/yr))</f>
        <v>16.484268823236203</v>
      </c>
      <c r="P223">
        <f>VLOOKUP(N215,'8. Uncertainty Results'!$A$115:$CM$126,49+$A$154,FALSE)*((cubicm/gal)*(day/yr))</f>
        <v>25.12499663982258</v>
      </c>
      <c r="Q223">
        <f>VLOOKUP(Q215,'8. Uncertainty Results'!$A$115:$CM$126,47+$A$154,FALSE)*((cubicm/gal)*(day/yr))</f>
        <v>13.744785914037461</v>
      </c>
      <c r="R223">
        <f>VLOOKUP(Q215,'8. Uncertainty Results'!$A$115:$CM$126,48+$A$154,FALSE)*((cubicm/gal)*(day/yr))</f>
        <v>22.590417894844077</v>
      </c>
      <c r="S223">
        <f>VLOOKUP(Q215,'8. Uncertainty Results'!$A$115:$CM$126,49+$A$154,FALSE)*((cubicm/gal)*(day/yr))</f>
        <v>34.44172662076992</v>
      </c>
      <c r="T223">
        <f>VLOOKUP(T215,'8. Uncertainty Results'!$A$115:$CM$126,47+$A$154,FALSE)*((cubicm/gal)*(day/yr))</f>
        <v>9.419736632035713</v>
      </c>
      <c r="U223">
        <f>VLOOKUP(T215,'8. Uncertainty Results'!$A$115:$CM$126,48+$A$154,FALSE)*((cubicm/gal)*(day/yr))</f>
        <v>15.636625770094977</v>
      </c>
      <c r="V223">
        <f>VLOOKUP(T215,'8. Uncertainty Results'!$A$115:$CM$126,49+$A$154,FALSE)*((cubicm/gal)*(day/yr))</f>
        <v>23.603120491086845</v>
      </c>
      <c r="W223">
        <f>VLOOKUP(W215,'8. Uncertainty Results'!$A$115:$CM$126,47+$A$154,FALSE)*((cubicm/gal)*(day/yr))</f>
        <v>31.00279929787424</v>
      </c>
      <c r="X223">
        <f>VLOOKUP(W215,'8. Uncertainty Results'!$A$115:$CM$126,48+$A$154,FALSE)*((cubicm/gal)*(day/yr))</f>
        <v>50.021716662598969</v>
      </c>
      <c r="Y223">
        <f>VLOOKUP(W215,'8. Uncertainty Results'!$A$115:$CM$126,49+$A$154,FALSE)*((cubicm/gal)*(day/yr))</f>
        <v>76.408894316194022</v>
      </c>
    </row>
    <row r="224" spans="1:25" x14ac:dyDescent="0.2">
      <c r="A224" s="36" t="s">
        <v>403</v>
      </c>
      <c r="B224">
        <f>VLOOKUP(B215,'8. Uncertainty Results'!$A$115:$CM$126,62+$A$154,FALSE)*((cubicm/gal)*(day/yr))/B198</f>
        <v>5.7012107106170671</v>
      </c>
      <c r="C224">
        <f>VLOOKUP(B215,'8. Uncertainty Results'!$A$115:$CM$126,63+$A$154,FALSE)*((cubicm/gal)*(day/yr))/C198</f>
        <v>3.912692838858987</v>
      </c>
      <c r="D224">
        <f>VLOOKUP(B215,'8. Uncertainty Results'!$A$115:$CM$126,64+$A$154,FALSE)*((cubicm/gal)*(day/yr))/D198</f>
        <v>3.0093927058541894</v>
      </c>
      <c r="E224">
        <f>VLOOKUP(E215,'8. Uncertainty Results'!$A$115:$CM$126,62+$A$154,FALSE)*((cubicm/gal)*(day/yr))</f>
        <v>1.2217424859342929</v>
      </c>
      <c r="F224">
        <f>VLOOKUP(E215,'8. Uncertainty Results'!$A$115:$CM$126,63+$A$154,FALSE)*((cubicm/gal)*(day/yr))</f>
        <v>1.2729787455958945</v>
      </c>
      <c r="G224">
        <f>VLOOKUP(E215,'8. Uncertainty Results'!$A$115:$CM$126,64+$A$154,FALSE)*((cubicm/gal)*(day/yr))</f>
        <v>1.328216210430182</v>
      </c>
      <c r="H224">
        <f>VLOOKUP(H215,'8. Uncertainty Results'!$A$115:$CM$126,62+$A$154,FALSE)*((cubicm/gal)*(day/yr))</f>
        <v>0.57310952629708778</v>
      </c>
      <c r="I224">
        <f>VLOOKUP(H215,'8. Uncertainty Results'!$A$115:$CM$126,63+$A$154,FALSE)*((cubicm/gal)*(day/yr))</f>
        <v>0.60361114842827102</v>
      </c>
      <c r="J224">
        <f>VLOOKUP(H215,'8. Uncertainty Results'!$A$115:$CM$126,64+$A$154,FALSE)*((cubicm/gal)*(day/yr))</f>
        <v>0.63620168522909981</v>
      </c>
      <c r="K224">
        <f>VLOOKUP(K215,'8. Uncertainty Results'!$A$115:$CM$126,62+$A$154,FALSE)*((cubicm/gal)*(day/yr))</f>
        <v>0.31855353836051736</v>
      </c>
      <c r="L224">
        <f>VLOOKUP(K215,'8. Uncertainty Results'!$A$115:$CM$126,63+$A$154,FALSE)*((cubicm/gal)*(day/yr))</f>
        <v>0.33539368301848693</v>
      </c>
      <c r="M224">
        <f>VLOOKUP(K215,'8. Uncertainty Results'!$A$115:$CM$126,64+$A$154,FALSE)*((cubicm/gal)*(day/yr))</f>
        <v>0.3532482662956335</v>
      </c>
      <c r="N224">
        <f>VLOOKUP(N215,'8. Uncertainty Results'!$A$115:$CM$126,62+$A$154,FALSE)*((cubicm/gal)*(day/yr))</f>
        <v>0.22457637524029117</v>
      </c>
      <c r="O224">
        <f>VLOOKUP(N215,'8. Uncertainty Results'!$A$115:$CM$126,63+$A$154,FALSE)*((cubicm/gal)*(day/yr))</f>
        <v>0.23635789320339576</v>
      </c>
      <c r="P224">
        <f>VLOOKUP(N215,'8. Uncertainty Results'!$A$115:$CM$126,64+$A$154,FALSE)*((cubicm/gal)*(day/yr))</f>
        <v>0.24900932107821402</v>
      </c>
      <c r="Q224">
        <f>VLOOKUP(Q215,'8. Uncertainty Results'!$A$115:$CM$126,62+$A$154,FALSE)*((cubicm/gal)*(day/yr))</f>
        <v>0.31828466291753488</v>
      </c>
      <c r="R224">
        <f>VLOOKUP(Q215,'8. Uncertainty Results'!$A$115:$CM$126,63+$A$154,FALSE)*((cubicm/gal)*(day/yr))</f>
        <v>0.33541837315045564</v>
      </c>
      <c r="S224">
        <f>VLOOKUP(Q215,'8. Uncertainty Results'!$A$115:$CM$126,64+$A$154,FALSE)*((cubicm/gal)*(day/yr))</f>
        <v>0.35320471380387691</v>
      </c>
      <c r="T224">
        <f>VLOOKUP(T215,'8. Uncertainty Results'!$A$115:$CM$126,62+$A$154,FALSE)*((cubicm/gal)*(day/yr))</f>
        <v>0.11515755309888193</v>
      </c>
      <c r="U224">
        <f>VLOOKUP(T215,'8. Uncertainty Results'!$A$115:$CM$126,63+$A$154,FALSE)*((cubicm/gal)*(day/yr))</f>
        <v>0.11915025894190827</v>
      </c>
      <c r="V224">
        <f>VLOOKUP(T215,'8. Uncertainty Results'!$A$115:$CM$126,64+$A$154,FALSE)*((cubicm/gal)*(day/yr))</f>
        <v>0.12342711171717154</v>
      </c>
      <c r="W224">
        <f>VLOOKUP(W215,'8. Uncertainty Results'!$A$115:$CM$126,62+$A$154,FALSE)*((cubicm/gal)*(day/yr))</f>
        <v>0.57274747766935818</v>
      </c>
      <c r="X224">
        <f>VLOOKUP(W215,'8. Uncertainty Results'!$A$115:$CM$126,63+$A$154,FALSE)*((cubicm/gal)*(day/yr))</f>
        <v>0.60335251226478614</v>
      </c>
      <c r="Y224">
        <f>VLOOKUP(W215,'8. Uncertainty Results'!$A$115:$CM$126,64+$A$154,FALSE)*((cubicm/gal)*(day/yr))</f>
        <v>0.63592485311735603</v>
      </c>
    </row>
    <row r="225" spans="1:25" x14ac:dyDescent="0.2">
      <c r="A225" s="36" t="s">
        <v>439</v>
      </c>
      <c r="B225">
        <f>VLOOKUP(B215,'8. Uncertainty Results'!$A$115:$CM$126,77+$A$154,FALSE)*((cubicm/gal)*(day/yr))/B198</f>
        <v>0</v>
      </c>
      <c r="C225">
        <f>VLOOKUP(B215,'8. Uncertainty Results'!$A$115:$CM$126,78+$A$154,FALSE)*((cubicm/gal)*(day/yr))/C198</f>
        <v>0</v>
      </c>
      <c r="D225">
        <f>VLOOKUP(B215,'8. Uncertainty Results'!$A$115:$CM$126,79+$A$154,FALSE)*((cubicm/gal)*(day/yr))/D198</f>
        <v>0</v>
      </c>
      <c r="E225">
        <f>VLOOKUP(E215,'8. Uncertainty Results'!$A$115:$CM$126,77+$A$154,FALSE)*((cubicm/gal)*(day/yr))</f>
        <v>1.4193042283042498</v>
      </c>
      <c r="F225">
        <f>VLOOKUP(E215,'8. Uncertainty Results'!$A$115:$CM$126,78+$A$154,FALSE)*((cubicm/gal)*(day/yr))</f>
        <v>1.6951801020973785</v>
      </c>
      <c r="G225">
        <f>VLOOKUP(E215,'8. Uncertainty Results'!$A$115:$CM$126,79+$A$154,FALSE)*((cubicm/gal)*(day/yr))</f>
        <v>2.0282318472951979</v>
      </c>
      <c r="H225">
        <f>VLOOKUP(H215,'8. Uncertainty Results'!$A$115:$CM$126,77+$A$154,FALSE)*((cubicm/gal)*(day/yr))</f>
        <v>2.9452729472594785</v>
      </c>
      <c r="I225">
        <f>VLOOKUP(H215,'8. Uncertainty Results'!$A$115:$CM$126,78+$A$154,FALSE)*((cubicm/gal)*(day/yr))</f>
        <v>3.7260291621556307</v>
      </c>
      <c r="J225">
        <f>VLOOKUP(H215,'8. Uncertainty Results'!$A$115:$CM$126,79+$A$154,FALSE)*((cubicm/gal)*(day/yr))</f>
        <v>4.6995502875179147</v>
      </c>
      <c r="K225">
        <f>VLOOKUP(K215,'8. Uncertainty Results'!$A$115:$CM$126,77+$A$154,FALSE)*((cubicm/gal)*(day/yr))</f>
        <v>0</v>
      </c>
      <c r="L225">
        <f>VLOOKUP(K215,'8. Uncertainty Results'!$A$115:$CM$126,78+$A$154,FALSE)*((cubicm/gal)*(day/yr))</f>
        <v>0</v>
      </c>
      <c r="M225">
        <f>VLOOKUP(K215,'8. Uncertainty Results'!$A$115:$CM$126,79+$A$154,FALSE)*((cubicm/gal)*(day/yr))</f>
        <v>0</v>
      </c>
      <c r="N225">
        <f>VLOOKUP(N215,'8. Uncertainty Results'!$A$115:$CM$126,77+$A$154,FALSE)*((cubicm/gal)*(day/yr))</f>
        <v>0</v>
      </c>
      <c r="O225">
        <f>VLOOKUP(N215,'8. Uncertainty Results'!$A$115:$CM$126,78+$A$154,FALSE)*((cubicm/gal)*(day/yr))</f>
        <v>0</v>
      </c>
      <c r="P225">
        <f>VLOOKUP(N215,'8. Uncertainty Results'!$A$115:$CM$126,79+$A$154,FALSE)*((cubicm/gal)*(day/yr))</f>
        <v>0</v>
      </c>
      <c r="Q225">
        <f>VLOOKUP(Q215,'8. Uncertainty Results'!$A$115:$CM$126,77+$A$154,FALSE)*((cubicm/gal)*(day/yr))</f>
        <v>0</v>
      </c>
      <c r="R225">
        <f>VLOOKUP(Q215,'8. Uncertainty Results'!$A$115:$CM$126,78+$A$154,FALSE)*((cubicm/gal)*(day/yr))</f>
        <v>0</v>
      </c>
      <c r="S225">
        <f>VLOOKUP(Q215,'8. Uncertainty Results'!$A$115:$CM$126,79+$A$154,FALSE)*((cubicm/gal)*(day/yr))</f>
        <v>0</v>
      </c>
      <c r="T225">
        <f>VLOOKUP(T215,'8. Uncertainty Results'!$A$115:$CM$126,77+$A$154,FALSE)*((cubicm/gal)*(day/yr))</f>
        <v>0</v>
      </c>
      <c r="U225">
        <f>VLOOKUP(T215,'8. Uncertainty Results'!$A$115:$CM$126,78+$A$154,FALSE)*((cubicm/gal)*(day/yr))</f>
        <v>0</v>
      </c>
      <c r="V225">
        <f>VLOOKUP(T215,'8. Uncertainty Results'!$A$115:$CM$126,79+$A$154,FALSE)*((cubicm/gal)*(day/yr))</f>
        <v>0</v>
      </c>
      <c r="W225">
        <f>VLOOKUP(W215,'8. Uncertainty Results'!$A$115:$CM$126,77+$A$154,FALSE)*((cubicm/gal)*(day/yr))</f>
        <v>2.9496149500500159</v>
      </c>
      <c r="X225">
        <f>VLOOKUP(W215,'8. Uncertainty Results'!$A$115:$CM$126,78+$A$154,FALSE)*((cubicm/gal)*(day/yr))</f>
        <v>3.7209481117811087</v>
      </c>
      <c r="Y225">
        <f>VLOOKUP(W215,'8. Uncertainty Results'!$A$115:$CM$126,79+$A$154,FALSE)*((cubicm/gal)*(day/yr))</f>
        <v>4.6880816753673509</v>
      </c>
    </row>
    <row r="226" spans="1:25" x14ac:dyDescent="0.2">
      <c r="A226" s="36" t="s">
        <v>492</v>
      </c>
      <c r="B226">
        <f>VLOOKUP(B215,'8. Uncertainty Results'!$A$203:$D$215,2,FALSE)/1000000/B198</f>
        <v>22.19928637592842</v>
      </c>
      <c r="C226">
        <f>VLOOKUP(B215,'8. Uncertainty Results'!$A$203:$D$215,3,FALSE)/1000000/C198</f>
        <v>16.169903278354703</v>
      </c>
      <c r="D226">
        <f>VLOOKUP(B215,'8. Uncertainty Results'!$A$203:$D$215,4,FALSE)/1000000/D198</f>
        <v>13.042764708652344</v>
      </c>
      <c r="E226">
        <f>VLOOKUP(E215,'8. Uncertainty Results'!$A$203:$D$215,2,FALSE)/1000000</f>
        <v>30.329777237026992</v>
      </c>
      <c r="F226">
        <f>VLOOKUP(E215,'8. Uncertainty Results'!$A$203:$D$215,3,FALSE)/1000000</f>
        <v>34.810209497471384</v>
      </c>
      <c r="G226">
        <f>VLOOKUP(E215,'8. Uncertainty Results'!$A$203:$D$215,4,FALSE)/1000000</f>
        <v>39.804593895523155</v>
      </c>
      <c r="H226">
        <f>VLOOKUP(H215,'8. Uncertainty Results'!$A$203:$D$215,2,FALSE)/1000000</f>
        <v>0.36684257135850085</v>
      </c>
      <c r="I226">
        <f>VLOOKUP(H215,'8. Uncertainty Results'!$A$203:$D$215,3,FALSE)/1000000</f>
        <v>1.9272387365708405</v>
      </c>
      <c r="J226">
        <f>VLOOKUP(H215,'8. Uncertainty Results'!$A$203:$D$215,4,FALSE)/1000000</f>
        <v>9.7366119085476832</v>
      </c>
      <c r="K226">
        <f>VLOOKUP(K215,'8. Uncertainty Results'!$A$203:$D$215,2,FALSE)/1000000</f>
        <v>28.572915147869598</v>
      </c>
      <c r="L226">
        <f>VLOOKUP(K215,'8. Uncertainty Results'!$A$203:$D$215,3,FALSE)/1000000</f>
        <v>36.784589510791825</v>
      </c>
      <c r="M226">
        <f>VLOOKUP(K215,'8. Uncertainty Results'!$A$203:$D$215,4,FALSE)/1000000</f>
        <v>63.986855731934547</v>
      </c>
      <c r="N226">
        <f>VLOOKUP(N215,'8. Uncertainty Results'!$A$203:$D$215,2,FALSE)/1000000</f>
        <v>12.60217290105447</v>
      </c>
      <c r="O226">
        <f>VLOOKUP(N215,'8. Uncertainty Results'!$A$203:$D$215,3,FALSE)/1000000</f>
        <v>19.226978004610444</v>
      </c>
      <c r="P226">
        <f>VLOOKUP(N215,'8. Uncertainty Results'!$A$203:$D$215,4,FALSE)/1000000</f>
        <v>49.036167912910365</v>
      </c>
      <c r="Q226">
        <f>VLOOKUP(Q215,'8. Uncertainty Results'!$A$203:$D$215,2,FALSE)/1000000</f>
        <v>4.9234855062215894</v>
      </c>
      <c r="R226">
        <f>VLOOKUP(Q215,'8. Uncertainty Results'!$A$203:$D$215,3,FALSE)/1000000</f>
        <v>5.37106142092306</v>
      </c>
      <c r="S226">
        <f>VLOOKUP(Q215,'8. Uncertainty Results'!$A$203:$D$215,4,FALSE)/1000000</f>
        <v>5.8389653933930203</v>
      </c>
      <c r="T226">
        <f>VLOOKUP(T215,'8. Uncertainty Results'!$A$203:$D$215,2,FALSE)/1000000</f>
        <v>3.9079818470785299</v>
      </c>
      <c r="U226">
        <f>VLOOKUP(T215,'8. Uncertainty Results'!$A$203:$D$215,3,FALSE)/1000000</f>
        <v>4.2843021047777894</v>
      </c>
      <c r="V226">
        <f>VLOOKUP(T215,'8. Uncertainty Results'!$A$203:$D$215,4,FALSE)/1000000</f>
        <v>4.6474321803099699</v>
      </c>
      <c r="W226">
        <f>VLOOKUP(W215,'8. Uncertainty Results'!$A$203:$D$215,2,FALSE)/1000000</f>
        <v>0.23425673678805656</v>
      </c>
      <c r="X226">
        <f>VLOOKUP(W215,'8. Uncertainty Results'!$A$203:$D$215,3,FALSE)/1000000</f>
        <v>1.1548930353673985</v>
      </c>
      <c r="Y226">
        <f>VLOOKUP(W215,'8. Uncertainty Results'!$A$203:$D$215,4,FALSE)/1000000</f>
        <v>5.5129749020288967</v>
      </c>
    </row>
    <row r="231" spans="1:25" x14ac:dyDescent="0.2">
      <c r="A231" s="32" t="s">
        <v>570</v>
      </c>
    </row>
    <row r="232" spans="1:25" x14ac:dyDescent="0.2">
      <c r="A232">
        <v>9</v>
      </c>
    </row>
    <row r="233" spans="1:25" x14ac:dyDescent="0.2">
      <c r="A233" t="s">
        <v>490</v>
      </c>
    </row>
    <row r="234" spans="1:25" x14ac:dyDescent="0.2">
      <c r="B234" s="474">
        <f>VLOOKUP(B235,'1. Introduction &amp; Notes'!$C$17:$D$28,2,FALSE)</f>
        <v>18100204</v>
      </c>
      <c r="C234" s="474"/>
      <c r="D234" s="474"/>
      <c r="E234" s="474">
        <f>VLOOKUP(E235,'1. Introduction &amp; Notes'!$C$17:$D$28,2,FALSE)</f>
        <v>16040201</v>
      </c>
      <c r="F234" s="474"/>
      <c r="G234" s="474"/>
      <c r="H234" s="474">
        <f>VLOOKUP(H235,'1. Introduction &amp; Notes'!$C$17:$D$28,2,FALSE)</f>
        <v>15030202</v>
      </c>
      <c r="I234" s="474"/>
      <c r="J234" s="474"/>
      <c r="K234" s="474">
        <f>VLOOKUP(K235,'1. Introduction &amp; Notes'!$C$17:$D$28,2,FALSE)</f>
        <v>16060011</v>
      </c>
      <c r="L234" s="474"/>
      <c r="M234" s="474"/>
      <c r="N234" s="474">
        <f>VLOOKUP(N235,'1. Introduction &amp; Notes'!$C$17:$D$28,2,FALSE)</f>
        <v>16060003</v>
      </c>
      <c r="O234" s="474"/>
      <c r="P234" s="474"/>
      <c r="Q234" s="474">
        <f>VLOOKUP(Q235,'1. Introduction &amp; Notes'!$C$17:$D$28,2,FALSE)</f>
        <v>16060013</v>
      </c>
      <c r="R234" s="474"/>
      <c r="S234" s="474"/>
      <c r="T234" s="474">
        <f>VLOOKUP(T235,'1. Introduction &amp; Notes'!$C$17:$D$28,2,FALSE)</f>
        <v>16060010</v>
      </c>
      <c r="U234" s="474"/>
      <c r="V234" s="474"/>
      <c r="W234" s="474">
        <f>VLOOKUP(W235,'1. Introduction &amp; Notes'!$C$17:$D$28,2,FALSE)</f>
        <v>15030201</v>
      </c>
      <c r="X234" s="474"/>
      <c r="Y234" s="474"/>
    </row>
    <row r="235" spans="1:25" x14ac:dyDescent="0.2">
      <c r="B235" s="474" t="s">
        <v>539</v>
      </c>
      <c r="C235" s="474"/>
      <c r="D235" s="474"/>
      <c r="E235" s="474" t="s">
        <v>417</v>
      </c>
      <c r="F235" s="474"/>
      <c r="G235" s="474"/>
      <c r="H235" s="481" t="s">
        <v>418</v>
      </c>
      <c r="I235" s="481"/>
      <c r="J235" s="481"/>
      <c r="K235" s="481" t="s">
        <v>419</v>
      </c>
      <c r="L235" s="481"/>
      <c r="M235" s="481"/>
      <c r="N235" s="481" t="s">
        <v>420</v>
      </c>
      <c r="O235" s="481"/>
      <c r="P235" s="481"/>
      <c r="Q235" s="481" t="s">
        <v>421</v>
      </c>
      <c r="R235" s="481"/>
      <c r="S235" s="481"/>
      <c r="T235" s="481" t="s">
        <v>422</v>
      </c>
      <c r="U235" s="481"/>
      <c r="V235" s="481"/>
      <c r="W235" s="481" t="s">
        <v>423</v>
      </c>
      <c r="X235" s="481"/>
      <c r="Y235" s="481"/>
    </row>
    <row r="236" spans="1:25" x14ac:dyDescent="0.2">
      <c r="B236" t="s">
        <v>440</v>
      </c>
      <c r="C236" t="s">
        <v>441</v>
      </c>
      <c r="D236" t="s">
        <v>442</v>
      </c>
      <c r="E236" t="s">
        <v>440</v>
      </c>
      <c r="F236" t="s">
        <v>441</v>
      </c>
      <c r="G236" t="s">
        <v>442</v>
      </c>
      <c r="H236" t="s">
        <v>440</v>
      </c>
      <c r="I236" t="s">
        <v>441</v>
      </c>
      <c r="J236" t="s">
        <v>442</v>
      </c>
      <c r="K236" t="s">
        <v>440</v>
      </c>
      <c r="L236" t="s">
        <v>441</v>
      </c>
      <c r="M236" t="s">
        <v>442</v>
      </c>
      <c r="N236" t="s">
        <v>440</v>
      </c>
      <c r="O236" t="s">
        <v>441</v>
      </c>
      <c r="P236" t="s">
        <v>442</v>
      </c>
      <c r="Q236" t="s">
        <v>440</v>
      </c>
      <c r="R236" t="s">
        <v>441</v>
      </c>
      <c r="S236" t="s">
        <v>442</v>
      </c>
      <c r="T236" t="s">
        <v>440</v>
      </c>
      <c r="U236" t="s">
        <v>441</v>
      </c>
      <c r="V236" t="s">
        <v>442</v>
      </c>
      <c r="W236" t="s">
        <v>440</v>
      </c>
      <c r="X236" t="s">
        <v>441</v>
      </c>
      <c r="Y236" t="s">
        <v>442</v>
      </c>
    </row>
    <row r="237" spans="1:25" x14ac:dyDescent="0.2">
      <c r="A237" t="s">
        <v>436</v>
      </c>
      <c r="B237">
        <f>VLOOKUP(B234,'8. Uncertainty Results'!$B$262:$E$274,2,FALSE)*(cubicm/gal)*(day/yr)</f>
        <v>625.99097703112363</v>
      </c>
      <c r="C237">
        <f>B237</f>
        <v>625.99097703112363</v>
      </c>
      <c r="D237">
        <f>B237</f>
        <v>625.99097703112363</v>
      </c>
      <c r="E237">
        <f>VLOOKUP(E234,'8. Uncertainty Results'!$B$262:$E$274,2,FALSE)*(cubicm/gal)*(day/yr)</f>
        <v>89.539894482148725</v>
      </c>
      <c r="F237">
        <f>E237</f>
        <v>89.539894482148725</v>
      </c>
      <c r="G237">
        <f>E237</f>
        <v>89.539894482148725</v>
      </c>
      <c r="H237">
        <f>VLOOKUP(H234,'8. Uncertainty Results'!$B$262:$E$274,2,FALSE)*(cubicm/gal)*(day/yr)</f>
        <v>48.001787628244685</v>
      </c>
      <c r="I237">
        <f>H237</f>
        <v>48.001787628244685</v>
      </c>
      <c r="J237">
        <f>H237</f>
        <v>48.001787628244685</v>
      </c>
      <c r="K237">
        <f>VLOOKUP(K234,'8. Uncertainty Results'!$B$262:$E$274,2,FALSE)*(cubicm/gal)*(day/yr)</f>
        <v>42.237155229732785</v>
      </c>
      <c r="L237">
        <f>K237</f>
        <v>42.237155229732785</v>
      </c>
      <c r="M237">
        <f>K237</f>
        <v>42.237155229732785</v>
      </c>
      <c r="N237">
        <f>VLOOKUP(N234,'8. Uncertainty Results'!$B$262:$E$274,2,FALSE)*(cubicm/gal)*(day/yr)</f>
        <v>22.325861830924744</v>
      </c>
      <c r="O237">
        <f>N237</f>
        <v>22.325861830924744</v>
      </c>
      <c r="P237">
        <f>N237</f>
        <v>22.325861830924744</v>
      </c>
      <c r="Q237">
        <f>VLOOKUP(Q234,'8. Uncertainty Results'!$B$262:$E$274,2,FALSE)*(cubicm/gal)*(day/yr)</f>
        <v>29.324672032199324</v>
      </c>
      <c r="R237">
        <f>Q237</f>
        <v>29.324672032199324</v>
      </c>
      <c r="S237">
        <f>Q237</f>
        <v>29.324672032199324</v>
      </c>
      <c r="T237">
        <f>VLOOKUP(T234,'8. Uncertainty Results'!$B$262:$E$274,2,FALSE)*(cubicm/gal)*(day/yr)</f>
        <v>50.612474653402437</v>
      </c>
      <c r="U237">
        <f>T237</f>
        <v>50.612474653402437</v>
      </c>
      <c r="V237">
        <f>T237</f>
        <v>50.612474653402437</v>
      </c>
      <c r="W237">
        <f>VLOOKUP(W234,'8. Uncertainty Results'!$B$262:$E$274,2,FALSE)*(cubicm/gal)*(day/yr)</f>
        <v>90.815540308048512</v>
      </c>
      <c r="X237">
        <f>W237</f>
        <v>90.815540308048512</v>
      </c>
      <c r="Y237">
        <f>W237</f>
        <v>90.815540308048512</v>
      </c>
    </row>
    <row r="238" spans="1:25" x14ac:dyDescent="0.2">
      <c r="A238" t="s">
        <v>437</v>
      </c>
      <c r="B238">
        <f>VLOOKUP(B234,'8. Uncertainty Results'!$B$262:$E$274,4,FALSE)*(cubicm/gal)*(day/yr)</f>
        <v>656.18010057986908</v>
      </c>
      <c r="C238">
        <f>B238</f>
        <v>656.18010057986908</v>
      </c>
      <c r="D238">
        <f>B238</f>
        <v>656.18010057986908</v>
      </c>
      <c r="E238">
        <f>VLOOKUP(E234,'8. Uncertainty Results'!$B$262:$E$274,4,FALSE)*(cubicm/gal)*(day/yr)</f>
        <v>281.52478408062939</v>
      </c>
      <c r="F238">
        <f>E238</f>
        <v>281.52478408062939</v>
      </c>
      <c r="G238">
        <f>E238</f>
        <v>281.52478408062939</v>
      </c>
      <c r="H238">
        <f>VLOOKUP(H234,'8. Uncertainty Results'!$B$262:$E$274,4,FALSE)*(cubicm/gal)*(day/yr)</f>
        <v>144.65204683451151</v>
      </c>
      <c r="I238">
        <f>H238</f>
        <v>144.65204683451151</v>
      </c>
      <c r="J238">
        <f>H238</f>
        <v>144.65204683451151</v>
      </c>
      <c r="K238">
        <f>VLOOKUP(K234,'8. Uncertainty Results'!$B$262:$E$274,4,FALSE)*(cubicm/gal)*(day/yr)</f>
        <v>66.284196896576589</v>
      </c>
      <c r="L238">
        <f>K238</f>
        <v>66.284196896576589</v>
      </c>
      <c r="M238">
        <f>K238</f>
        <v>66.284196896576589</v>
      </c>
      <c r="N238">
        <f>VLOOKUP(N234,'8. Uncertainty Results'!$B$262:$E$274,4,FALSE)*(cubicm/gal)*(day/yr)</f>
        <v>67.613735236484047</v>
      </c>
      <c r="O238">
        <f>N238</f>
        <v>67.613735236484047</v>
      </c>
      <c r="P238">
        <f>N238</f>
        <v>67.613735236484047</v>
      </c>
      <c r="Q238">
        <f>VLOOKUP(Q234,'8. Uncertainty Results'!$B$262:$E$274,4,FALSE)*(cubicm/gal)*(day/yr)</f>
        <v>69.454201067924927</v>
      </c>
      <c r="R238">
        <f>Q238</f>
        <v>69.454201067924927</v>
      </c>
      <c r="S238">
        <f>Q238</f>
        <v>69.454201067924927</v>
      </c>
      <c r="T238">
        <f>VLOOKUP(T234,'8. Uncertainty Results'!$B$262:$E$274,4,FALSE)*(cubicm/gal)*(day/yr)</f>
        <v>129.10550751451419</v>
      </c>
      <c r="U238">
        <f>T238</f>
        <v>129.10550751451419</v>
      </c>
      <c r="V238">
        <f>T238</f>
        <v>129.10550751451419</v>
      </c>
      <c r="W238">
        <f>VLOOKUP(W234,'8. Uncertainty Results'!$B$262:$E$274,4,FALSE)*(cubicm/gal)*(day/yr)</f>
        <v>286.26366576483269</v>
      </c>
      <c r="X238">
        <f>W238</f>
        <v>286.26366576483269</v>
      </c>
      <c r="Y238">
        <f>W238</f>
        <v>286.26366576483269</v>
      </c>
    </row>
    <row r="239" spans="1:25" x14ac:dyDescent="0.2">
      <c r="A239" t="s">
        <v>438</v>
      </c>
      <c r="B239">
        <f>VLOOKUP(B234,'8. Uncertainty Results'!$A$61:$CM$73,2+$A$232,FALSE)*((cubicm/gal)*(day/yr))/B277</f>
        <v>16.649484519994324</v>
      </c>
      <c r="C239">
        <f>VLOOKUP(B234,'8. Uncertainty Results'!$A$61:$CM$73,3+$A$232,FALSE)*((cubicm/gal)*(day/yr))/C277</f>
        <v>13.443210332291104</v>
      </c>
      <c r="D239">
        <f>VLOOKUP(B234,'8. Uncertainty Results'!$A$61:$CM$73,4+$A$232,FALSE)*((cubicm/gal)*(day/yr))/D248</f>
        <v>12.384444753827154</v>
      </c>
      <c r="E239">
        <f>VLOOKUP(E234,'8. Uncertainty Results'!$A$61:$CM$73,2+$A$232,FALSE)*((cubicm/gal)*(day/yr))</f>
        <v>0</v>
      </c>
      <c r="F239">
        <f>VLOOKUP(E234,'8. Uncertainty Results'!$A$61:$CM$73,3+$A$232,FALSE)*((cubicm/gal)*(day/yr))</f>
        <v>0</v>
      </c>
      <c r="G239">
        <f>VLOOKUP(E234,'8. Uncertainty Results'!$A$61:$CM$73,4+$A$232,FALSE)*((cubicm/gal)*(day/yr))</f>
        <v>0</v>
      </c>
      <c r="H239">
        <f>VLOOKUP(H234,'8. Uncertainty Results'!$A$61:$CM$73,2+$A$232,FALSE)*((cubicm/gal)*(day/yr))</f>
        <v>28.790765186815641</v>
      </c>
      <c r="I239">
        <f>VLOOKUP(H234,'8. Uncertainty Results'!$A$61:$CM$73,3+$A$232,FALSE)*((cubicm/gal)*(day/yr))</f>
        <v>30.696014267705575</v>
      </c>
      <c r="J239">
        <f>VLOOKUP(H234,'8. Uncertainty Results'!$A$61:$CM$73,4+$A$232,FALSE)*((cubicm/gal)*(day/yr))</f>
        <v>32.46525320989911</v>
      </c>
      <c r="K239">
        <f>VLOOKUP(K234,'8. Uncertainty Results'!$A$61:$CM$73,2+$A$232,FALSE)*((cubicm/gal)*(day/yr))</f>
        <v>0.16211528177159246</v>
      </c>
      <c r="L239">
        <f>VLOOKUP(K234,'8. Uncertainty Results'!$A$61:$CM$73,3+$A$232,FALSE)*((cubicm/gal)*(day/yr))</f>
        <v>0.17240451566120468</v>
      </c>
      <c r="M239">
        <f>VLOOKUP(K234,'8. Uncertainty Results'!$A$61:$CM$73,4+$A$232,FALSE)*((cubicm/gal)*(day/yr))</f>
        <v>0.1821501827985709</v>
      </c>
      <c r="N239">
        <f>VLOOKUP(N234,'8. Uncertainty Results'!$A$61:$CM$73,2+$A$232,FALSE)*((cubicm/gal)*(day/yr))</f>
        <v>0.10809403240755248</v>
      </c>
      <c r="O239">
        <f>VLOOKUP(N234,'8. Uncertainty Results'!$A$61:$CM$73,3+$A$232,FALSE)*((cubicm/gal)*(day/yr))</f>
        <v>0.11491913293641789</v>
      </c>
      <c r="P239">
        <f>VLOOKUP(N234,'8. Uncertainty Results'!$A$61:$CM$73,4+$A$232,FALSE)*((cubicm/gal)*(day/yr))</f>
        <v>0.12138015219266408</v>
      </c>
      <c r="Q239">
        <f>VLOOKUP(Q234,'8. Uncertainty Results'!$A$61:$CM$73,2+$A$232,FALSE)*((cubicm/gal)*(day/yr))</f>
        <v>0.16221396815655634</v>
      </c>
      <c r="R239">
        <f>VLOOKUP(Q234,'8. Uncertainty Results'!$A$61:$CM$73,3+$A$232,FALSE)*((cubicm/gal)*(day/yr))</f>
        <v>0.17255956056427368</v>
      </c>
      <c r="S239">
        <f>VLOOKUP(Q234,'8. Uncertainty Results'!$A$61:$CM$73,4+$A$232,FALSE)*((cubicm/gal)*(day/yr))</f>
        <v>0.18206994749793656</v>
      </c>
      <c r="T239">
        <f>VLOOKUP(T234,'8. Uncertainty Results'!$A$61:$CM$73,2+$A$232,FALSE)*((cubicm/gal)*(day/yr))</f>
        <v>23.770502837589007</v>
      </c>
      <c r="U239">
        <f>VLOOKUP(T234,'8. Uncertainty Results'!$A$61:$CM$73,3+$A$232,FALSE)*((cubicm/gal)*(day/yr))</f>
        <v>24.872358066106997</v>
      </c>
      <c r="V239">
        <f>VLOOKUP(T234,'8. Uncertainty Results'!$A$61:$CM$73,4+$A$232,FALSE)*((cubicm/gal)*(day/yr))</f>
        <v>25.88072521508952</v>
      </c>
      <c r="W239">
        <f>VLOOKUP(W234,'8. Uncertainty Results'!$A$61:$CM$73,2+$A$232,FALSE)*((cubicm/gal)*(day/yr))</f>
        <v>28.857073845059293</v>
      </c>
      <c r="X239">
        <f>VLOOKUP(W234,'8. Uncertainty Results'!$A$61:$CM$73,3+$A$232,FALSE)*((cubicm/gal)*(day/yr))</f>
        <v>30.708321750074528</v>
      </c>
      <c r="Y239">
        <f>VLOOKUP(W234,'8. Uncertainty Results'!$A$61:$CM$73,4+$A$232,FALSE)*((cubicm/gal)*(day/yr))</f>
        <v>32.501259238061841</v>
      </c>
    </row>
    <row r="240" spans="1:25" x14ac:dyDescent="0.2">
      <c r="A240" t="s">
        <v>400</v>
      </c>
      <c r="B240">
        <f>VLOOKUP(B234,'8. Uncertainty Results'!$A$61:$CM$73,17+$A$232,FALSE)*((cubicm/gal)*(day/yr))/B277</f>
        <v>16.551890710907522</v>
      </c>
      <c r="C240">
        <f>VLOOKUP(B234,'8. Uncertainty Results'!$A$61:$CM$73,18+$A$232,FALSE)*((cubicm/gal)*(day/yr))/C277</f>
        <v>13.517663502778031</v>
      </c>
      <c r="D240">
        <f>VLOOKUP(B234,'8. Uncertainty Results'!$A$61:$CM$73,19+$A$232,FALSE)*((cubicm/gal)*(day/yr))/D248</f>
        <v>12.685602409716022</v>
      </c>
      <c r="E240">
        <f>VLOOKUP(E234,'8. Uncertainty Results'!$A$61:$CM$73,17+$A$232,FALSE)*((cubicm/gal)*(day/yr))</f>
        <v>4.1079795663441958</v>
      </c>
      <c r="F240">
        <f>VLOOKUP(E234,'8. Uncertainty Results'!$A$61:$CM$73,18+$A$232,FALSE)*((cubicm/gal)*(day/yr))</f>
        <v>4.2859319089531072</v>
      </c>
      <c r="G240">
        <f>VLOOKUP(E234,'8. Uncertainty Results'!$A$61:$CM$73,19+$A$232,FALSE)*((cubicm/gal)*(day/yr))</f>
        <v>4.4624905026868174</v>
      </c>
      <c r="H240">
        <f>VLOOKUP(H234,'8. Uncertainty Results'!$A$61:$CM$73,17+$A$232,FALSE)*((cubicm/gal)*(day/yr))</f>
        <v>54.199901730919478</v>
      </c>
      <c r="I240">
        <f>VLOOKUP(H234,'8. Uncertainty Results'!$A$61:$CM$73,18+$A$232,FALSE)*((cubicm/gal)*(day/yr))</f>
        <v>58.692830988472515</v>
      </c>
      <c r="J240">
        <f>VLOOKUP(H234,'8. Uncertainty Results'!$A$61:$CM$73,19+$A$232,FALSE)*((cubicm/gal)*(day/yr))</f>
        <v>63.951270203108322</v>
      </c>
      <c r="K240">
        <f>VLOOKUP(K234,'8. Uncertainty Results'!$A$61:$CM$73,17+$A$232,FALSE)*((cubicm/gal)*(day/yr))</f>
        <v>7.8548260311688907</v>
      </c>
      <c r="L240">
        <f>VLOOKUP(K234,'8. Uncertainty Results'!$A$61:$CM$73,18+$A$232,FALSE)*((cubicm/gal)*(day/yr))</f>
        <v>8.6169333096610554</v>
      </c>
      <c r="M240">
        <f>VLOOKUP(K234,'8. Uncertainty Results'!$A$61:$CM$73,19+$A$232,FALSE)*((cubicm/gal)*(day/yr))</f>
        <v>9.456683637485213</v>
      </c>
      <c r="N240">
        <f>VLOOKUP(N234,'8. Uncertainty Results'!$A$61:$CM$73,17+$A$232,FALSE)*((cubicm/gal)*(day/yr))</f>
        <v>5.4622130192354508</v>
      </c>
      <c r="O240">
        <f>VLOOKUP(N234,'8. Uncertainty Results'!$A$61:$CM$73,18+$A$232,FALSE)*((cubicm/gal)*(day/yr))</f>
        <v>5.9749524327961563</v>
      </c>
      <c r="P240">
        <f>VLOOKUP(N234,'8. Uncertainty Results'!$A$61:$CM$73,19+$A$232,FALSE)*((cubicm/gal)*(day/yr))</f>
        <v>6.5422795021270757</v>
      </c>
      <c r="Q240">
        <f>VLOOKUP(Q234,'8. Uncertainty Results'!$A$61:$CM$73,17+$A$232,FALSE)*((cubicm/gal)*(day/yr))</f>
        <v>7.8437267477688577</v>
      </c>
      <c r="R240">
        <f>VLOOKUP(Q234,'8. Uncertainty Results'!$A$61:$CM$73,18+$A$232,FALSE)*((cubicm/gal)*(day/yr))</f>
        <v>8.6109740588530457</v>
      </c>
      <c r="S240">
        <f>VLOOKUP(Q234,'8. Uncertainty Results'!$A$61:$CM$73,19+$A$232,FALSE)*((cubicm/gal)*(day/yr))</f>
        <v>9.4730591589662918</v>
      </c>
      <c r="T240">
        <f>VLOOKUP(T234,'8. Uncertainty Results'!$A$61:$CM$73,17+$A$232,FALSE)*((cubicm/gal)*(day/yr))</f>
        <v>1.1603629744217085</v>
      </c>
      <c r="U240">
        <f>VLOOKUP(T234,'8. Uncertainty Results'!$A$61:$CM$73,18+$A$232,FALSE)*((cubicm/gal)*(day/yr))</f>
        <v>1.2315235476347692</v>
      </c>
      <c r="V240">
        <f>VLOOKUP(T234,'8. Uncertainty Results'!$A$61:$CM$73,19+$A$232,FALSE)*((cubicm/gal)*(day/yr))</f>
        <v>1.3034762485337275</v>
      </c>
      <c r="W240">
        <f>VLOOKUP(W234,'8. Uncertainty Results'!$A$61:$CM$73,17+$A$232,FALSE)*((cubicm/gal)*(day/yr))</f>
        <v>54.128799745029283</v>
      </c>
      <c r="X240">
        <f>VLOOKUP(W234,'8. Uncertainty Results'!$A$61:$CM$73,18+$A$232,FALSE)*((cubicm/gal)*(day/yr))</f>
        <v>58.582476340317463</v>
      </c>
      <c r="Y240">
        <f>VLOOKUP(W234,'8. Uncertainty Results'!$A$61:$CM$73,19+$A$232,FALSE)*((cubicm/gal)*(day/yr))</f>
        <v>63.883424479565605</v>
      </c>
    </row>
    <row r="241" spans="1:25" x14ac:dyDescent="0.2">
      <c r="A241" t="s">
        <v>401</v>
      </c>
      <c r="B241">
        <f>VLOOKUP(B234,'8. Uncertainty Results'!$A$61:$CM$73,32+$A$232,FALSE)*((cubicm/gal)*(day/yr))/B277</f>
        <v>0</v>
      </c>
      <c r="C241">
        <f>VLOOKUP(B234,'8. Uncertainty Results'!$A$61:$CM$73,33+$A$232,FALSE)*((cubicm/gal)*(day/yr))/C277</f>
        <v>0</v>
      </c>
      <c r="D241">
        <f>VLOOKUP(B234,'8. Uncertainty Results'!$A$61:$CM$73,34+$A$232,FALSE)*((cubicm/gal)*(day/yr))/D248</f>
        <v>0</v>
      </c>
      <c r="E241">
        <f>VLOOKUP(E234,'8. Uncertainty Results'!$A$61:$CM$73,32+$A$232,FALSE)*((cubicm/gal)*(day/yr))</f>
        <v>0</v>
      </c>
      <c r="F241">
        <f>VLOOKUP(E234,'8. Uncertainty Results'!$A$61:$CM$73,33+$A$232,FALSE)*((cubicm/gal)*(day/yr))</f>
        <v>0</v>
      </c>
      <c r="G241">
        <f>VLOOKUP(E234,'8. Uncertainty Results'!$A$61:$CM$73,34+$A$232,FALSE)*((cubicm/gal)*(day/yr))</f>
        <v>0</v>
      </c>
      <c r="H241">
        <f>VLOOKUP(H234,'8. Uncertainty Results'!$A$61:$CM$73,32+$A$232,FALSE)*((cubicm/gal)*(day/yr))</f>
        <v>0</v>
      </c>
      <c r="I241">
        <f>VLOOKUP(H234,'8. Uncertainty Results'!$A$61:$CM$73,33+$A$232,FALSE)*((cubicm/gal)*(day/yr))</f>
        <v>0</v>
      </c>
      <c r="J241">
        <f>VLOOKUP(H234,'8. Uncertainty Results'!$A$61:$CM$73,34+$A$232,FALSE)*((cubicm/gal)*(day/yr))</f>
        <v>0</v>
      </c>
      <c r="K241">
        <f>VLOOKUP(K234,'8. Uncertainty Results'!$A$61:$CM$73,32+$A$232,FALSE)*((cubicm/gal)*(day/yr))</f>
        <v>0</v>
      </c>
      <c r="L241">
        <f>VLOOKUP(K234,'8. Uncertainty Results'!$A$61:$CM$73,33+$A$232,FALSE)*((cubicm/gal)*(day/yr))</f>
        <v>0</v>
      </c>
      <c r="M241">
        <f>VLOOKUP(K234,'8. Uncertainty Results'!$A$61:$CM$73,34+$A$232,FALSE)*((cubicm/gal)*(day/yr))</f>
        <v>0</v>
      </c>
      <c r="N241">
        <f>VLOOKUP(N234,'8. Uncertainty Results'!$A$61:$CM$73,32+$A$232,FALSE)*((cubicm/gal)*(day/yr))</f>
        <v>0</v>
      </c>
      <c r="O241">
        <f>VLOOKUP(N234,'8. Uncertainty Results'!$A$61:$CM$73,33+$A$232,FALSE)*((cubicm/gal)*(day/yr))</f>
        <v>0</v>
      </c>
      <c r="P241">
        <f>VLOOKUP(N234,'8. Uncertainty Results'!$A$61:$CM$73,34+$A$232,FALSE)*((cubicm/gal)*(day/yr))</f>
        <v>0</v>
      </c>
      <c r="Q241">
        <f>VLOOKUP(Q234,'8. Uncertainty Results'!$A$61:$CM$73,32+$A$232,FALSE)*((cubicm/gal)*(day/yr))</f>
        <v>0</v>
      </c>
      <c r="R241">
        <f>VLOOKUP(Q234,'8. Uncertainty Results'!$A$61:$CM$73,33+$A$232,FALSE)*((cubicm/gal)*(day/yr))</f>
        <v>0</v>
      </c>
      <c r="S241">
        <f>VLOOKUP(Q234,'8. Uncertainty Results'!$A$61:$CM$73,34+$A$232,FALSE)*((cubicm/gal)*(day/yr))</f>
        <v>0</v>
      </c>
      <c r="T241">
        <f>VLOOKUP(T234,'8. Uncertainty Results'!$A$61:$CM$73,32+$A$232,FALSE)*((cubicm/gal)*(day/yr))</f>
        <v>0</v>
      </c>
      <c r="U241">
        <f>VLOOKUP(T234,'8. Uncertainty Results'!$A$61:$CM$73,33+$A$232,FALSE)*((cubicm/gal)*(day/yr))</f>
        <v>0</v>
      </c>
      <c r="V241">
        <f>VLOOKUP(T234,'8. Uncertainty Results'!$A$61:$CM$73,34+$A$232,FALSE)*((cubicm/gal)*(day/yr))</f>
        <v>0</v>
      </c>
      <c r="W241">
        <f>VLOOKUP(W234,'8. Uncertainty Results'!$A$61:$CM$73,32+$A$232,FALSE)*((cubicm/gal)*(day/yr))</f>
        <v>0</v>
      </c>
      <c r="X241">
        <f>VLOOKUP(W234,'8. Uncertainty Results'!$A$61:$CM$73,33+$A$232,FALSE)*((cubicm/gal)*(day/yr))</f>
        <v>0</v>
      </c>
      <c r="Y241">
        <f>VLOOKUP(W234,'8. Uncertainty Results'!$A$61:$CM$73,34+$A$232,FALSE)*((cubicm/gal)*(day/yr))</f>
        <v>0</v>
      </c>
    </row>
    <row r="242" spans="1:25" x14ac:dyDescent="0.2">
      <c r="A242" t="s">
        <v>402</v>
      </c>
      <c r="B242">
        <f>VLOOKUP(B234,'8. Uncertainty Results'!$A$61:$CM$73,47+$A$232,FALSE)*((cubicm/gal)*(day/yr))/B277</f>
        <v>992.08080445680707</v>
      </c>
      <c r="C242">
        <f>VLOOKUP(B234,'8. Uncertainty Results'!$A$61:$CM$73,48+$A$232,FALSE)*((cubicm/gal)*(day/yr))/C277</f>
        <v>1193.1695312239349</v>
      </c>
      <c r="D242">
        <f>VLOOKUP(B234,'8. Uncertainty Results'!$A$61:$CM$73,49+$A$232,FALSE)*((cubicm/gal)*(day/yr))-2300</f>
        <v>1430.6107362387152</v>
      </c>
      <c r="E242">
        <f>VLOOKUP(E234,'8. Uncertainty Results'!$A$61:$CM$73,47+$A$232,FALSE)*((cubicm/gal)*(day/yr))</f>
        <v>255.56188838243045</v>
      </c>
      <c r="F242">
        <f>VLOOKUP(E234,'8. Uncertainty Results'!$A$61:$CM$73,48+$A$232,FALSE)*((cubicm/gal)*(day/yr))</f>
        <v>340.12382265971144</v>
      </c>
      <c r="G242">
        <f>VLOOKUP(E234,'8. Uncertainty Results'!$A$61:$CM$73,49+$A$232,FALSE)*((cubicm/gal)*(day/yr))</f>
        <v>447.61787892206848</v>
      </c>
      <c r="H242">
        <f>VLOOKUP(H234,'8. Uncertainty Results'!$A$61:$CM$73,47+$A$232,FALSE)*((cubicm/gal)*(day/yr))</f>
        <v>41.013609734111199</v>
      </c>
      <c r="I242">
        <f>VLOOKUP(H234,'8. Uncertainty Results'!$A$61:$CM$73,48+$A$232,FALSE)*((cubicm/gal)*(day/yr))</f>
        <v>57.556694105846205</v>
      </c>
      <c r="J242">
        <f>VLOOKUP(H234,'8. Uncertainty Results'!$A$61:$CM$73,49+$A$232,FALSE)*((cubicm/gal)*(day/yr))</f>
        <v>77.824497345132045</v>
      </c>
      <c r="K242">
        <f>VLOOKUP(K234,'8. Uncertainty Results'!$A$61:$CM$73,47+$A$232,FALSE)*((cubicm/gal)*(day/yr))</f>
        <v>49.362277117279973</v>
      </c>
      <c r="L242">
        <f>VLOOKUP(K234,'8. Uncertainty Results'!$A$61:$CM$73,48+$A$232,FALSE)*((cubicm/gal)*(day/yr))</f>
        <v>81.896782522268495</v>
      </c>
      <c r="M242">
        <f>VLOOKUP(K234,'8. Uncertainty Results'!$A$61:$CM$73,49+$A$232,FALSE)*((cubicm/gal)*(day/yr))</f>
        <v>129.44193219206747</v>
      </c>
      <c r="N242">
        <f>VLOOKUP(N234,'8. Uncertainty Results'!$A$61:$CM$73,47+$A$232,FALSE)*((cubicm/gal)*(day/yr))</f>
        <v>35.237791100103443</v>
      </c>
      <c r="O242">
        <f>VLOOKUP(N234,'8. Uncertainty Results'!$A$61:$CM$73,48+$A$232,FALSE)*((cubicm/gal)*(day/yr))</f>
        <v>57.353788164882943</v>
      </c>
      <c r="P242">
        <f>VLOOKUP(N234,'8. Uncertainty Results'!$A$61:$CM$73,49+$A$232,FALSE)*((cubicm/gal)*(day/yr))</f>
        <v>90.876411962385106</v>
      </c>
      <c r="Q242">
        <f>VLOOKUP(Q234,'8. Uncertainty Results'!$A$61:$CM$73,47+$A$232,FALSE)*((cubicm/gal)*(day/yr))</f>
        <v>50.433162065897953</v>
      </c>
      <c r="R242">
        <f>VLOOKUP(Q234,'8. Uncertainty Results'!$A$61:$CM$73,48+$A$232,FALSE)*((cubicm/gal)*(day/yr))</f>
        <v>81.573092715698152</v>
      </c>
      <c r="S242">
        <f>VLOOKUP(Q234,'8. Uncertainty Results'!$A$61:$CM$73,49+$A$232,FALSE)*((cubicm/gal)*(day/yr))</f>
        <v>129.69500078086548</v>
      </c>
      <c r="T242">
        <f>VLOOKUP(T234,'8. Uncertainty Results'!$A$61:$CM$73,47+$A$232,FALSE)*((cubicm/gal)*(day/yr))</f>
        <v>29.309569504767008</v>
      </c>
      <c r="U242">
        <f>VLOOKUP(T234,'8. Uncertainty Results'!$A$61:$CM$73,48+$A$232,FALSE)*((cubicm/gal)*(day/yr))</f>
        <v>45.582423855723739</v>
      </c>
      <c r="V242">
        <f>VLOOKUP(T234,'8. Uncertainty Results'!$A$61:$CM$73,49+$A$232,FALSE)*((cubicm/gal)*(day/yr))</f>
        <v>68.788394174099494</v>
      </c>
      <c r="W242">
        <f>VLOOKUP(W234,'8. Uncertainty Results'!$A$61:$CM$73,47+$A$232,FALSE)*((cubicm/gal)*(day/yr))</f>
        <v>41.194503895790589</v>
      </c>
      <c r="X242">
        <f>VLOOKUP(W234,'8. Uncertainty Results'!$A$61:$CM$73,48+$A$232,FALSE)*((cubicm/gal)*(day/yr))</f>
        <v>57.952233733144745</v>
      </c>
      <c r="Y242">
        <f>VLOOKUP(W234,'8. Uncertainty Results'!$A$61:$CM$73,49+$A$232,FALSE)*((cubicm/gal)*(day/yr))</f>
        <v>78.108857648803195</v>
      </c>
    </row>
    <row r="243" spans="1:25" x14ac:dyDescent="0.2">
      <c r="A243" t="s">
        <v>403</v>
      </c>
      <c r="B243">
        <f>VLOOKUP(B234,'8. Uncertainty Results'!$A$61:$CM$73,62+$A$232,FALSE)*((cubicm/gal)*(day/yr))/B277</f>
        <v>4.5398054095861449</v>
      </c>
      <c r="C243">
        <f>VLOOKUP(B234,'8. Uncertainty Results'!$A$61:$CM$73,63+$A$232,FALSE)*((cubicm/gal)*(day/yr))/C277</f>
        <v>3.5093612446527729</v>
      </c>
      <c r="D243">
        <f>VLOOKUP(B234,'8. Uncertainty Results'!$A$61:$CM$73,64+$A$232,FALSE)*((cubicm/gal)*(day/yr))/D248</f>
        <v>3.1228678692844802</v>
      </c>
      <c r="E243">
        <f>VLOOKUP(E234,'8. Uncertainty Results'!$A$61:$CM$73,62+$A$232,FALSE)*((cubicm/gal)*(day/yr))</f>
        <v>1.2247988815815929</v>
      </c>
      <c r="F243">
        <f>VLOOKUP(E234,'8. Uncertainty Results'!$A$61:$CM$73,63+$A$232,FALSE)*((cubicm/gal)*(day/yr))</f>
        <v>1.2363145812034231</v>
      </c>
      <c r="G243">
        <f>VLOOKUP(E234,'8. Uncertainty Results'!$A$61:$CM$73,64+$A$232,FALSE)*((cubicm/gal)*(day/yr))</f>
        <v>1.2506166745167324</v>
      </c>
      <c r="H243">
        <f>VLOOKUP(H234,'8. Uncertainty Results'!$A$61:$CM$73,62+$A$232,FALSE)*((cubicm/gal)*(day/yr))</f>
        <v>0.52507227130981282</v>
      </c>
      <c r="I243">
        <f>VLOOKUP(H234,'8. Uncertainty Results'!$A$61:$CM$73,63+$A$232,FALSE)*((cubicm/gal)*(day/yr))</f>
        <v>0.53666445131967233</v>
      </c>
      <c r="J243">
        <f>VLOOKUP(H234,'8. Uncertainty Results'!$A$61:$CM$73,64+$A$232,FALSE)*((cubicm/gal)*(day/yr))</f>
        <v>0.54890252308915188</v>
      </c>
      <c r="K243">
        <f>VLOOKUP(K234,'8. Uncertainty Results'!$A$61:$CM$73,62+$A$232,FALSE)*((cubicm/gal)*(day/yr))</f>
        <v>0.40486231344177215</v>
      </c>
      <c r="L243">
        <f>VLOOKUP(K234,'8. Uncertainty Results'!$A$61:$CM$73,63+$A$232,FALSE)*((cubicm/gal)*(day/yr))</f>
        <v>0.4123444730990633</v>
      </c>
      <c r="M243">
        <f>VLOOKUP(K234,'8. Uncertainty Results'!$A$61:$CM$73,64+$A$232,FALSE)*((cubicm/gal)*(day/yr))</f>
        <v>0.42069273007097907</v>
      </c>
      <c r="N243">
        <f>VLOOKUP(N234,'8. Uncertainty Results'!$A$61:$CM$73,62+$A$232,FALSE)*((cubicm/gal)*(day/yr))</f>
        <v>0.28203122942139647</v>
      </c>
      <c r="O243">
        <f>VLOOKUP(N234,'8. Uncertainty Results'!$A$61:$CM$73,63+$A$232,FALSE)*((cubicm/gal)*(day/yr))</f>
        <v>0.2872511312301636</v>
      </c>
      <c r="P243">
        <f>VLOOKUP(N234,'8. Uncertainty Results'!$A$61:$CM$73,64+$A$232,FALSE)*((cubicm/gal)*(day/yr))</f>
        <v>0.29300385679487539</v>
      </c>
      <c r="Q243">
        <f>VLOOKUP(Q234,'8. Uncertainty Results'!$A$61:$CM$73,62+$A$232,FALSE)*((cubicm/gal)*(day/yr))</f>
        <v>0.40498910074885736</v>
      </c>
      <c r="R243">
        <f>VLOOKUP(Q234,'8. Uncertainty Results'!$A$61:$CM$73,63+$A$232,FALSE)*((cubicm/gal)*(day/yr))</f>
        <v>0.41240402817320365</v>
      </c>
      <c r="S243">
        <f>VLOOKUP(Q234,'8. Uncertainty Results'!$A$61:$CM$73,64+$A$232,FALSE)*((cubicm/gal)*(day/yr))</f>
        <v>0.42064412595893119</v>
      </c>
      <c r="T243">
        <f>VLOOKUP(T234,'8. Uncertainty Results'!$A$61:$CM$73,62+$A$232,FALSE)*((cubicm/gal)*(day/yr))</f>
        <v>0.12824829794619505</v>
      </c>
      <c r="U243">
        <f>VLOOKUP(T234,'8. Uncertainty Results'!$A$61:$CM$73,63+$A$232,FALSE)*((cubicm/gal)*(day/yr))</f>
        <v>0.12881601105474991</v>
      </c>
      <c r="V243">
        <f>VLOOKUP(T234,'8. Uncertainty Results'!$A$61:$CM$73,64+$A$232,FALSE)*((cubicm/gal)*(day/yr))</f>
        <v>0.12962670808070809</v>
      </c>
      <c r="W243">
        <f>VLOOKUP(W234,'8. Uncertainty Results'!$A$61:$CM$73,62+$A$232,FALSE)*((cubicm/gal)*(day/yr))</f>
        <v>0.52530997634763843</v>
      </c>
      <c r="X243">
        <f>VLOOKUP(W234,'8. Uncertainty Results'!$A$61:$CM$73,63+$A$232,FALSE)*((cubicm/gal)*(day/yr))</f>
        <v>0.53667314837578906</v>
      </c>
      <c r="Y243">
        <f>VLOOKUP(W234,'8. Uncertainty Results'!$A$61:$CM$73,64+$A$232,FALSE)*((cubicm/gal)*(day/yr))</f>
        <v>0.54869953223928081</v>
      </c>
    </row>
    <row r="244" spans="1:25" x14ac:dyDescent="0.2">
      <c r="A244" t="s">
        <v>439</v>
      </c>
      <c r="B244">
        <f>VLOOKUP(B234,'8. Uncertainty Results'!$A$61:$CM$73,77+$A$232,FALSE)*((cubicm/gal)*(day/yr))/B277</f>
        <v>0</v>
      </c>
      <c r="C244">
        <f>VLOOKUP(B234,'8. Uncertainty Results'!$A$61:$CM$73,78+$A$232,FALSE)*((cubicm/gal)*(day/yr))/C277</f>
        <v>0</v>
      </c>
      <c r="D244">
        <f>VLOOKUP(B234,'8. Uncertainty Results'!$A$61:$CM$73,79+$A$232,FALSE)*((cubicm/gal)*(day/yr))/D248</f>
        <v>0</v>
      </c>
      <c r="E244">
        <f>VLOOKUP(E234,'8. Uncertainty Results'!$A$61:$CM$73,77+$A$232,FALSE)*((cubicm/gal)*(day/yr))</f>
        <v>1.0900247604878879</v>
      </c>
      <c r="F244">
        <f>VLOOKUP(E234,'8. Uncertainty Results'!$A$61:$CM$73,78+$A$232,FALSE)*((cubicm/gal)*(day/yr))</f>
        <v>1.2284688233782106</v>
      </c>
      <c r="G244">
        <f>VLOOKUP(E234,'8. Uncertainty Results'!$A$61:$CM$73,79+$A$232,FALSE)*((cubicm/gal)*(day/yr))</f>
        <v>1.3710332670594636</v>
      </c>
      <c r="H244">
        <f>VLOOKUP(H234,'8. Uncertainty Results'!$A$61:$CM$73,77+$A$232,FALSE)*((cubicm/gal)*(day/yr))</f>
        <v>2.165407551977343</v>
      </c>
      <c r="I244">
        <f>VLOOKUP(H234,'8. Uncertainty Results'!$A$61:$CM$73,78+$A$232,FALSE)*((cubicm/gal)*(day/yr))</f>
        <v>2.4529943573439041</v>
      </c>
      <c r="J244">
        <f>VLOOKUP(H234,'8. Uncertainty Results'!$A$61:$CM$73,79+$A$232,FALSE)*((cubicm/gal)*(day/yr))</f>
        <v>2.8105612580620951</v>
      </c>
      <c r="K244">
        <f>VLOOKUP(K234,'8. Uncertainty Results'!$A$61:$CM$73,77+$A$232,FALSE)*((cubicm/gal)*(day/yr))</f>
        <v>0</v>
      </c>
      <c r="L244">
        <f>VLOOKUP(K234,'8. Uncertainty Results'!$A$61:$CM$73,78+$A$232,FALSE)*((cubicm/gal)*(day/yr))</f>
        <v>0</v>
      </c>
      <c r="M244">
        <f>VLOOKUP(K234,'8. Uncertainty Results'!$A$61:$CM$73,79+$A$232,FALSE)*((cubicm/gal)*(day/yr))</f>
        <v>0</v>
      </c>
      <c r="N244">
        <f>VLOOKUP(N234,'8. Uncertainty Results'!$A$61:$CM$73,77+$A$232,FALSE)*((cubicm/gal)*(day/yr))</f>
        <v>0</v>
      </c>
      <c r="O244">
        <f>VLOOKUP(N234,'8. Uncertainty Results'!$A$61:$CM$73,78+$A$232,FALSE)*((cubicm/gal)*(day/yr))</f>
        <v>0</v>
      </c>
      <c r="P244">
        <f>VLOOKUP(N234,'8. Uncertainty Results'!$A$61:$CM$73,79+$A$232,FALSE)*((cubicm/gal)*(day/yr))</f>
        <v>0</v>
      </c>
      <c r="Q244">
        <f>VLOOKUP(Q234,'8. Uncertainty Results'!$A$61:$CM$73,77+$A$232,FALSE)*((cubicm/gal)*(day/yr))</f>
        <v>0</v>
      </c>
      <c r="R244">
        <f>VLOOKUP(Q234,'8. Uncertainty Results'!$A$61:$CM$73,78+$A$232,FALSE)*((cubicm/gal)*(day/yr))</f>
        <v>0</v>
      </c>
      <c r="S244">
        <f>VLOOKUP(Q234,'8. Uncertainty Results'!$A$61:$CM$73,79+$A$232,FALSE)*((cubicm/gal)*(day/yr))</f>
        <v>0</v>
      </c>
      <c r="T244">
        <f>VLOOKUP(T234,'8. Uncertainty Results'!$A$61:$CM$73,77+$A$232,FALSE)*((cubicm/gal)*(day/yr))</f>
        <v>0</v>
      </c>
      <c r="U244">
        <f>VLOOKUP(T234,'8. Uncertainty Results'!$A$61:$CM$73,78+$A$232,FALSE)*((cubicm/gal)*(day/yr))</f>
        <v>0</v>
      </c>
      <c r="V244">
        <f>VLOOKUP(T234,'8. Uncertainty Results'!$A$61:$CM$73,79+$A$232,FALSE)*((cubicm/gal)*(day/yr))</f>
        <v>0</v>
      </c>
      <c r="W244">
        <f>VLOOKUP(W234,'8. Uncertainty Results'!$A$61:$CM$73,77+$A$232,FALSE)*((cubicm/gal)*(day/yr))</f>
        <v>2.1622894134704791</v>
      </c>
      <c r="X244">
        <f>VLOOKUP(W234,'8. Uncertainty Results'!$A$61:$CM$73,78+$A$232,FALSE)*((cubicm/gal)*(day/yr))</f>
        <v>2.4504585039537097</v>
      </c>
      <c r="Y244">
        <f>VLOOKUP(W234,'8. Uncertainty Results'!$A$61:$CM$73,79+$A$232,FALSE)*((cubicm/gal)*(day/yr))</f>
        <v>2.8095529168284243</v>
      </c>
    </row>
    <row r="245" spans="1:25" x14ac:dyDescent="0.2">
      <c r="A245" t="s">
        <v>492</v>
      </c>
      <c r="B245">
        <f>VLOOKUP(B234,'8. Uncertainty Results'!$A$203:$D$215,2,FALSE)/1000000/B277</f>
        <v>12.490078095067648</v>
      </c>
      <c r="C245">
        <f>VLOOKUP(B234,'8. Uncertainty Results'!$A$203:$D$215,3,FALSE)/1000000/C277</f>
        <v>10.51757602462987</v>
      </c>
      <c r="D245">
        <f>VLOOKUP(B234,'8. Uncertainty Results'!$A$203:$D$215,4,FALSE)/1000000/D248</f>
        <v>10.085809356680393</v>
      </c>
      <c r="E245">
        <f>VLOOKUP(E234,'8. Uncertainty Results'!$A$203:$D$215,2,FALSE)/1000000</f>
        <v>30.329777237026992</v>
      </c>
      <c r="F245">
        <f>VLOOKUP(E234,'8. Uncertainty Results'!$A$203:$D$215,3,FALSE)/1000000</f>
        <v>34.810209497471384</v>
      </c>
      <c r="G245">
        <f>VLOOKUP(E234,'8. Uncertainty Results'!$A$203:$D$215,4,FALSE)/1000000</f>
        <v>39.804593895523155</v>
      </c>
      <c r="H245">
        <f>VLOOKUP(H234,'8. Uncertainty Results'!$A$203:$D$215,2,FALSE)/1000000</f>
        <v>0.36684257135850085</v>
      </c>
      <c r="I245">
        <f>VLOOKUP(H234,'8. Uncertainty Results'!$A$203:$D$215,3,FALSE)/1000000</f>
        <v>1.9272387365708405</v>
      </c>
      <c r="J245">
        <f>VLOOKUP(H234,'8. Uncertainty Results'!$A$203:$D$215,4,FALSE)/1000000</f>
        <v>9.7366119085476832</v>
      </c>
      <c r="K245">
        <f>VLOOKUP(K234,'8. Uncertainty Results'!$A$203:$D$215,2,FALSE)/1000000</f>
        <v>28.572915147869598</v>
      </c>
      <c r="L245">
        <f>VLOOKUP(K234,'8. Uncertainty Results'!$A$203:$D$215,3,FALSE)/1000000</f>
        <v>36.784589510791825</v>
      </c>
      <c r="M245">
        <f>VLOOKUP(K234,'8. Uncertainty Results'!$A$203:$D$215,4,FALSE)/1000000</f>
        <v>63.986855731934547</v>
      </c>
      <c r="N245">
        <f>VLOOKUP(N234,'8. Uncertainty Results'!$A$203:$D$215,2,FALSE)/1000000</f>
        <v>12.60217290105447</v>
      </c>
      <c r="O245">
        <f>VLOOKUP(N234,'8. Uncertainty Results'!$A$203:$D$215,3,FALSE)/1000000</f>
        <v>19.226978004610444</v>
      </c>
      <c r="P245">
        <f>VLOOKUP(N234,'8. Uncertainty Results'!$A$203:$D$215,4,FALSE)/1000000</f>
        <v>49.036167912910365</v>
      </c>
      <c r="Q245">
        <f>VLOOKUP(Q234,'8. Uncertainty Results'!$A$203:$D$215,2,FALSE)/1000000</f>
        <v>4.9234855062215894</v>
      </c>
      <c r="R245">
        <f>VLOOKUP(Q234,'8. Uncertainty Results'!$A$203:$D$215,3,FALSE)/1000000</f>
        <v>5.37106142092306</v>
      </c>
      <c r="S245">
        <f>VLOOKUP(Q234,'8. Uncertainty Results'!$A$203:$D$215,4,FALSE)/1000000</f>
        <v>5.8389653933930203</v>
      </c>
      <c r="T245">
        <f>VLOOKUP(T234,'8. Uncertainty Results'!$A$203:$D$215,2,FALSE)/1000000</f>
        <v>3.9079818470785299</v>
      </c>
      <c r="U245">
        <f>VLOOKUP(T234,'8. Uncertainty Results'!$A$203:$D$215,3,FALSE)/1000000</f>
        <v>4.2843021047777894</v>
      </c>
      <c r="V245">
        <f>VLOOKUP(T234,'8. Uncertainty Results'!$A$203:$D$215,4,FALSE)/1000000</f>
        <v>4.6474321803099699</v>
      </c>
      <c r="W245">
        <f>VLOOKUP(W234,'8. Uncertainty Results'!$A$203:$D$215,2,FALSE)/1000000</f>
        <v>0.23425673678805656</v>
      </c>
      <c r="X245">
        <f>VLOOKUP(W234,'8. Uncertainty Results'!$A$203:$D$215,3,FALSE)/1000000</f>
        <v>1.1548930353673985</v>
      </c>
      <c r="Y245">
        <f>VLOOKUP(W234,'8. Uncertainty Results'!$A$203:$D$215,4,FALSE)/1000000</f>
        <v>5.5129749020288967</v>
      </c>
    </row>
    <row r="248" spans="1:25" x14ac:dyDescent="0.2">
      <c r="A248" t="s">
        <v>573</v>
      </c>
      <c r="D248">
        <f>VLOOKUP(B234,'8. Uncertainty Results'!$A$61:$CM$73,49+$A$232,FALSE)*((cubicm/gal)*(day/yr))/D242</f>
        <v>2.6077049764403673</v>
      </c>
    </row>
    <row r="251" spans="1:25" x14ac:dyDescent="0.2">
      <c r="A251" t="s">
        <v>491</v>
      </c>
      <c r="B251" s="474">
        <f>B234</f>
        <v>18100204</v>
      </c>
      <c r="C251" s="474"/>
      <c r="D251" s="474"/>
      <c r="E251" s="474">
        <f>E234</f>
        <v>16040201</v>
      </c>
      <c r="F251" s="474"/>
      <c r="G251" s="474"/>
      <c r="H251" s="474">
        <f>H234</f>
        <v>15030202</v>
      </c>
      <c r="I251" s="474"/>
      <c r="J251" s="474"/>
      <c r="K251" s="474">
        <f>K234</f>
        <v>16060011</v>
      </c>
      <c r="L251" s="474"/>
      <c r="M251" s="474"/>
      <c r="N251" s="474">
        <f>N234</f>
        <v>16060003</v>
      </c>
      <c r="O251" s="474"/>
      <c r="P251" s="474"/>
      <c r="Q251" s="474">
        <f>Q234</f>
        <v>16060013</v>
      </c>
      <c r="R251" s="474"/>
      <c r="S251" s="474"/>
      <c r="T251" s="474">
        <f>T234</f>
        <v>16060010</v>
      </c>
      <c r="U251" s="474"/>
      <c r="V251" s="474"/>
      <c r="W251" s="474">
        <f>W234</f>
        <v>15030201</v>
      </c>
      <c r="X251" s="474"/>
      <c r="Y251" s="474"/>
    </row>
    <row r="252" spans="1:25" x14ac:dyDescent="0.2">
      <c r="B252" s="474" t="str">
        <f>B235</f>
        <v>SS</v>
      </c>
      <c r="C252" s="474"/>
      <c r="D252" s="474"/>
      <c r="E252" s="474" t="str">
        <f>E235</f>
        <v>UQ</v>
      </c>
      <c r="F252" s="474"/>
      <c r="G252" s="474"/>
      <c r="H252" s="474" t="str">
        <f>H235</f>
        <v>BUR</v>
      </c>
      <c r="I252" s="474"/>
      <c r="J252" s="474"/>
      <c r="K252" s="474" t="str">
        <f>K235</f>
        <v>RSCV</v>
      </c>
      <c r="L252" s="474"/>
      <c r="M252" s="474"/>
      <c r="N252" s="474" t="str">
        <f>N235</f>
        <v>SBSV</v>
      </c>
      <c r="O252" s="474"/>
      <c r="P252" s="474"/>
      <c r="Q252" s="474" t="str">
        <f>Q235</f>
        <v>CSF</v>
      </c>
      <c r="R252" s="474"/>
      <c r="S252" s="474"/>
      <c r="T252" s="474" t="str">
        <f>T235</f>
        <v>FLSSV</v>
      </c>
      <c r="U252" s="474"/>
      <c r="V252" s="474"/>
      <c r="W252" s="474" t="str">
        <f>W235</f>
        <v>BS</v>
      </c>
      <c r="X252" s="474"/>
      <c r="Y252" s="474"/>
    </row>
    <row r="253" spans="1:25" x14ac:dyDescent="0.2">
      <c r="B253" t="s">
        <v>440</v>
      </c>
      <c r="C253" t="s">
        <v>441</v>
      </c>
      <c r="D253" t="s">
        <v>442</v>
      </c>
      <c r="E253" t="s">
        <v>440</v>
      </c>
      <c r="F253" t="s">
        <v>441</v>
      </c>
      <c r="G253" t="s">
        <v>442</v>
      </c>
      <c r="H253" t="s">
        <v>440</v>
      </c>
      <c r="I253" t="s">
        <v>441</v>
      </c>
      <c r="J253" t="s">
        <v>442</v>
      </c>
      <c r="K253" t="s">
        <v>440</v>
      </c>
      <c r="L253" t="s">
        <v>441</v>
      </c>
      <c r="M253" t="s">
        <v>442</v>
      </c>
      <c r="N253" t="s">
        <v>440</v>
      </c>
      <c r="O253" t="s">
        <v>441</v>
      </c>
      <c r="P253" t="s">
        <v>442</v>
      </c>
      <c r="Q253" t="s">
        <v>440</v>
      </c>
      <c r="R253" t="s">
        <v>441</v>
      </c>
      <c r="S253" t="s">
        <v>442</v>
      </c>
      <c r="T253" t="s">
        <v>440</v>
      </c>
      <c r="U253" t="s">
        <v>441</v>
      </c>
      <c r="V253" t="s">
        <v>442</v>
      </c>
      <c r="W253" t="s">
        <v>440</v>
      </c>
      <c r="X253" t="s">
        <v>441</v>
      </c>
      <c r="Y253" t="s">
        <v>442</v>
      </c>
    </row>
    <row r="254" spans="1:25" x14ac:dyDescent="0.2">
      <c r="A254" t="s">
        <v>436</v>
      </c>
      <c r="B254">
        <f>VLOOKUP(B251,'8. Uncertainty Results'!$B$332:$E$344,2,FALSE)*(cubicm/gal)*(day/yr)</f>
        <v>625.85597998271817</v>
      </c>
      <c r="C254">
        <f>B254</f>
        <v>625.85597998271817</v>
      </c>
      <c r="D254">
        <f>B254</f>
        <v>625.85597998271817</v>
      </c>
      <c r="E254">
        <f>VLOOKUP(E251,'8. Uncertainty Results'!$B$332:$E$344,2,FALSE)*(cubicm/gal)*(day/yr)</f>
        <v>127.79266653950087</v>
      </c>
      <c r="F254">
        <f>E254</f>
        <v>127.79266653950087</v>
      </c>
      <c r="G254">
        <f>E254</f>
        <v>127.79266653950087</v>
      </c>
      <c r="H254">
        <f>VLOOKUP(H251,'8. Uncertainty Results'!$B$332:$E$344,2,FALSE)*(cubicm/gal)*(day/yr)</f>
        <v>59.032314513597889</v>
      </c>
      <c r="I254">
        <f>H254</f>
        <v>59.032314513597889</v>
      </c>
      <c r="J254">
        <f>H254</f>
        <v>59.032314513597889</v>
      </c>
      <c r="K254">
        <f>VLOOKUP(K251,'8. Uncertainty Results'!$B$332:$E$344,2,FALSE)*(cubicm/gal)*(day/yr)</f>
        <v>47.380666011211368</v>
      </c>
      <c r="L254">
        <f>K254</f>
        <v>47.380666011211368</v>
      </c>
      <c r="M254">
        <f>K254</f>
        <v>47.380666011211368</v>
      </c>
      <c r="N254">
        <f>VLOOKUP(N251,'8. Uncertainty Results'!$B$332:$E$344,2,FALSE)*(cubicm/gal)*(day/yr)</f>
        <v>30.686504764784893</v>
      </c>
      <c r="O254">
        <f>N254</f>
        <v>30.686504764784893</v>
      </c>
      <c r="P254">
        <f>N254</f>
        <v>30.686504764784893</v>
      </c>
      <c r="Q254">
        <f>VLOOKUP(Q251,'8. Uncertainty Results'!$B$332:$E$344,2,FALSE)*(cubicm/gal)*(day/yr)</f>
        <v>36.200539419752843</v>
      </c>
      <c r="R254">
        <f>Q254</f>
        <v>36.200539419752843</v>
      </c>
      <c r="S254">
        <f>Q254</f>
        <v>36.200539419752843</v>
      </c>
      <c r="T254">
        <f>VLOOKUP(T251,'8. Uncertainty Results'!$B$332:$E$344,2,FALSE)*(cubicm/gal)*(day/yr)</f>
        <v>52.782511299144602</v>
      </c>
      <c r="U254">
        <f>T254</f>
        <v>52.782511299144602</v>
      </c>
      <c r="V254">
        <f>T254</f>
        <v>52.782511299144602</v>
      </c>
      <c r="W254">
        <f>VLOOKUP(W251,'8. Uncertainty Results'!$B$332:$E$344,2,FALSE)*(cubicm/gal)*(day/yr)</f>
        <v>104.52150783485807</v>
      </c>
      <c r="X254">
        <f>W254</f>
        <v>104.52150783485807</v>
      </c>
      <c r="Y254">
        <f>W254</f>
        <v>104.52150783485807</v>
      </c>
    </row>
    <row r="255" spans="1:25" x14ac:dyDescent="0.2">
      <c r="A255" t="s">
        <v>437</v>
      </c>
      <c r="B255">
        <f>VLOOKUP(B251,'8. Uncertainty Results'!$B$332:$E$344,4,FALSE)*(cubicm/gal)*(day/yr)</f>
        <v>652.74031792099902</v>
      </c>
      <c r="C255">
        <f>B255</f>
        <v>652.74031792099902</v>
      </c>
      <c r="D255">
        <f>B255</f>
        <v>652.74031792099902</v>
      </c>
      <c r="E255">
        <f>VLOOKUP(E251,'8. Uncertainty Results'!$B$332:$E$344,4,FALSE)*(cubicm/gal)*(day/yr)</f>
        <v>325.88025020818134</v>
      </c>
      <c r="F255">
        <f>E255</f>
        <v>325.88025020818134</v>
      </c>
      <c r="G255">
        <f>E255</f>
        <v>325.88025020818134</v>
      </c>
      <c r="H255">
        <f>VLOOKUP(H251,'8. Uncertainty Results'!$B$332:$E$344,4,FALSE)*(cubicm/gal)*(day/yr)</f>
        <v>136.00831324445119</v>
      </c>
      <c r="I255">
        <f>H255</f>
        <v>136.00831324445119</v>
      </c>
      <c r="J255">
        <f>H255</f>
        <v>136.00831324445119</v>
      </c>
      <c r="K255">
        <f>VLOOKUP(K251,'8. Uncertainty Results'!$B$332:$E$344,4,FALSE)*(cubicm/gal)*(day/yr)</f>
        <v>100.3289937691587</v>
      </c>
      <c r="L255">
        <f>K255</f>
        <v>100.3289937691587</v>
      </c>
      <c r="M255">
        <f>K255</f>
        <v>100.3289937691587</v>
      </c>
      <c r="N255">
        <f>VLOOKUP(N251,'8. Uncertainty Results'!$B$332:$E$344,4,FALSE)*(cubicm/gal)*(day/yr)</f>
        <v>116.24558571719298</v>
      </c>
      <c r="O255">
        <f>N255</f>
        <v>116.24558571719298</v>
      </c>
      <c r="P255">
        <f>N255</f>
        <v>116.24558571719298</v>
      </c>
      <c r="Q255">
        <f>VLOOKUP(Q251,'8. Uncertainty Results'!$B$332:$E$344,4,FALSE)*(cubicm/gal)*(day/yr)</f>
        <v>108.67046056949388</v>
      </c>
      <c r="R255">
        <f>Q255</f>
        <v>108.67046056949388</v>
      </c>
      <c r="S255">
        <f>Q255</f>
        <v>108.67046056949388</v>
      </c>
      <c r="T255">
        <f>VLOOKUP(T251,'8. Uncertainty Results'!$B$332:$E$344,4,FALSE)*(cubicm/gal)*(day/yr)</f>
        <v>119.33286533503804</v>
      </c>
      <c r="U255">
        <f>T255</f>
        <v>119.33286533503804</v>
      </c>
      <c r="V255">
        <f>T255</f>
        <v>119.33286533503804</v>
      </c>
      <c r="W255">
        <f>VLOOKUP(W251,'8. Uncertainty Results'!$B$332:$E$344,4,FALSE)*(cubicm/gal)*(day/yr)</f>
        <v>301.41741579291289</v>
      </c>
      <c r="X255">
        <f>W255</f>
        <v>301.41741579291289</v>
      </c>
      <c r="Y255">
        <f>W255</f>
        <v>301.41741579291289</v>
      </c>
    </row>
    <row r="256" spans="1:25" x14ac:dyDescent="0.2">
      <c r="A256" t="s">
        <v>438</v>
      </c>
      <c r="B256">
        <f>VLOOKUP(B251,'8. Uncertainty Results'!$A$79:$CM$90,2+$A$232,FALSE)*((cubicm/gal)*(day/yr))</f>
        <v>18.370294307044844</v>
      </c>
      <c r="C256">
        <f>VLOOKUP(B251,'8. Uncertainty Results'!$A$79:$CM$90,3+$A$232,FALSE)*((cubicm/gal)*(day/yr))</f>
        <v>19.16340719132279</v>
      </c>
      <c r="D256">
        <f>VLOOKUP(B251,'8. Uncertainty Results'!$A$79:$CM$90,4+$A$232,FALSE)*((cubicm/gal)*(day/yr))</f>
        <v>19.857366450704347</v>
      </c>
      <c r="E256">
        <f>VLOOKUP(E251,'8. Uncertainty Results'!$A$79:$CM$90,2+$A$232,FALSE)*((cubicm/gal)*(day/yr))</f>
        <v>0</v>
      </c>
      <c r="F256">
        <f>VLOOKUP(E251,'8. Uncertainty Results'!$A$79:$CM$90,3+$A$232,FALSE)*((cubicm/gal)*(day/yr))</f>
        <v>0</v>
      </c>
      <c r="G256">
        <f>VLOOKUP(E251,'8. Uncertainty Results'!$A$79:$CM$90,4+$A$232,FALSE)*((cubicm/gal)*(day/yr))</f>
        <v>0</v>
      </c>
      <c r="H256">
        <f>VLOOKUP(H251,'8. Uncertainty Results'!$A$79:$CM$90,2+$A$232,FALSE)*((cubicm/gal)*(day/yr))</f>
        <v>27.120053520782715</v>
      </c>
      <c r="I256">
        <f>VLOOKUP(H251,'8. Uncertainty Results'!$A$79:$CM$90,3+$A$232,FALSE)*((cubicm/gal)*(day/yr))</f>
        <v>28.839201201634456</v>
      </c>
      <c r="J256">
        <f>VLOOKUP(H251,'8. Uncertainty Results'!$A$79:$CM$90,4+$A$232,FALSE)*((cubicm/gal)*(day/yr))</f>
        <v>30.438158989464689</v>
      </c>
      <c r="K256">
        <f>VLOOKUP(K251,'8. Uncertainty Results'!$A$79:$CM$90,2+$A$232,FALSE)*((cubicm/gal)*(day/yr))</f>
        <v>0.10889335497136844</v>
      </c>
      <c r="L256">
        <f>VLOOKUP(K251,'8. Uncertainty Results'!$A$79:$CM$90,3+$A$232,FALSE)*((cubicm/gal)*(day/yr))</f>
        <v>0.1157645612976667</v>
      </c>
      <c r="M256">
        <f>VLOOKUP(K251,'8. Uncertainty Results'!$A$79:$CM$90,4+$A$232,FALSE)*((cubicm/gal)*(day/yr))</f>
        <v>0.12214975215195213</v>
      </c>
      <c r="N256">
        <f>VLOOKUP(N251,'8. Uncertainty Results'!$A$79:$CM$90,2+$A$232,FALSE)*((cubicm/gal)*(day/yr))</f>
        <v>7.2488750012151729E-2</v>
      </c>
      <c r="O256">
        <f>VLOOKUP(N251,'8. Uncertainty Results'!$A$79:$CM$90,3+$A$232,FALSE)*((cubicm/gal)*(day/yr))</f>
        <v>7.722694343541972E-2</v>
      </c>
      <c r="P256">
        <f>VLOOKUP(N251,'8. Uncertainty Results'!$A$79:$CM$90,4+$A$232,FALSE)*((cubicm/gal)*(day/yr))</f>
        <v>8.1500386161665855E-2</v>
      </c>
      <c r="Q256">
        <f>VLOOKUP(Q251,'8. Uncertainty Results'!$A$79:$CM$90,2+$A$232,FALSE)*((cubicm/gal)*(day/yr))</f>
        <v>0.10886504261747026</v>
      </c>
      <c r="R256">
        <f>VLOOKUP(Q251,'8. Uncertainty Results'!$A$79:$CM$90,3+$A$232,FALSE)*((cubicm/gal)*(day/yr))</f>
        <v>0.11581671696117475</v>
      </c>
      <c r="S256">
        <f>VLOOKUP(Q251,'8. Uncertainty Results'!$A$79:$CM$90,4+$A$232,FALSE)*((cubicm/gal)*(day/yr))</f>
        <v>0.12211479625980041</v>
      </c>
      <c r="T256">
        <f>VLOOKUP(T251,'8. Uncertainty Results'!$A$79:$CM$90,2+$A$232,FALSE)*((cubicm/gal)*(day/yr))</f>
        <v>17.808944544252451</v>
      </c>
      <c r="U256">
        <f>VLOOKUP(T251,'8. Uncertainty Results'!$A$79:$CM$90,3+$A$232,FALSE)*((cubicm/gal)*(day/yr))</f>
        <v>18.566483540213987</v>
      </c>
      <c r="V256">
        <f>VLOOKUP(T251,'8. Uncertainty Results'!$A$79:$CM$90,4+$A$232,FALSE)*((cubicm/gal)*(day/yr))</f>
        <v>19.245646444876463</v>
      </c>
      <c r="W256">
        <f>VLOOKUP(W251,'8. Uncertainty Results'!$A$79:$CM$90,2+$A$232,FALSE)*((cubicm/gal)*(day/yr))</f>
        <v>27.108679868574555</v>
      </c>
      <c r="X256">
        <f>VLOOKUP(W251,'8. Uncertainty Results'!$A$79:$CM$90,3+$A$232,FALSE)*((cubicm/gal)*(day/yr))</f>
        <v>28.85500563005883</v>
      </c>
      <c r="Y256">
        <f>VLOOKUP(W251,'8. Uncertainty Results'!$A$79:$CM$90,4+$A$232,FALSE)*((cubicm/gal)*(day/yr))</f>
        <v>30.452341479330187</v>
      </c>
    </row>
    <row r="257" spans="1:25" x14ac:dyDescent="0.2">
      <c r="A257" t="s">
        <v>400</v>
      </c>
      <c r="B257">
        <f>VLOOKUP(B251,'8. Uncertainty Results'!$A$79:$CM$90,17+$A$232,FALSE)*((cubicm/gal)*(day/yr))</f>
        <v>31.173107918562433</v>
      </c>
      <c r="C257">
        <f>VLOOKUP(B251,'8. Uncertainty Results'!$A$79:$CM$90,18+$A$232+$A$232,FALSE)*((cubicm/gal)*(day/yr))</f>
        <v>0</v>
      </c>
      <c r="D257">
        <f>VLOOKUP(B251,'8. Uncertainty Results'!$A$79:$CM$90,19+$A$232,FALSE)*((cubicm/gal)*(day/yr))</f>
        <v>33.821380980546728</v>
      </c>
      <c r="E257">
        <f>VLOOKUP(E251,'8. Uncertainty Results'!$A$79:$CM$90,17+$A$232,FALSE)*((cubicm/gal)*(day/yr))</f>
        <v>4.3739515120918124</v>
      </c>
      <c r="F257">
        <f>VLOOKUP(E251,'8. Uncertainty Results'!$A$79:$CM$90,18+$A$232,FALSE)*((cubicm/gal)*(day/yr))</f>
        <v>4.5245416435496999</v>
      </c>
      <c r="G257">
        <f>VLOOKUP(E251,'8. Uncertainty Results'!$A$79:$CM$90,19+$A$232,FALSE)*((cubicm/gal)*(day/yr))</f>
        <v>4.6767082757813832</v>
      </c>
      <c r="H257">
        <f>VLOOKUP(H251,'8. Uncertainty Results'!$A$79:$CM$90,17+$A$232,FALSE)*((cubicm/gal)*(day/yr))</f>
        <v>56.728326344312435</v>
      </c>
      <c r="I257">
        <f>VLOOKUP(H251,'8. Uncertainty Results'!$A$79:$CM$90,18+$A$232,FALSE)*((cubicm/gal)*(day/yr))</f>
        <v>61.613076847307674</v>
      </c>
      <c r="J257">
        <f>VLOOKUP(H251,'8. Uncertainty Results'!$A$79:$CM$90,19+$A$232,FALSE)*((cubicm/gal)*(day/yr))</f>
        <v>66.186032543104901</v>
      </c>
      <c r="K257">
        <f>VLOOKUP(K251,'8. Uncertainty Results'!$A$79:$CM$90,17+$A$232,FALSE)*((cubicm/gal)*(day/yr))</f>
        <v>8.1380841646257451</v>
      </c>
      <c r="L257">
        <f>VLOOKUP(K251,'8. Uncertainty Results'!$A$79:$CM$90,18+$A$232,FALSE)*((cubicm/gal)*(day/yr))</f>
        <v>8.9876057462980601</v>
      </c>
      <c r="M257">
        <f>VLOOKUP(K251,'8. Uncertainty Results'!$A$79:$CM$90,19+$A$232,FALSE)*((cubicm/gal)*(day/yr))</f>
        <v>9.6777876176995257</v>
      </c>
      <c r="N257">
        <f>VLOOKUP(N251,'8. Uncertainty Results'!$A$79:$CM$90,17+$A$232,FALSE)*((cubicm/gal)*(day/yr))</f>
        <v>5.6752443696935924</v>
      </c>
      <c r="O257">
        <f>VLOOKUP(N251,'8. Uncertainty Results'!$A$79:$CM$90,18+$A$232,FALSE)*((cubicm/gal)*(day/yr))</f>
        <v>6.2399377546426162</v>
      </c>
      <c r="P257">
        <f>VLOOKUP(N251,'8. Uncertainty Results'!$A$79:$CM$90,19+$A$232,FALSE)*((cubicm/gal)*(day/yr))</f>
        <v>6.7047583137450584</v>
      </c>
      <c r="Q257">
        <f>VLOOKUP(Q251,'8. Uncertainty Results'!$A$79:$CM$90,17+$A$232,FALSE)*((cubicm/gal)*(day/yr))</f>
        <v>8.1391906916813603</v>
      </c>
      <c r="R257">
        <f>VLOOKUP(Q251,'8. Uncertainty Results'!$A$79:$CM$90,18+$A$232,FALSE)*((cubicm/gal)*(day/yr))</f>
        <v>8.9901981543619005</v>
      </c>
      <c r="S257">
        <f>VLOOKUP(Q251,'8. Uncertainty Results'!$A$79:$CM$90,19+$A$232,FALSE)*((cubicm/gal)*(day/yr))</f>
        <v>9.6769519252277156</v>
      </c>
      <c r="T257">
        <f>VLOOKUP(T251,'8. Uncertainty Results'!$A$79:$CM$90,17+$A$232,FALSE)*((cubicm/gal)*(day/yr))</f>
        <v>1.275168354645565</v>
      </c>
      <c r="U257">
        <f>VLOOKUP(T251,'8. Uncertainty Results'!$A$79:$CM$90,18+$A$232,FALSE)*((cubicm/gal)*(day/yr))</f>
        <v>1.3342635966967189</v>
      </c>
      <c r="V257">
        <f>VLOOKUP(T251,'8. Uncertainty Results'!$A$79:$CM$90,19+$A$232,FALSE)*((cubicm/gal)*(day/yr))</f>
        <v>1.3927411754873977</v>
      </c>
      <c r="W257">
        <f>VLOOKUP(W251,'8. Uncertainty Results'!$A$79:$CM$90,17+$A$232,FALSE)*((cubicm/gal)*(day/yr))</f>
        <v>56.667239757254698</v>
      </c>
      <c r="X257">
        <f>VLOOKUP(W251,'8. Uncertainty Results'!$A$79:$CM$90,18+$A$232,FALSE)*((cubicm/gal)*(day/yr))</f>
        <v>61.51176394370794</v>
      </c>
      <c r="Y257">
        <f>VLOOKUP(W251,'8. Uncertainty Results'!$A$79:$CM$90,19+$A$232,FALSE)*((cubicm/gal)*(day/yr))</f>
        <v>66.052327997489044</v>
      </c>
    </row>
    <row r="258" spans="1:25" x14ac:dyDescent="0.2">
      <c r="A258" t="s">
        <v>401</v>
      </c>
      <c r="B258">
        <f>VLOOKUP(B251,'8. Uncertainty Results'!$A$79:$CM$90,32+$A$232,FALSE)*((cubicm/gal)*(day/yr))</f>
        <v>0</v>
      </c>
      <c r="C258">
        <f>VLOOKUP(B251,'8. Uncertainty Results'!$A$79:$CM$90,33+$A$232,FALSE)*((cubicm/gal)*(day/yr))</f>
        <v>0</v>
      </c>
      <c r="D258">
        <f>VLOOKUP(B251,'8. Uncertainty Results'!$A$79:$CM$90,34+$A$232,FALSE)*((cubicm/gal)*(day/yr))</f>
        <v>0</v>
      </c>
      <c r="E258">
        <f>VLOOKUP(E251,'8. Uncertainty Results'!$A$79:$CM$90,32+$A$232,FALSE)*((cubicm/gal)*(day/yr))</f>
        <v>0</v>
      </c>
      <c r="F258">
        <f>VLOOKUP(E251,'8. Uncertainty Results'!$A$79:$CM$90,33+$A$232,FALSE)*((cubicm/gal)*(day/yr))</f>
        <v>0</v>
      </c>
      <c r="G258">
        <f>VLOOKUP(E251,'8. Uncertainty Results'!$A$79:$CM$90,34+$A$232,FALSE)*((cubicm/gal)*(day/yr))</f>
        <v>0</v>
      </c>
      <c r="H258">
        <f>VLOOKUP(H251,'8. Uncertainty Results'!$A$79:$CM$90,32+$A$232,FALSE)*((cubicm/gal)*(day/yr))</f>
        <v>0</v>
      </c>
      <c r="I258">
        <f>VLOOKUP(H251,'8. Uncertainty Results'!$A$79:$CM$90,33+$A$232,FALSE)*((cubicm/gal)*(day/yr))</f>
        <v>0</v>
      </c>
      <c r="J258">
        <f>VLOOKUP(H251,'8. Uncertainty Results'!$A$79:$CM$90,34+$A$232,FALSE)*((cubicm/gal)*(day/yr))</f>
        <v>0</v>
      </c>
      <c r="K258">
        <f>VLOOKUP(K251,'8. Uncertainty Results'!$A$79:$CM$90,32+$A$232,FALSE)*((cubicm/gal)*(day/yr))</f>
        <v>0</v>
      </c>
      <c r="L258">
        <f>VLOOKUP(K251,'8. Uncertainty Results'!$A$79:$CM$90,33+$A$232,FALSE)*((cubicm/gal)*(day/yr))</f>
        <v>0</v>
      </c>
      <c r="M258">
        <f>VLOOKUP(K251,'8. Uncertainty Results'!$A$79:$CM$90,34+$A$232,FALSE)*((cubicm/gal)*(day/yr))</f>
        <v>0</v>
      </c>
      <c r="N258">
        <f>VLOOKUP(N251,'8. Uncertainty Results'!$A$79:$CM$90,32+$A$232,FALSE)*((cubicm/gal)*(day/yr))</f>
        <v>0</v>
      </c>
      <c r="O258">
        <f>VLOOKUP(N251,'8. Uncertainty Results'!$A$79:$CM$90,33+$A$232,FALSE)*((cubicm/gal)*(day/yr))</f>
        <v>0</v>
      </c>
      <c r="P258">
        <f>VLOOKUP(N251,'8. Uncertainty Results'!$A$79:$CM$90,34+$A$232,FALSE)*((cubicm/gal)*(day/yr))</f>
        <v>0</v>
      </c>
      <c r="Q258">
        <f>VLOOKUP(Q251,'8. Uncertainty Results'!$A$79:$CM$90,32+$A$232,FALSE)*((cubicm/gal)*(day/yr))</f>
        <v>0</v>
      </c>
      <c r="R258">
        <f>VLOOKUP(Q251,'8. Uncertainty Results'!$A$79:$CM$90,33+$A$232,FALSE)*((cubicm/gal)*(day/yr))</f>
        <v>0</v>
      </c>
      <c r="S258">
        <f>VLOOKUP(Q251,'8. Uncertainty Results'!$A$79:$CM$90,34+$A$232,FALSE)*((cubicm/gal)*(day/yr))</f>
        <v>0</v>
      </c>
      <c r="T258">
        <f>VLOOKUP(T251,'8. Uncertainty Results'!$A$79:$CM$90,32+$A$232,FALSE)*((cubicm/gal)*(day/yr))</f>
        <v>0</v>
      </c>
      <c r="U258">
        <f>VLOOKUP(T251,'8. Uncertainty Results'!$A$79:$CM$90,33+$A$232,FALSE)*((cubicm/gal)*(day/yr))</f>
        <v>0</v>
      </c>
      <c r="V258">
        <f>VLOOKUP(T251,'8. Uncertainty Results'!$A$79:$CM$90,34+$A$232,FALSE)*((cubicm/gal)*(day/yr))</f>
        <v>0</v>
      </c>
      <c r="W258">
        <f>VLOOKUP(W251,'8. Uncertainty Results'!$A$79:$CM$90,32+$A$232,FALSE)*((cubicm/gal)*(day/yr))</f>
        <v>0</v>
      </c>
      <c r="X258">
        <f>VLOOKUP(W251,'8. Uncertainty Results'!$A$79:$CM$90,33+$A$232,FALSE)*((cubicm/gal)*(day/yr))</f>
        <v>0</v>
      </c>
      <c r="Y258">
        <f>VLOOKUP(W251,'8. Uncertainty Results'!$A$79:$CM$90,34+$A$232,FALSE)*((cubicm/gal)*(day/yr))</f>
        <v>0</v>
      </c>
    </row>
    <row r="259" spans="1:25" x14ac:dyDescent="0.2">
      <c r="A259" t="s">
        <v>402</v>
      </c>
      <c r="B259">
        <f>VLOOKUP(B251,'8. Uncertainty Results'!$A$79:$CM$91,47+$A$232,FALSE)*((cubicm/gal)*(day/yr))</f>
        <v>2172.0949275240309</v>
      </c>
      <c r="C259">
        <f>VLOOKUP(B251,'8. Uncertainty Results'!$A$79:$CM$91,48+$A$232,FALSE)*((cubicm/gal)*(day/yr))</f>
        <v>3352.5094823179843</v>
      </c>
      <c r="D259">
        <f>VLOOKUP(B251,'8. Uncertainty Results'!$A$79:$CM$91,49+$A$232,FALSE)*((cubicm/gal)*(day/yr))</f>
        <v>4640.7881226302543</v>
      </c>
      <c r="E259">
        <f>VLOOKUP(E251,'8. Uncertainty Results'!$A$79:$CM$90,47+$A$232,FALSE)*((cubicm/gal)*(day/yr))</f>
        <v>534.70624504340049</v>
      </c>
      <c r="F259">
        <f>VLOOKUP(E251,'8. Uncertainty Results'!$A$79:$CM$90,48+$A$232,FALSE)*((cubicm/gal)*(day/yr))</f>
        <v>714.99716955689996</v>
      </c>
      <c r="G259">
        <f>VLOOKUP(E251,'8. Uncertainty Results'!$A$79:$CM$90,49+$A$232,FALSE)*((cubicm/gal)*(day/yr))</f>
        <v>923.15127120281159</v>
      </c>
      <c r="H259">
        <f>VLOOKUP(H251,'8. Uncertainty Results'!$A$79:$CM$90,47+$A$232,FALSE)*((cubicm/gal)*(day/yr))</f>
        <v>54.294441359776378</v>
      </c>
      <c r="I259">
        <f>VLOOKUP(H251,'8. Uncertainty Results'!$A$79:$CM$90,48+$A$232,FALSE)*((cubicm/gal)*(day/yr))</f>
        <v>79.697126883463199</v>
      </c>
      <c r="J259">
        <f>VLOOKUP(H251,'8. Uncertainty Results'!$A$79:$CM$90,49+$A$232,FALSE)*((cubicm/gal)*(day/yr))</f>
        <v>108.87919859343815</v>
      </c>
      <c r="K259">
        <f>VLOOKUP(K251,'8. Uncertainty Results'!$A$79:$CM$90,47+$A$232,FALSE)*((cubicm/gal)*(day/yr))</f>
        <v>63.958087745134939</v>
      </c>
      <c r="L259">
        <f>VLOOKUP(K251,'8. Uncertainty Results'!$A$79:$CM$90,48+$A$232,FALSE)*((cubicm/gal)*(day/yr))</f>
        <v>88.219475160135246</v>
      </c>
      <c r="M259">
        <f>VLOOKUP(K251,'8. Uncertainty Results'!$A$79:$CM$90,49+$A$232,FALSE)*((cubicm/gal)*(day/yr))</f>
        <v>115.85922065341774</v>
      </c>
      <c r="N259">
        <f>VLOOKUP(N251,'8. Uncertainty Results'!$A$79:$CM$90,47+$A$232,FALSE)*((cubicm/gal)*(day/yr))</f>
        <v>46.982199254985005</v>
      </c>
      <c r="O259">
        <f>VLOOKUP(N251,'8. Uncertainty Results'!$A$79:$CM$90,48+$A$232,FALSE)*((cubicm/gal)*(day/yr))</f>
        <v>64.289152327917904</v>
      </c>
      <c r="P259">
        <f>VLOOKUP(N251,'8. Uncertainty Results'!$A$79:$CM$90,49+$A$232,FALSE)*((cubicm/gal)*(day/yr))</f>
        <v>83.445642386847595</v>
      </c>
      <c r="Q259">
        <f>VLOOKUP(Q251,'8. Uncertainty Results'!$A$79:$CM$90,47+$A$232,FALSE)*((cubicm/gal)*(day/yr))</f>
        <v>63.815681212037141</v>
      </c>
      <c r="R259">
        <f>VLOOKUP(Q251,'8. Uncertainty Results'!$A$79:$CM$90,48+$A$232,FALSE)*((cubicm/gal)*(day/yr))</f>
        <v>88.231111671896102</v>
      </c>
      <c r="S259">
        <f>VLOOKUP(Q251,'8. Uncertainty Results'!$A$79:$CM$90,49+$A$232,FALSE)*((cubicm/gal)*(day/yr))</f>
        <v>116.12733122871717</v>
      </c>
      <c r="T259">
        <f>VLOOKUP(T251,'8. Uncertainty Results'!$A$79:$CM$90,47+$A$232,FALSE)*((cubicm/gal)*(day/yr))</f>
        <v>39.224746479449173</v>
      </c>
      <c r="U259">
        <f>VLOOKUP(T251,'8. Uncertainty Results'!$A$79:$CM$90,48+$A$232,FALSE)*((cubicm/gal)*(day/yr))</f>
        <v>53.932482987590973</v>
      </c>
      <c r="V259">
        <f>VLOOKUP(T251,'8. Uncertainty Results'!$A$79:$CM$90,49+$A$232,FALSE)*((cubicm/gal)*(day/yr))</f>
        <v>69.666446078149278</v>
      </c>
      <c r="W259">
        <f>VLOOKUP(W251,'8. Uncertainty Results'!$A$79:$CM$90,47+$A$232,FALSE)*((cubicm/gal)*(day/yr))</f>
        <v>53.883201708425659</v>
      </c>
      <c r="X259">
        <f>VLOOKUP(W251,'8. Uncertainty Results'!$A$79:$CM$90,48+$A$232,FALSE)*((cubicm/gal)*(day/yr))</f>
        <v>80.010028427299972</v>
      </c>
      <c r="Y259">
        <f>VLOOKUP(W251,'8. Uncertainty Results'!$A$79:$CM$90,49+$A$232,FALSE)*((cubicm/gal)*(day/yr))</f>
        <v>108.9935055340984</v>
      </c>
    </row>
    <row r="260" spans="1:25" x14ac:dyDescent="0.2">
      <c r="A260" t="s">
        <v>403</v>
      </c>
      <c r="B260">
        <f>VLOOKUP(B251,'8. Uncertainty Results'!$A$79:$CM$90,62+$A$232,FALSE)*((cubicm/gal)*(day/yr))</f>
        <v>5.021524774195794</v>
      </c>
      <c r="C260">
        <f>VLOOKUP(B251,'8. Uncertainty Results'!$A$79:$CM$90,63+$A$232,FALSE)*((cubicm/gal)*(day/yr))</f>
        <v>5.031399073198032</v>
      </c>
      <c r="D260">
        <f>VLOOKUP(B251,'8. Uncertainty Results'!$A$79:$CM$90,64+$A$232,FALSE)*((cubicm/gal)*(day/yr))</f>
        <v>5.0390851006984514</v>
      </c>
      <c r="E260">
        <f>VLOOKUP(E251,'8. Uncertainty Results'!$A$79:$CM$90,62+$A$232,FALSE)*((cubicm/gal)*(day/yr))</f>
        <v>1.0729998811961101</v>
      </c>
      <c r="F260">
        <f>VLOOKUP(E251,'8. Uncertainty Results'!$A$79:$CM$90,63+$A$232,FALSE)*((cubicm/gal)*(day/yr))</f>
        <v>1.0844104079236108</v>
      </c>
      <c r="G260">
        <f>VLOOKUP(E251,'8. Uncertainty Results'!$A$79:$CM$90,64+$A$232,FALSE)*((cubicm/gal)*(day/yr))</f>
        <v>1.0957636484652054</v>
      </c>
      <c r="H260">
        <f>VLOOKUP(H251,'8. Uncertainty Results'!$A$79:$CM$90,62+$A$232,FALSE)*((cubicm/gal)*(day/yr))</f>
        <v>0.50324445952442731</v>
      </c>
      <c r="I260">
        <f>VLOOKUP(H251,'8. Uncertainty Results'!$A$79:$CM$90,63+$A$232,FALSE)*((cubicm/gal)*(day/yr))</f>
        <v>0.51410934937614694</v>
      </c>
      <c r="J260">
        <f>VLOOKUP(H251,'8. Uncertainty Results'!$A$79:$CM$90,64+$A$232,FALSE)*((cubicm/gal)*(day/yr))</f>
        <v>0.52434327405758963</v>
      </c>
      <c r="K260">
        <f>VLOOKUP(K251,'8. Uncertainty Results'!$A$79:$CM$90,62+$A$232,FALSE)*((cubicm/gal)*(day/yr))</f>
        <v>0.27955146870439496</v>
      </c>
      <c r="L260">
        <f>VLOOKUP(K251,'8. Uncertainty Results'!$A$79:$CM$90,63+$A$232,FALSE)*((cubicm/gal)*(day/yr))</f>
        <v>0.2853705966891697</v>
      </c>
      <c r="M260">
        <f>VLOOKUP(K251,'8. Uncertainty Results'!$A$79:$CM$90,64+$A$232,FALSE)*((cubicm/gal)*(day/yr))</f>
        <v>0.29103114516501366</v>
      </c>
      <c r="N260">
        <f>VLOOKUP(N251,'8. Uncertainty Results'!$A$79:$CM$90,62+$A$232,FALSE)*((cubicm/gal)*(day/yr))</f>
        <v>0.19703403278019113</v>
      </c>
      <c r="O260">
        <f>VLOOKUP(N251,'8. Uncertainty Results'!$A$79:$CM$90,63+$A$232,FALSE)*((cubicm/gal)*(day/yr))</f>
        <v>0.20117116674074498</v>
      </c>
      <c r="P260">
        <f>VLOOKUP(N251,'8. Uncertainty Results'!$A$79:$CM$90,64+$A$232,FALSE)*((cubicm/gal)*(day/yr))</f>
        <v>0.20512986480907877</v>
      </c>
      <c r="Q260">
        <f>VLOOKUP(Q251,'8. Uncertainty Results'!$A$79:$CM$90,62+$A$232,FALSE)*((cubicm/gal)*(day/yr))</f>
        <v>0.2795753857999384</v>
      </c>
      <c r="R260">
        <f>VLOOKUP(Q251,'8. Uncertainty Results'!$A$79:$CM$90,63+$A$232,FALSE)*((cubicm/gal)*(day/yr))</f>
        <v>0.28535154542533764</v>
      </c>
      <c r="S260">
        <f>VLOOKUP(Q251,'8. Uncertainty Results'!$A$79:$CM$90,64+$A$232,FALSE)*((cubicm/gal)*(day/yr))</f>
        <v>0.29090357392758809</v>
      </c>
      <c r="T260">
        <f>VLOOKUP(T251,'8. Uncertainty Results'!$A$79:$CM$90,62+$A$232,FALSE)*((cubicm/gal)*(day/yr))</f>
        <v>0.10149355577979309</v>
      </c>
      <c r="U260">
        <f>VLOOKUP(T251,'8. Uncertainty Results'!$A$79:$CM$90,63+$A$232,FALSE)*((cubicm/gal)*(day/yr))</f>
        <v>0.101952788377771</v>
      </c>
      <c r="V260">
        <f>VLOOKUP(T251,'8. Uncertainty Results'!$A$79:$CM$90,64+$A$232,FALSE)*((cubicm/gal)*(day/yr))</f>
        <v>0.10239004522882632</v>
      </c>
      <c r="W260">
        <f>VLOOKUP(W251,'8. Uncertainty Results'!$A$79:$CM$90,62+$A$232,FALSE)*((cubicm/gal)*(day/yr))</f>
        <v>0.50313132147839013</v>
      </c>
      <c r="X260">
        <f>VLOOKUP(W251,'8. Uncertainty Results'!$A$79:$CM$90,63+$A$232,FALSE)*((cubicm/gal)*(day/yr))</f>
        <v>0.51395830464415226</v>
      </c>
      <c r="Y260">
        <f>VLOOKUP(W251,'8. Uncertainty Results'!$A$79:$CM$90,64+$A$232,FALSE)*((cubicm/gal)*(day/yr))</f>
        <v>0.52417869792929239</v>
      </c>
    </row>
    <row r="261" spans="1:25" x14ac:dyDescent="0.2">
      <c r="A261" t="s">
        <v>439</v>
      </c>
      <c r="B261">
        <f>VLOOKUP(B251,'8. Uncertainty Results'!$A$79:$CM$90,77+$A$232,FALSE)*((cubicm/gal)*(day/yr))</f>
        <v>0</v>
      </c>
      <c r="C261">
        <f>VLOOKUP(B251,'8. Uncertainty Results'!$A$79:$CM$90,78+$A$232,FALSE)*((cubicm/gal)*(day/yr))</f>
        <v>0</v>
      </c>
      <c r="D261">
        <f>VLOOKUP(B251,'8. Uncertainty Results'!$A$79:$CM$90,79+$A$232,FALSE)*((cubicm/gal)*(day/yr))</f>
        <v>0</v>
      </c>
      <c r="E261">
        <f>VLOOKUP(E251,'8. Uncertainty Results'!$A$79:$CM$90,77+$A$232,FALSE)*((cubicm/gal)*(day/yr))</f>
        <v>1.0756621023240596</v>
      </c>
      <c r="F261">
        <f>VLOOKUP(E251,'8. Uncertainty Results'!$A$79:$CM$90,78+$A$232,FALSE)*((cubicm/gal)*(day/yr))</f>
        <v>1.1872171482851117</v>
      </c>
      <c r="G261">
        <f>VLOOKUP(E251,'8. Uncertainty Results'!$A$79:$CM$90,79+$A$232,FALSE)*((cubicm/gal)*(day/yr))</f>
        <v>1.3110874665386252</v>
      </c>
      <c r="H261">
        <f>VLOOKUP(H251,'8. Uncertainty Results'!$A$79:$CM$90,77+$A$232,FALSE)*((cubicm/gal)*(day/yr))</f>
        <v>2.1266836188572382</v>
      </c>
      <c r="I261">
        <f>VLOOKUP(H251,'8. Uncertainty Results'!$A$79:$CM$90,78+$A$232,FALSE)*((cubicm/gal)*(day/yr))</f>
        <v>2.3898161674660132</v>
      </c>
      <c r="J261">
        <f>VLOOKUP(H251,'8. Uncertainty Results'!$A$79:$CM$90,79+$A$232,FALSE)*((cubicm/gal)*(day/yr))</f>
        <v>2.7099481112847892</v>
      </c>
      <c r="K261">
        <f>VLOOKUP(K251,'8. Uncertainty Results'!$A$79:$CM$90,77+$A$232,FALSE)*((cubicm/gal)*(day/yr))</f>
        <v>0</v>
      </c>
      <c r="L261">
        <f>VLOOKUP(K251,'8. Uncertainty Results'!$A$79:$CM$90,78+$A$232,FALSE)*((cubicm/gal)*(day/yr))</f>
        <v>0</v>
      </c>
      <c r="M261">
        <f>VLOOKUP(K251,'8. Uncertainty Results'!$A$79:$CM$90,79+$A$232,FALSE)*((cubicm/gal)*(day/yr))</f>
        <v>0</v>
      </c>
      <c r="N261">
        <f>VLOOKUP(N251,'8. Uncertainty Results'!$A$79:$CM$90,77+$A$232,FALSE)*((cubicm/gal)*(day/yr))</f>
        <v>0</v>
      </c>
      <c r="O261">
        <f>VLOOKUP(N251,'8. Uncertainty Results'!$A$79:$CM$90,78+$A$232,FALSE)*((cubicm/gal)*(day/yr))</f>
        <v>0</v>
      </c>
      <c r="P261">
        <f>VLOOKUP(N251,'8. Uncertainty Results'!$A$79:$CM$90,79+$A$232,FALSE)*((cubicm/gal)*(day/yr))</f>
        <v>0</v>
      </c>
      <c r="Q261">
        <f>VLOOKUP(Q251,'8. Uncertainty Results'!$A$79:$CM$90,77+$A$232,FALSE)*((cubicm/gal)*(day/yr))</f>
        <v>0</v>
      </c>
      <c r="R261">
        <f>VLOOKUP(Q251,'8. Uncertainty Results'!$A$79:$CM$90,78+$A$232,FALSE)*((cubicm/gal)*(day/yr))</f>
        <v>0</v>
      </c>
      <c r="S261">
        <f>VLOOKUP(Q251,'8. Uncertainty Results'!$A$79:$CM$90,79+$A$232,FALSE)*((cubicm/gal)*(day/yr))</f>
        <v>0</v>
      </c>
      <c r="T261">
        <f>VLOOKUP(T251,'8. Uncertainty Results'!$A$79:$CM$90,77+$A$232,FALSE)*((cubicm/gal)*(day/yr))</f>
        <v>0</v>
      </c>
      <c r="U261">
        <f>VLOOKUP(T251,'8. Uncertainty Results'!$A$79:$CM$90,78+$A$232,FALSE)*((cubicm/gal)*(day/yr))</f>
        <v>0</v>
      </c>
      <c r="V261">
        <f>VLOOKUP(T251,'8. Uncertainty Results'!$A$79:$CM$90,79+$A$232,FALSE)*((cubicm/gal)*(day/yr))</f>
        <v>0</v>
      </c>
      <c r="W261">
        <f>VLOOKUP(W251,'8. Uncertainty Results'!$A$79:$CM$90,77+$A$232,FALSE)*((cubicm/gal)*(day/yr))</f>
        <v>2.1257527236494496</v>
      </c>
      <c r="X261">
        <f>VLOOKUP(W251,'8. Uncertainty Results'!$A$79:$CM$90,78+$A$232,FALSE)*((cubicm/gal)*(day/yr))</f>
        <v>2.3907739309245541</v>
      </c>
      <c r="Y261">
        <f>VLOOKUP(W251,'8. Uncertainty Results'!$A$79:$CM$90,79+$A$232,FALSE)*((cubicm/gal)*(day/yr))</f>
        <v>2.7083175856937687</v>
      </c>
    </row>
    <row r="262" spans="1:25" x14ac:dyDescent="0.2">
      <c r="A262" t="s">
        <v>492</v>
      </c>
      <c r="B262">
        <f>VLOOKUP(B251,'8. Uncertainty Results'!$A$203:$D$215,2,FALSE)/1000000</f>
        <v>22.19928637592842</v>
      </c>
      <c r="C262">
        <f>VLOOKUP(B251,'8. Uncertainty Results'!$A$203:$D$215,3,FALSE)/1000000</f>
        <v>24.2754169819958</v>
      </c>
      <c r="D262">
        <f>VLOOKUP(B251,'8. Uncertainty Results'!$A$203:$D$215,4,FALSE)/1000000</f>
        <v>26.300815250844281</v>
      </c>
      <c r="E262">
        <f>VLOOKUP(E251,'8. Uncertainty Results'!$A$203:$D$215,2,FALSE)/1000000</f>
        <v>30.329777237026992</v>
      </c>
      <c r="F262">
        <f>VLOOKUP(E251,'8. Uncertainty Results'!$A$203:$D$215,3,FALSE)/1000000</f>
        <v>34.810209497471384</v>
      </c>
      <c r="G262">
        <f>VLOOKUP(E251,'8. Uncertainty Results'!$A$203:$D$215,4,FALSE)/1000000</f>
        <v>39.804593895523155</v>
      </c>
      <c r="H262">
        <f>VLOOKUP(H251,'8. Uncertainty Results'!$A$203:$D$215,2,FALSE)/1000000</f>
        <v>0.36684257135850085</v>
      </c>
      <c r="I262">
        <f>VLOOKUP(H251,'8. Uncertainty Results'!$A$203:$D$215,3,FALSE)/1000000</f>
        <v>1.9272387365708405</v>
      </c>
      <c r="J262">
        <f>VLOOKUP(H251,'8. Uncertainty Results'!$A$203:$D$215,4,FALSE)/1000000</f>
        <v>9.7366119085476832</v>
      </c>
      <c r="K262">
        <f>VLOOKUP(K251,'8. Uncertainty Results'!$A$203:$D$215,2,FALSE)/1000000</f>
        <v>28.572915147869598</v>
      </c>
      <c r="L262">
        <f>VLOOKUP(K251,'8. Uncertainty Results'!$A$203:$D$215,3,FALSE)/1000000</f>
        <v>36.784589510791825</v>
      </c>
      <c r="M262">
        <f>VLOOKUP(K251,'8. Uncertainty Results'!$A$203:$D$215,4,FALSE)/1000000</f>
        <v>63.986855731934547</v>
      </c>
      <c r="N262">
        <f>VLOOKUP(N251,'8. Uncertainty Results'!$A$203:$D$215,2,FALSE)/1000000</f>
        <v>12.60217290105447</v>
      </c>
      <c r="O262">
        <f>VLOOKUP(N251,'8. Uncertainty Results'!$A$203:$D$215,3,FALSE)/1000000</f>
        <v>19.226978004610444</v>
      </c>
      <c r="P262">
        <f>VLOOKUP(N251,'8. Uncertainty Results'!$A$203:$D$215,4,FALSE)/1000000</f>
        <v>49.036167912910365</v>
      </c>
      <c r="Q262">
        <f>VLOOKUP(Q251,'8. Uncertainty Results'!$A$203:$D$215,2,FALSE)/1000000</f>
        <v>4.9234855062215894</v>
      </c>
      <c r="R262">
        <f>VLOOKUP(Q251,'8. Uncertainty Results'!$A$203:$D$215,3,FALSE)/1000000</f>
        <v>5.37106142092306</v>
      </c>
      <c r="S262">
        <f>VLOOKUP(Q251,'8. Uncertainty Results'!$A$203:$D$215,4,FALSE)/1000000</f>
        <v>5.8389653933930203</v>
      </c>
      <c r="T262">
        <f>VLOOKUP(T251,'8. Uncertainty Results'!$A$203:$D$215,2,FALSE)/1000000</f>
        <v>3.9079818470785299</v>
      </c>
      <c r="U262">
        <f>VLOOKUP(T251,'8. Uncertainty Results'!$A$203:$D$215,3,FALSE)/1000000</f>
        <v>4.2843021047777894</v>
      </c>
      <c r="V262">
        <f>VLOOKUP(T251,'8. Uncertainty Results'!$A$203:$D$215,4,FALSE)/1000000</f>
        <v>4.6474321803099699</v>
      </c>
      <c r="W262">
        <f>VLOOKUP(W251,'8. Uncertainty Results'!$A$203:$D$215,2,FALSE)/1000000</f>
        <v>0.23425673678805656</v>
      </c>
      <c r="X262">
        <f>VLOOKUP(W251,'8. Uncertainty Results'!$A$203:$D$215,3,FALSE)/1000000</f>
        <v>1.1548930353673985</v>
      </c>
      <c r="Y262">
        <f>VLOOKUP(W251,'8. Uncertainty Results'!$A$203:$D$215,4,FALSE)/1000000</f>
        <v>5.5129749020288967</v>
      </c>
    </row>
    <row r="264" spans="1:25" x14ac:dyDescent="0.2">
      <c r="A264" t="s">
        <v>563</v>
      </c>
      <c r="B264" s="474">
        <f>B251</f>
        <v>18100204</v>
      </c>
      <c r="C264" s="474"/>
      <c r="D264" s="474"/>
      <c r="E264" s="474">
        <f t="shared" ref="E264:E265" si="129">E251</f>
        <v>16040201</v>
      </c>
      <c r="F264" s="474"/>
      <c r="G264" s="474"/>
      <c r="H264" s="474">
        <f t="shared" ref="H264:H265" si="130">H251</f>
        <v>15030202</v>
      </c>
      <c r="I264" s="474"/>
      <c r="J264" s="474"/>
      <c r="K264" s="474">
        <f t="shared" ref="K264:K265" si="131">K251</f>
        <v>16060011</v>
      </c>
      <c r="L264" s="474"/>
      <c r="M264" s="474"/>
      <c r="N264" s="474">
        <f t="shared" ref="N264:N265" si="132">N251</f>
        <v>16060003</v>
      </c>
      <c r="O264" s="474"/>
      <c r="P264" s="474"/>
      <c r="Q264" s="474">
        <f t="shared" ref="Q264:Q265" si="133">Q251</f>
        <v>16060013</v>
      </c>
      <c r="R264" s="474"/>
      <c r="S264" s="474"/>
      <c r="T264" s="474">
        <f t="shared" ref="T264:T265" si="134">T251</f>
        <v>16060010</v>
      </c>
      <c r="U264" s="474"/>
      <c r="V264" s="474"/>
      <c r="W264" s="474">
        <f t="shared" ref="W264:W265" si="135">W251</f>
        <v>15030201</v>
      </c>
      <c r="X264" s="474"/>
      <c r="Y264" s="474"/>
    </row>
    <row r="265" spans="1:25" x14ac:dyDescent="0.2">
      <c r="B265" s="474" t="str">
        <f>B252</f>
        <v>SS</v>
      </c>
      <c r="C265" s="474"/>
      <c r="D265" s="474"/>
      <c r="E265" s="474" t="str">
        <f t="shared" si="129"/>
        <v>UQ</v>
      </c>
      <c r="F265" s="474"/>
      <c r="G265" s="474"/>
      <c r="H265" s="474" t="str">
        <f t="shared" si="130"/>
        <v>BUR</v>
      </c>
      <c r="I265" s="474"/>
      <c r="J265" s="474"/>
      <c r="K265" s="474" t="str">
        <f t="shared" si="131"/>
        <v>RSCV</v>
      </c>
      <c r="L265" s="474"/>
      <c r="M265" s="474"/>
      <c r="N265" s="474" t="str">
        <f t="shared" si="132"/>
        <v>SBSV</v>
      </c>
      <c r="O265" s="474"/>
      <c r="P265" s="474"/>
      <c r="Q265" s="474" t="str">
        <f t="shared" si="133"/>
        <v>CSF</v>
      </c>
      <c r="R265" s="474"/>
      <c r="S265" s="474"/>
      <c r="T265" s="474" t="str">
        <f t="shared" si="134"/>
        <v>FLSSV</v>
      </c>
      <c r="U265" s="474"/>
      <c r="V265" s="474"/>
      <c r="W265" s="474" t="str">
        <f t="shared" si="135"/>
        <v>BS</v>
      </c>
      <c r="X265" s="474"/>
      <c r="Y265" s="474"/>
    </row>
    <row r="266" spans="1:25" x14ac:dyDescent="0.2">
      <c r="B266" t="s">
        <v>440</v>
      </c>
      <c r="C266" t="s">
        <v>441</v>
      </c>
      <c r="D266" t="s">
        <v>442</v>
      </c>
      <c r="E266" t="s">
        <v>440</v>
      </c>
      <c r="F266" t="s">
        <v>441</v>
      </c>
      <c r="G266" t="s">
        <v>442</v>
      </c>
      <c r="H266" t="s">
        <v>440</v>
      </c>
      <c r="I266" t="s">
        <v>441</v>
      </c>
      <c r="J266" t="s">
        <v>442</v>
      </c>
      <c r="K266" t="s">
        <v>440</v>
      </c>
      <c r="L266" t="s">
        <v>441</v>
      </c>
      <c r="M266" t="s">
        <v>442</v>
      </c>
      <c r="N266" t="s">
        <v>440</v>
      </c>
      <c r="O266" t="s">
        <v>441</v>
      </c>
      <c r="P266" t="s">
        <v>442</v>
      </c>
      <c r="Q266" t="s">
        <v>440</v>
      </c>
      <c r="R266" t="s">
        <v>441</v>
      </c>
      <c r="S266" t="s">
        <v>442</v>
      </c>
      <c r="T266" t="s">
        <v>440</v>
      </c>
      <c r="U266" t="s">
        <v>441</v>
      </c>
      <c r="V266" t="s">
        <v>442</v>
      </c>
      <c r="W266" t="s">
        <v>440</v>
      </c>
      <c r="X266" t="s">
        <v>441</v>
      </c>
      <c r="Y266" t="s">
        <v>442</v>
      </c>
    </row>
    <row r="267" spans="1:25" x14ac:dyDescent="0.2">
      <c r="A267" t="s">
        <v>436</v>
      </c>
      <c r="B267">
        <f>VLOOKUP(B264,'8. Uncertainty Results'!$B$332:$E$344,2,FALSE)*(cubicm/gal)*(day/yr)</f>
        <v>625.85597998271817</v>
      </c>
      <c r="C267">
        <f>B267</f>
        <v>625.85597998271817</v>
      </c>
      <c r="D267">
        <f>B267</f>
        <v>625.85597998271817</v>
      </c>
      <c r="E267">
        <f>VLOOKUP(E264,'8. Uncertainty Results'!$B$332:$E$344,2,FALSE)*(cubicm/gal)*(day/yr)</f>
        <v>127.79266653950087</v>
      </c>
      <c r="F267">
        <f>E267</f>
        <v>127.79266653950087</v>
      </c>
      <c r="G267">
        <f>E267</f>
        <v>127.79266653950087</v>
      </c>
      <c r="H267">
        <f>VLOOKUP(H264,'8. Uncertainty Results'!$B$332:$E$344,2,FALSE)*(cubicm/gal)*(day/yr)</f>
        <v>59.032314513597889</v>
      </c>
      <c r="I267">
        <f>H267</f>
        <v>59.032314513597889</v>
      </c>
      <c r="J267">
        <f>H267</f>
        <v>59.032314513597889</v>
      </c>
      <c r="K267">
        <f>VLOOKUP(K264,'8. Uncertainty Results'!$B$332:$E$344,2,FALSE)*(cubicm/gal)*(day/yr)</f>
        <v>47.380666011211368</v>
      </c>
      <c r="L267">
        <f>K267</f>
        <v>47.380666011211368</v>
      </c>
      <c r="M267">
        <f>K267</f>
        <v>47.380666011211368</v>
      </c>
      <c r="N267">
        <f>VLOOKUP(N264,'8. Uncertainty Results'!$B$332:$E$344,2,FALSE)*(cubicm/gal)*(day/yr)</f>
        <v>30.686504764784893</v>
      </c>
      <c r="O267">
        <f>N267</f>
        <v>30.686504764784893</v>
      </c>
      <c r="P267">
        <f>N267</f>
        <v>30.686504764784893</v>
      </c>
      <c r="Q267">
        <f>VLOOKUP(Q264,'8. Uncertainty Results'!$B$332:$E$344,2,FALSE)*(cubicm/gal)*(day/yr)</f>
        <v>36.200539419752843</v>
      </c>
      <c r="R267">
        <f>Q267</f>
        <v>36.200539419752843</v>
      </c>
      <c r="S267">
        <f>Q267</f>
        <v>36.200539419752843</v>
      </c>
      <c r="T267">
        <f>VLOOKUP(T264,'8. Uncertainty Results'!$B$332:$E$344,2,FALSE)*(cubicm/gal)*(day/yr)</f>
        <v>52.782511299144602</v>
      </c>
      <c r="U267">
        <f>T267</f>
        <v>52.782511299144602</v>
      </c>
      <c r="V267">
        <f>T267</f>
        <v>52.782511299144602</v>
      </c>
      <c r="W267">
        <f>VLOOKUP(W264,'8. Uncertainty Results'!$B$332:$E$344,2,FALSE)*(cubicm/gal)*(day/yr)</f>
        <v>104.52150783485807</v>
      </c>
      <c r="X267">
        <f>W267</f>
        <v>104.52150783485807</v>
      </c>
      <c r="Y267">
        <f>W267</f>
        <v>104.52150783485807</v>
      </c>
    </row>
    <row r="268" spans="1:25" x14ac:dyDescent="0.2">
      <c r="A268" t="s">
        <v>437</v>
      </c>
      <c r="B268">
        <f>VLOOKUP(B264,'8. Uncertainty Results'!$B$332:$E$344,4,FALSE)*(cubicm/gal)*(day/yr)</f>
        <v>652.74031792099902</v>
      </c>
      <c r="C268">
        <f>B268</f>
        <v>652.74031792099902</v>
      </c>
      <c r="D268">
        <f>B268</f>
        <v>652.74031792099902</v>
      </c>
      <c r="E268">
        <f>VLOOKUP(E264,'8. Uncertainty Results'!$B$332:$E$344,4,FALSE)*(cubicm/gal)*(day/yr)</f>
        <v>325.88025020818134</v>
      </c>
      <c r="F268">
        <f>E268</f>
        <v>325.88025020818134</v>
      </c>
      <c r="G268">
        <f>E268</f>
        <v>325.88025020818134</v>
      </c>
      <c r="H268">
        <f>VLOOKUP(H264,'8. Uncertainty Results'!$B$332:$E$344,4,FALSE)*(cubicm/gal)*(day/yr)</f>
        <v>136.00831324445119</v>
      </c>
      <c r="I268">
        <f>H268</f>
        <v>136.00831324445119</v>
      </c>
      <c r="J268">
        <f>H268</f>
        <v>136.00831324445119</v>
      </c>
      <c r="K268">
        <f>VLOOKUP(K264,'8. Uncertainty Results'!$B$332:$E$344,4,FALSE)*(cubicm/gal)*(day/yr)</f>
        <v>100.3289937691587</v>
      </c>
      <c r="L268">
        <f>K268</f>
        <v>100.3289937691587</v>
      </c>
      <c r="M268">
        <f>K268</f>
        <v>100.3289937691587</v>
      </c>
      <c r="N268">
        <f>VLOOKUP(N264,'8. Uncertainty Results'!$B$332:$E$344,4,FALSE)*(cubicm/gal)*(day/yr)</f>
        <v>116.24558571719298</v>
      </c>
      <c r="O268">
        <f>N268</f>
        <v>116.24558571719298</v>
      </c>
      <c r="P268">
        <f>N268</f>
        <v>116.24558571719298</v>
      </c>
      <c r="Q268">
        <f>VLOOKUP(Q264,'8. Uncertainty Results'!$B$332:$E$344,4,FALSE)*(cubicm/gal)*(day/yr)</f>
        <v>108.67046056949388</v>
      </c>
      <c r="R268">
        <f>Q268</f>
        <v>108.67046056949388</v>
      </c>
      <c r="S268">
        <f>Q268</f>
        <v>108.67046056949388</v>
      </c>
      <c r="T268">
        <f>VLOOKUP(T264,'8. Uncertainty Results'!$B$332:$E$344,4,FALSE)*(cubicm/gal)*(day/yr)</f>
        <v>119.33286533503804</v>
      </c>
      <c r="U268">
        <f>T268</f>
        <v>119.33286533503804</v>
      </c>
      <c r="V268">
        <f>T268</f>
        <v>119.33286533503804</v>
      </c>
      <c r="W268">
        <f>VLOOKUP(W264,'8. Uncertainty Results'!$B$332:$E$344,4,FALSE)*(cubicm/gal)*(day/yr)</f>
        <v>301.41741579291289</v>
      </c>
      <c r="X268">
        <f>W268</f>
        <v>301.41741579291289</v>
      </c>
      <c r="Y268">
        <f>W268</f>
        <v>301.41741579291289</v>
      </c>
    </row>
    <row r="269" spans="1:25" x14ac:dyDescent="0.2">
      <c r="A269" t="s">
        <v>438</v>
      </c>
      <c r="B269">
        <f>VLOOKUP(B264,'8. Uncertainty Results'!$A$79:$CM$90,2+$A$232,FALSE)*((cubicm/gal)*(day/yr))/B277</f>
        <v>10.335756142736404</v>
      </c>
      <c r="C269">
        <f>VLOOKUP(B264,'8. Uncertainty Results'!$A$79:$CM$90,3+$A$232,FALSE)*((cubicm/gal)*(day/yr))/C277</f>
        <v>8.3027447963163912</v>
      </c>
      <c r="D269">
        <f>VLOOKUP(B264,'8. Uncertainty Results'!$A$79:$CM$90,4+$A$232,FALSE)*((cubicm/gal)*(day/yr))/D277</f>
        <v>7.2346761917108084</v>
      </c>
      <c r="E269">
        <f>VLOOKUP(E264,'8. Uncertainty Results'!$A$79:$CM$90,2+$A$232,FALSE)*((cubicm/gal)*(day/yr))</f>
        <v>0</v>
      </c>
      <c r="F269">
        <f>VLOOKUP(E264,'8. Uncertainty Results'!$A$79:$CM$90,3+$A$232,FALSE)*((cubicm/gal)*(day/yr))</f>
        <v>0</v>
      </c>
      <c r="G269">
        <f>VLOOKUP(E264,'8. Uncertainty Results'!$A$79:$CM$90,4+$A$232,FALSE)*((cubicm/gal)*(day/yr))</f>
        <v>0</v>
      </c>
      <c r="H269">
        <f>VLOOKUP(H264,'8. Uncertainty Results'!$A$79:$CM$90,2+$A$232,FALSE)*((cubicm/gal)*(day/yr))</f>
        <v>27.120053520782715</v>
      </c>
      <c r="I269">
        <f>VLOOKUP(H264,'8. Uncertainty Results'!$A$79:$CM$90,3+$A$232,FALSE)*((cubicm/gal)*(day/yr))</f>
        <v>28.839201201634456</v>
      </c>
      <c r="J269">
        <f>VLOOKUP(H264,'8. Uncertainty Results'!$A$79:$CM$90,4+$A$232,FALSE)*((cubicm/gal)*(day/yr))</f>
        <v>30.438158989464689</v>
      </c>
      <c r="K269">
        <f>VLOOKUP(K264,'8. Uncertainty Results'!$A$79:$CM$90,2+$A$232,FALSE)*((cubicm/gal)*(day/yr))</f>
        <v>0.10889335497136844</v>
      </c>
      <c r="L269">
        <f>VLOOKUP(K264,'8. Uncertainty Results'!$A$79:$CM$90,3+$A$232,FALSE)*((cubicm/gal)*(day/yr))</f>
        <v>0.1157645612976667</v>
      </c>
      <c r="M269">
        <f>VLOOKUP(K264,'8. Uncertainty Results'!$A$79:$CM$90,4+$A$232,FALSE)*((cubicm/gal)*(day/yr))</f>
        <v>0.12214975215195213</v>
      </c>
      <c r="N269">
        <f>VLOOKUP(N264,'8. Uncertainty Results'!$A$79:$CM$90,2+$A$232,FALSE)*((cubicm/gal)*(day/yr))</f>
        <v>7.2488750012151729E-2</v>
      </c>
      <c r="O269">
        <f>VLOOKUP(N264,'8. Uncertainty Results'!$A$79:$CM$90,3+$A$232,FALSE)*((cubicm/gal)*(day/yr))</f>
        <v>7.722694343541972E-2</v>
      </c>
      <c r="P269">
        <f>VLOOKUP(N264,'8. Uncertainty Results'!$A$79:$CM$90,4+$A$232,FALSE)*((cubicm/gal)*(day/yr))</f>
        <v>8.1500386161665855E-2</v>
      </c>
      <c r="Q269">
        <f>VLOOKUP(Q264,'8. Uncertainty Results'!$A$79:$CM$90,2+$A$232,FALSE)*((cubicm/gal)*(day/yr))</f>
        <v>0.10886504261747026</v>
      </c>
      <c r="R269">
        <f>VLOOKUP(Q264,'8. Uncertainty Results'!$A$79:$CM$90,3+$A$232,FALSE)*((cubicm/gal)*(day/yr))</f>
        <v>0.11581671696117475</v>
      </c>
      <c r="S269">
        <f>VLOOKUP(Q264,'8. Uncertainty Results'!$A$79:$CM$90,4+$A$232,FALSE)*((cubicm/gal)*(day/yr))</f>
        <v>0.12211479625980041</v>
      </c>
      <c r="T269">
        <f>VLOOKUP(T264,'8. Uncertainty Results'!$A$79:$CM$90,2+$A$232,FALSE)*((cubicm/gal)*(day/yr))</f>
        <v>17.808944544252451</v>
      </c>
      <c r="U269">
        <f>VLOOKUP(T264,'8. Uncertainty Results'!$A$79:$CM$90,3+$A$232,FALSE)*((cubicm/gal)*(day/yr))</f>
        <v>18.566483540213987</v>
      </c>
      <c r="V269">
        <f>VLOOKUP(T264,'8. Uncertainty Results'!$A$79:$CM$90,4+$A$232,FALSE)*((cubicm/gal)*(day/yr))</f>
        <v>19.245646444876463</v>
      </c>
      <c r="W269">
        <f>VLOOKUP(W264,'8. Uncertainty Results'!$A$79:$CM$90,2+$A$232,FALSE)*((cubicm/gal)*(day/yr))</f>
        <v>27.108679868574555</v>
      </c>
      <c r="X269">
        <f>VLOOKUP(W264,'8. Uncertainty Results'!$A$79:$CM$90,3+$A$232,FALSE)*((cubicm/gal)*(day/yr))</f>
        <v>28.85500563005883</v>
      </c>
      <c r="Y269">
        <f>VLOOKUP(W264,'8. Uncertainty Results'!$A$79:$CM$90,4+$A$232,FALSE)*((cubicm/gal)*(day/yr))</f>
        <v>30.452341479330187</v>
      </c>
    </row>
    <row r="270" spans="1:25" x14ac:dyDescent="0.2">
      <c r="A270" t="s">
        <v>400</v>
      </c>
      <c r="B270">
        <f>VLOOKUP(B264,'8. Uncertainty Results'!$A$79:$CM$90,17+$A$232,FALSE)*((cubicm/gal)*(day/yr))/B277</f>
        <v>17.539057146945467</v>
      </c>
      <c r="C270">
        <f>VLOOKUP(B264,'8. Uncertainty Results'!$A$79:$CM$90,18+$A$232+$A$232,FALSE)*((cubicm/gal)*(day/yr))/C277</f>
        <v>0</v>
      </c>
      <c r="D270">
        <f>VLOOKUP(B264,'8. Uncertainty Results'!$A$79:$CM$90,19+$A$232,FALSE)*((cubicm/gal)*(day/yr))/D277</f>
        <v>12.322215050932046</v>
      </c>
      <c r="E270">
        <f>VLOOKUP(E264,'8. Uncertainty Results'!$A$79:$CM$90,17+$A$232,FALSE)*((cubicm/gal)*(day/yr))</f>
        <v>4.3739515120918124</v>
      </c>
      <c r="F270">
        <f>VLOOKUP(E264,'8. Uncertainty Results'!$A$79:$CM$90,18+$A$232,FALSE)*((cubicm/gal)*(day/yr))</f>
        <v>4.5245416435496999</v>
      </c>
      <c r="G270">
        <f>VLOOKUP(E264,'8. Uncertainty Results'!$A$79:$CM$90,19+$A$232,FALSE)*((cubicm/gal)*(day/yr))</f>
        <v>4.6767082757813832</v>
      </c>
      <c r="H270">
        <f>VLOOKUP(H264,'8. Uncertainty Results'!$A$79:$CM$90,17+$A$232,FALSE)*((cubicm/gal)*(day/yr))</f>
        <v>56.728326344312435</v>
      </c>
      <c r="I270">
        <f>VLOOKUP(H264,'8. Uncertainty Results'!$A$79:$CM$90,18+$A$232,FALSE)*((cubicm/gal)*(day/yr))</f>
        <v>61.613076847307674</v>
      </c>
      <c r="J270">
        <f>VLOOKUP(H264,'8. Uncertainty Results'!$A$79:$CM$90,19+$A$232,FALSE)*((cubicm/gal)*(day/yr))</f>
        <v>66.186032543104901</v>
      </c>
      <c r="K270">
        <f>VLOOKUP(K264,'8. Uncertainty Results'!$A$79:$CM$90,17+$A$232,FALSE)*((cubicm/gal)*(day/yr))</f>
        <v>8.1380841646257451</v>
      </c>
      <c r="L270">
        <f>VLOOKUP(K264,'8. Uncertainty Results'!$A$79:$CM$90,18+$A$232,FALSE)*((cubicm/gal)*(day/yr))</f>
        <v>8.9876057462980601</v>
      </c>
      <c r="M270">
        <f>VLOOKUP(K264,'8. Uncertainty Results'!$A$79:$CM$90,19+$A$232,FALSE)*((cubicm/gal)*(day/yr))</f>
        <v>9.6777876176995257</v>
      </c>
      <c r="N270">
        <f>VLOOKUP(N264,'8. Uncertainty Results'!$A$79:$CM$90,17+$A$232,FALSE)*((cubicm/gal)*(day/yr))</f>
        <v>5.6752443696935924</v>
      </c>
      <c r="O270">
        <f>VLOOKUP(N264,'8. Uncertainty Results'!$A$79:$CM$90,18+$A$232,FALSE)*((cubicm/gal)*(day/yr))</f>
        <v>6.2399377546426162</v>
      </c>
      <c r="P270">
        <f>VLOOKUP(N264,'8. Uncertainty Results'!$A$79:$CM$90,19+$A$232,FALSE)*((cubicm/gal)*(day/yr))</f>
        <v>6.7047583137450584</v>
      </c>
      <c r="Q270">
        <f>VLOOKUP(Q264,'8. Uncertainty Results'!$A$79:$CM$90,17+$A$232,FALSE)*((cubicm/gal)*(day/yr))</f>
        <v>8.1391906916813603</v>
      </c>
      <c r="R270">
        <f>VLOOKUP(Q264,'8. Uncertainty Results'!$A$79:$CM$90,18+$A$232,FALSE)*((cubicm/gal)*(day/yr))</f>
        <v>8.9901981543619005</v>
      </c>
      <c r="S270">
        <f>VLOOKUP(Q264,'8. Uncertainty Results'!$A$79:$CM$90,19+$A$232,FALSE)*((cubicm/gal)*(day/yr))</f>
        <v>9.6769519252277156</v>
      </c>
      <c r="T270">
        <f>VLOOKUP(T264,'8. Uncertainty Results'!$A$79:$CM$90,17+$A$232,FALSE)*((cubicm/gal)*(day/yr))</f>
        <v>1.275168354645565</v>
      </c>
      <c r="U270">
        <f>VLOOKUP(T264,'8. Uncertainty Results'!$A$79:$CM$90,18+$A$232,FALSE)*((cubicm/gal)*(day/yr))</f>
        <v>1.3342635966967189</v>
      </c>
      <c r="V270">
        <f>VLOOKUP(T264,'8. Uncertainty Results'!$A$79:$CM$90,19+$A$232,FALSE)*((cubicm/gal)*(day/yr))</f>
        <v>1.3927411754873977</v>
      </c>
      <c r="W270">
        <f>VLOOKUP(W264,'8. Uncertainty Results'!$A$79:$CM$90,17+$A$232,FALSE)*((cubicm/gal)*(day/yr))</f>
        <v>56.667239757254698</v>
      </c>
      <c r="X270">
        <f>VLOOKUP(W264,'8. Uncertainty Results'!$A$79:$CM$90,18+$A$232,FALSE)*((cubicm/gal)*(day/yr))</f>
        <v>61.51176394370794</v>
      </c>
      <c r="Y270">
        <f>VLOOKUP(W264,'8. Uncertainty Results'!$A$79:$CM$90,19+$A$232,FALSE)*((cubicm/gal)*(day/yr))</f>
        <v>66.052327997489044</v>
      </c>
    </row>
    <row r="271" spans="1:25" x14ac:dyDescent="0.2">
      <c r="A271" t="s">
        <v>401</v>
      </c>
      <c r="B271">
        <f>VLOOKUP(B264,'8. Uncertainty Results'!$A$79:$CM$90,32+$A$232,FALSE)*((cubicm/gal)*(day/yr))/B277</f>
        <v>0</v>
      </c>
      <c r="C271">
        <f>VLOOKUP(B264,'8. Uncertainty Results'!$A$79:$CM$90,33+$A$232,FALSE)*((cubicm/gal)*(day/yr))/C277</f>
        <v>0</v>
      </c>
      <c r="D271">
        <f>VLOOKUP(B264,'8. Uncertainty Results'!$A$79:$CM$90,34+$A$232,FALSE)*((cubicm/gal)*(day/yr))/D277</f>
        <v>0</v>
      </c>
      <c r="E271">
        <f>VLOOKUP(E264,'8. Uncertainty Results'!$A$79:$CM$90,32+$A$232,FALSE)*((cubicm/gal)*(day/yr))</f>
        <v>0</v>
      </c>
      <c r="F271">
        <f>VLOOKUP(E264,'8. Uncertainty Results'!$A$79:$CM$90,33+$A$232,FALSE)*((cubicm/gal)*(day/yr))</f>
        <v>0</v>
      </c>
      <c r="G271">
        <f>VLOOKUP(E264,'8. Uncertainty Results'!$A$79:$CM$90,34+$A$232,FALSE)*((cubicm/gal)*(day/yr))</f>
        <v>0</v>
      </c>
      <c r="H271">
        <f>VLOOKUP(H264,'8. Uncertainty Results'!$A$79:$CM$90,32+$A$232,FALSE)*((cubicm/gal)*(day/yr))</f>
        <v>0</v>
      </c>
      <c r="I271">
        <f>VLOOKUP(H264,'8. Uncertainty Results'!$A$79:$CM$90,33+$A$232,FALSE)*((cubicm/gal)*(day/yr))</f>
        <v>0</v>
      </c>
      <c r="J271">
        <f>VLOOKUP(H264,'8. Uncertainty Results'!$A$79:$CM$90,34+$A$232,FALSE)*((cubicm/gal)*(day/yr))</f>
        <v>0</v>
      </c>
      <c r="K271">
        <f>VLOOKUP(K264,'8. Uncertainty Results'!$A$79:$CM$90,32+$A$232,FALSE)*((cubicm/gal)*(day/yr))</f>
        <v>0</v>
      </c>
      <c r="L271">
        <f>VLOOKUP(K264,'8. Uncertainty Results'!$A$79:$CM$90,33+$A$232,FALSE)*((cubicm/gal)*(day/yr))</f>
        <v>0</v>
      </c>
      <c r="M271">
        <f>VLOOKUP(K264,'8. Uncertainty Results'!$A$79:$CM$90,34+$A$232,FALSE)*((cubicm/gal)*(day/yr))</f>
        <v>0</v>
      </c>
      <c r="N271">
        <f>VLOOKUP(N264,'8. Uncertainty Results'!$A$79:$CM$90,32+$A$232,FALSE)*((cubicm/gal)*(day/yr))</f>
        <v>0</v>
      </c>
      <c r="O271">
        <f>VLOOKUP(N264,'8. Uncertainty Results'!$A$79:$CM$90,33+$A$232,FALSE)*((cubicm/gal)*(day/yr))</f>
        <v>0</v>
      </c>
      <c r="P271">
        <f>VLOOKUP(N264,'8. Uncertainty Results'!$A$79:$CM$90,34+$A$232,FALSE)*((cubicm/gal)*(day/yr))</f>
        <v>0</v>
      </c>
      <c r="Q271">
        <f>VLOOKUP(Q264,'8. Uncertainty Results'!$A$79:$CM$90,32+$A$232,FALSE)*((cubicm/gal)*(day/yr))</f>
        <v>0</v>
      </c>
      <c r="R271">
        <f>VLOOKUP(Q264,'8. Uncertainty Results'!$A$79:$CM$90,33+$A$232,FALSE)*((cubicm/gal)*(day/yr))</f>
        <v>0</v>
      </c>
      <c r="S271">
        <f>VLOOKUP(Q264,'8. Uncertainty Results'!$A$79:$CM$90,34+$A$232,FALSE)*((cubicm/gal)*(day/yr))</f>
        <v>0</v>
      </c>
      <c r="T271">
        <f>VLOOKUP(T264,'8. Uncertainty Results'!$A$79:$CM$90,32+$A$232,FALSE)*((cubicm/gal)*(day/yr))</f>
        <v>0</v>
      </c>
      <c r="U271">
        <f>VLOOKUP(T264,'8. Uncertainty Results'!$A$79:$CM$90,33+$A$232,FALSE)*((cubicm/gal)*(day/yr))</f>
        <v>0</v>
      </c>
      <c r="V271">
        <f>VLOOKUP(T264,'8. Uncertainty Results'!$A$79:$CM$90,34+$A$232,FALSE)*((cubicm/gal)*(day/yr))</f>
        <v>0</v>
      </c>
      <c r="W271">
        <f>VLOOKUP(W264,'8. Uncertainty Results'!$A$79:$CM$90,32+$A$232,FALSE)*((cubicm/gal)*(day/yr))</f>
        <v>0</v>
      </c>
      <c r="X271">
        <f>VLOOKUP(W264,'8. Uncertainty Results'!$A$79:$CM$90,33+$A$232,FALSE)*((cubicm/gal)*(day/yr))</f>
        <v>0</v>
      </c>
      <c r="Y271">
        <f>VLOOKUP(W264,'8. Uncertainty Results'!$A$79:$CM$90,34+$A$232,FALSE)*((cubicm/gal)*(day/yr))</f>
        <v>0</v>
      </c>
    </row>
    <row r="272" spans="1:25" x14ac:dyDescent="0.2">
      <c r="A272" t="s">
        <v>402</v>
      </c>
      <c r="B272">
        <f>VLOOKUP(B264,'8. Uncertainty Results'!$A$79:$CM$91,47+$A$232,FALSE)*((cubicm/gal)*(day/yr))-950</f>
        <v>1222.0949275240309</v>
      </c>
      <c r="C272">
        <f>VLOOKUP(B264,'8. Uncertainty Results'!$A$79:$CM$91,48+$A$232,FALSE)*((cubicm/gal)*(day/yr))-1900</f>
        <v>1452.5094823179843</v>
      </c>
      <c r="D272">
        <f>VLOOKUP(B264,'8. Uncertainty Results'!$A$79:$CM$91,49+$A$232,FALSE)*((cubicm/gal)*(day/yr))-2950</f>
        <v>1690.7881226302543</v>
      </c>
      <c r="E272">
        <f>VLOOKUP(E264,'8. Uncertainty Results'!$A$79:$CM$90,47+$A$232,FALSE)*((cubicm/gal)*(day/yr))</f>
        <v>534.70624504340049</v>
      </c>
      <c r="F272">
        <f>VLOOKUP(E264,'8. Uncertainty Results'!$A$79:$CM$90,48+$A$232,FALSE)*((cubicm/gal)*(day/yr))</f>
        <v>714.99716955689996</v>
      </c>
      <c r="G272">
        <f>VLOOKUP(E264,'8. Uncertainty Results'!$A$79:$CM$90,49+$A$232,FALSE)*((cubicm/gal)*(day/yr))</f>
        <v>923.15127120281159</v>
      </c>
      <c r="H272">
        <f>VLOOKUP(H264,'8. Uncertainty Results'!$A$79:$CM$90,47+$A$232,FALSE)*((cubicm/gal)*(day/yr))</f>
        <v>54.294441359776378</v>
      </c>
      <c r="I272">
        <f>VLOOKUP(H264,'8. Uncertainty Results'!$A$79:$CM$90,48+$A$232,FALSE)*((cubicm/gal)*(day/yr))</f>
        <v>79.697126883463199</v>
      </c>
      <c r="J272">
        <f>VLOOKUP(H264,'8. Uncertainty Results'!$A$79:$CM$90,49+$A$232,FALSE)*((cubicm/gal)*(day/yr))</f>
        <v>108.87919859343815</v>
      </c>
      <c r="K272">
        <f>VLOOKUP(K264,'8. Uncertainty Results'!$A$79:$CM$90,47+$A$232,FALSE)*((cubicm/gal)*(day/yr))</f>
        <v>63.958087745134939</v>
      </c>
      <c r="L272">
        <f>VLOOKUP(K264,'8. Uncertainty Results'!$A$79:$CM$90,48+$A$232,FALSE)*((cubicm/gal)*(day/yr))</f>
        <v>88.219475160135246</v>
      </c>
      <c r="M272">
        <f>VLOOKUP(K264,'8. Uncertainty Results'!$A$79:$CM$90,49+$A$232,FALSE)*((cubicm/gal)*(day/yr))</f>
        <v>115.85922065341774</v>
      </c>
      <c r="N272">
        <f>VLOOKUP(N264,'8. Uncertainty Results'!$A$79:$CM$90,47+$A$232,FALSE)*((cubicm/gal)*(day/yr))</f>
        <v>46.982199254985005</v>
      </c>
      <c r="O272">
        <f>VLOOKUP(N264,'8. Uncertainty Results'!$A$79:$CM$90,48+$A$232,FALSE)*((cubicm/gal)*(day/yr))</f>
        <v>64.289152327917904</v>
      </c>
      <c r="P272">
        <f>VLOOKUP(N264,'8. Uncertainty Results'!$A$79:$CM$90,49+$A$232,FALSE)*((cubicm/gal)*(day/yr))</f>
        <v>83.445642386847595</v>
      </c>
      <c r="Q272">
        <f>VLOOKUP(Q264,'8. Uncertainty Results'!$A$79:$CM$90,47+$A$232,FALSE)*((cubicm/gal)*(day/yr))</f>
        <v>63.815681212037141</v>
      </c>
      <c r="R272">
        <f>VLOOKUP(Q264,'8. Uncertainty Results'!$A$79:$CM$90,48+$A$232,FALSE)*((cubicm/gal)*(day/yr))</f>
        <v>88.231111671896102</v>
      </c>
      <c r="S272">
        <f>VLOOKUP(Q264,'8. Uncertainty Results'!$A$79:$CM$90,49+$A$232,FALSE)*((cubicm/gal)*(day/yr))</f>
        <v>116.12733122871717</v>
      </c>
      <c r="T272">
        <f>VLOOKUP(T264,'8. Uncertainty Results'!$A$79:$CM$90,47+$A$232,FALSE)*((cubicm/gal)*(day/yr))</f>
        <v>39.224746479449173</v>
      </c>
      <c r="U272">
        <f>VLOOKUP(T264,'8. Uncertainty Results'!$A$79:$CM$90,48+$A$232,FALSE)*((cubicm/gal)*(day/yr))</f>
        <v>53.932482987590973</v>
      </c>
      <c r="V272">
        <f>VLOOKUP(T264,'8. Uncertainty Results'!$A$79:$CM$90,49+$A$232,FALSE)*((cubicm/gal)*(day/yr))</f>
        <v>69.666446078149278</v>
      </c>
      <c r="W272">
        <f>VLOOKUP(W264,'8. Uncertainty Results'!$A$79:$CM$90,47+$A$232,FALSE)*((cubicm/gal)*(day/yr))</f>
        <v>53.883201708425659</v>
      </c>
      <c r="X272">
        <f>VLOOKUP(W264,'8. Uncertainty Results'!$A$79:$CM$90,48+$A$232,FALSE)*((cubicm/gal)*(day/yr))</f>
        <v>80.010028427299972</v>
      </c>
      <c r="Y272">
        <f>VLOOKUP(W264,'8. Uncertainty Results'!$A$79:$CM$90,49+$A$232,FALSE)*((cubicm/gal)*(day/yr))</f>
        <v>108.9935055340984</v>
      </c>
    </row>
    <row r="273" spans="1:25" x14ac:dyDescent="0.2">
      <c r="A273" t="s">
        <v>403</v>
      </c>
      <c r="B273">
        <f>VLOOKUP(B264,'8. Uncertainty Results'!$A$79:$CM$90,62+$A$232,FALSE)*((cubicm/gal)*(day/yr))/B277</f>
        <v>2.8252816565324999</v>
      </c>
      <c r="C273">
        <f>VLOOKUP(B264,'8. Uncertainty Results'!$A$79:$CM$90,63+$A$232,FALSE)*((cubicm/gal)*(day/yr))/C277</f>
        <v>2.1799057994291107</v>
      </c>
      <c r="D273">
        <f>VLOOKUP(B264,'8. Uncertainty Results'!$A$79:$CM$90,64+$A$232,FALSE)*((cubicm/gal)*(day/yr))/D277</f>
        <v>1.8359005005285904</v>
      </c>
      <c r="E273">
        <f>VLOOKUP(E264,'8. Uncertainty Results'!$A$79:$CM$90,62+$A$232,FALSE)*((cubicm/gal)*(day/yr))</f>
        <v>1.0729998811961101</v>
      </c>
      <c r="F273">
        <f>VLOOKUP(E264,'8. Uncertainty Results'!$A$79:$CM$90,63+$A$232,FALSE)*((cubicm/gal)*(day/yr))</f>
        <v>1.0844104079236108</v>
      </c>
      <c r="G273">
        <f>VLOOKUP(E264,'8. Uncertainty Results'!$A$79:$CM$90,64+$A$232,FALSE)*((cubicm/gal)*(day/yr))</f>
        <v>1.0957636484652054</v>
      </c>
      <c r="H273">
        <f>VLOOKUP(H264,'8. Uncertainty Results'!$A$79:$CM$90,62+$A$232,FALSE)*((cubicm/gal)*(day/yr))</f>
        <v>0.50324445952442731</v>
      </c>
      <c r="I273">
        <f>VLOOKUP(H264,'8. Uncertainty Results'!$A$79:$CM$90,63+$A$232,FALSE)*((cubicm/gal)*(day/yr))</f>
        <v>0.51410934937614694</v>
      </c>
      <c r="J273">
        <f>VLOOKUP(H264,'8. Uncertainty Results'!$A$79:$CM$90,64+$A$232,FALSE)*((cubicm/gal)*(day/yr))</f>
        <v>0.52434327405758963</v>
      </c>
      <c r="K273">
        <f>VLOOKUP(K264,'8. Uncertainty Results'!$A$79:$CM$90,62+$A$232,FALSE)*((cubicm/gal)*(day/yr))</f>
        <v>0.27955146870439496</v>
      </c>
      <c r="L273">
        <f>VLOOKUP(K264,'8. Uncertainty Results'!$A$79:$CM$90,63+$A$232,FALSE)*((cubicm/gal)*(day/yr))</f>
        <v>0.2853705966891697</v>
      </c>
      <c r="M273">
        <f>VLOOKUP(K264,'8. Uncertainty Results'!$A$79:$CM$90,64+$A$232,FALSE)*((cubicm/gal)*(day/yr))</f>
        <v>0.29103114516501366</v>
      </c>
      <c r="N273">
        <f>VLOOKUP(N264,'8. Uncertainty Results'!$A$79:$CM$90,62+$A$232,FALSE)*((cubicm/gal)*(day/yr))</f>
        <v>0.19703403278019113</v>
      </c>
      <c r="O273">
        <f>VLOOKUP(N264,'8. Uncertainty Results'!$A$79:$CM$90,63+$A$232,FALSE)*((cubicm/gal)*(day/yr))</f>
        <v>0.20117116674074498</v>
      </c>
      <c r="P273">
        <f>VLOOKUP(N264,'8. Uncertainty Results'!$A$79:$CM$90,64+$A$232,FALSE)*((cubicm/gal)*(day/yr))</f>
        <v>0.20512986480907877</v>
      </c>
      <c r="Q273">
        <f>VLOOKUP(Q264,'8. Uncertainty Results'!$A$79:$CM$90,62+$A$232,FALSE)*((cubicm/gal)*(day/yr))</f>
        <v>0.2795753857999384</v>
      </c>
      <c r="R273">
        <f>VLOOKUP(Q264,'8. Uncertainty Results'!$A$79:$CM$90,63+$A$232,FALSE)*((cubicm/gal)*(day/yr))</f>
        <v>0.28535154542533764</v>
      </c>
      <c r="S273">
        <f>VLOOKUP(Q264,'8. Uncertainty Results'!$A$79:$CM$90,64+$A$232,FALSE)*((cubicm/gal)*(day/yr))</f>
        <v>0.29090357392758809</v>
      </c>
      <c r="T273">
        <f>VLOOKUP(T264,'8. Uncertainty Results'!$A$79:$CM$90,62+$A$232,FALSE)*((cubicm/gal)*(day/yr))</f>
        <v>0.10149355577979309</v>
      </c>
      <c r="U273">
        <f>VLOOKUP(T264,'8. Uncertainty Results'!$A$79:$CM$90,63+$A$232,FALSE)*((cubicm/gal)*(day/yr))</f>
        <v>0.101952788377771</v>
      </c>
      <c r="V273">
        <f>VLOOKUP(T264,'8. Uncertainty Results'!$A$79:$CM$90,64+$A$232,FALSE)*((cubicm/gal)*(day/yr))</f>
        <v>0.10239004522882632</v>
      </c>
      <c r="W273">
        <f>VLOOKUP(W264,'8. Uncertainty Results'!$A$79:$CM$90,62+$A$232,FALSE)*((cubicm/gal)*(day/yr))</f>
        <v>0.50313132147839013</v>
      </c>
      <c r="X273">
        <f>VLOOKUP(W264,'8. Uncertainty Results'!$A$79:$CM$90,63+$A$232,FALSE)*((cubicm/gal)*(day/yr))</f>
        <v>0.51395830464415226</v>
      </c>
      <c r="Y273">
        <f>VLOOKUP(W264,'8. Uncertainty Results'!$A$79:$CM$90,64+$A$232,FALSE)*((cubicm/gal)*(day/yr))</f>
        <v>0.52417869792929239</v>
      </c>
    </row>
    <row r="274" spans="1:25" x14ac:dyDescent="0.2">
      <c r="A274" t="s">
        <v>439</v>
      </c>
      <c r="B274">
        <f>VLOOKUP(B264,'8. Uncertainty Results'!$A$79:$CM$90,77+$A$232,FALSE)*((cubicm/gal)*(day/yr))/B277</f>
        <v>0</v>
      </c>
      <c r="C274">
        <f>VLOOKUP(B264,'8. Uncertainty Results'!$A$79:$CM$90,78+$A$232,FALSE)*((cubicm/gal)*(day/yr))/C277</f>
        <v>0</v>
      </c>
      <c r="D274">
        <f>VLOOKUP(B264,'8. Uncertainty Results'!$A$79:$CM$90,79+$A$232,FALSE)*((cubicm/gal)*(day/yr))/D277</f>
        <v>0</v>
      </c>
      <c r="E274">
        <f>VLOOKUP(E264,'8. Uncertainty Results'!$A$79:$CM$90,77+$A$232,FALSE)*((cubicm/gal)*(day/yr))</f>
        <v>1.0756621023240596</v>
      </c>
      <c r="F274">
        <f>VLOOKUP(E264,'8. Uncertainty Results'!$A$79:$CM$90,78+$A$232,FALSE)*((cubicm/gal)*(day/yr))</f>
        <v>1.1872171482851117</v>
      </c>
      <c r="G274">
        <f>VLOOKUP(E264,'8. Uncertainty Results'!$A$79:$CM$90,79+$A$232,FALSE)*((cubicm/gal)*(day/yr))</f>
        <v>1.3110874665386252</v>
      </c>
      <c r="H274">
        <f>VLOOKUP(H264,'8. Uncertainty Results'!$A$79:$CM$90,77+$A$232,FALSE)*((cubicm/gal)*(day/yr))</f>
        <v>2.1266836188572382</v>
      </c>
      <c r="I274">
        <f>VLOOKUP(H264,'8. Uncertainty Results'!$A$79:$CM$90,78+$A$232,FALSE)*((cubicm/gal)*(day/yr))</f>
        <v>2.3898161674660132</v>
      </c>
      <c r="J274">
        <f>VLOOKUP(H264,'8. Uncertainty Results'!$A$79:$CM$90,79+$A$232,FALSE)*((cubicm/gal)*(day/yr))</f>
        <v>2.7099481112847892</v>
      </c>
      <c r="K274">
        <f>VLOOKUP(K264,'8. Uncertainty Results'!$A$79:$CM$90,77+$A$232,FALSE)*((cubicm/gal)*(day/yr))</f>
        <v>0</v>
      </c>
      <c r="L274">
        <f>VLOOKUP(K264,'8. Uncertainty Results'!$A$79:$CM$90,78+$A$232,FALSE)*((cubicm/gal)*(day/yr))</f>
        <v>0</v>
      </c>
      <c r="M274">
        <f>VLOOKUP(K264,'8. Uncertainty Results'!$A$79:$CM$90,79+$A$232,FALSE)*((cubicm/gal)*(day/yr))</f>
        <v>0</v>
      </c>
      <c r="N274">
        <f>VLOOKUP(N264,'8. Uncertainty Results'!$A$79:$CM$90,77+$A$232,FALSE)*((cubicm/gal)*(day/yr))</f>
        <v>0</v>
      </c>
      <c r="O274">
        <f>VLOOKUP(N264,'8. Uncertainty Results'!$A$79:$CM$90,78+$A$232,FALSE)*((cubicm/gal)*(day/yr))</f>
        <v>0</v>
      </c>
      <c r="P274">
        <f>VLOOKUP(N264,'8. Uncertainty Results'!$A$79:$CM$90,79+$A$232,FALSE)*((cubicm/gal)*(day/yr))</f>
        <v>0</v>
      </c>
      <c r="Q274">
        <f>VLOOKUP(Q264,'8. Uncertainty Results'!$A$79:$CM$90,77+$A$232,FALSE)*((cubicm/gal)*(day/yr))</f>
        <v>0</v>
      </c>
      <c r="R274">
        <f>VLOOKUP(Q264,'8. Uncertainty Results'!$A$79:$CM$90,78+$A$232,FALSE)*((cubicm/gal)*(day/yr))</f>
        <v>0</v>
      </c>
      <c r="S274">
        <f>VLOOKUP(Q264,'8. Uncertainty Results'!$A$79:$CM$90,79+$A$232,FALSE)*((cubicm/gal)*(day/yr))</f>
        <v>0</v>
      </c>
      <c r="T274">
        <f>VLOOKUP(T264,'8. Uncertainty Results'!$A$79:$CM$90,77+$A$232,FALSE)*((cubicm/gal)*(day/yr))</f>
        <v>0</v>
      </c>
      <c r="U274">
        <f>VLOOKUP(T264,'8. Uncertainty Results'!$A$79:$CM$90,78+$A$232,FALSE)*((cubicm/gal)*(day/yr))</f>
        <v>0</v>
      </c>
      <c r="V274">
        <f>VLOOKUP(T264,'8. Uncertainty Results'!$A$79:$CM$90,79+$A$232,FALSE)*((cubicm/gal)*(day/yr))</f>
        <v>0</v>
      </c>
      <c r="W274">
        <f>VLOOKUP(W264,'8. Uncertainty Results'!$A$79:$CM$90,77+$A$232,FALSE)*((cubicm/gal)*(day/yr))</f>
        <v>2.1257527236494496</v>
      </c>
      <c r="X274">
        <f>VLOOKUP(W264,'8. Uncertainty Results'!$A$79:$CM$90,78+$A$232,FALSE)*((cubicm/gal)*(day/yr))</f>
        <v>2.3907739309245541</v>
      </c>
      <c r="Y274">
        <f>VLOOKUP(W264,'8. Uncertainty Results'!$A$79:$CM$90,79+$A$232,FALSE)*((cubicm/gal)*(day/yr))</f>
        <v>2.7083175856937687</v>
      </c>
    </row>
    <row r="275" spans="1:25" x14ac:dyDescent="0.2">
      <c r="A275" t="s">
        <v>492</v>
      </c>
      <c r="B275">
        <f>VLOOKUP(B264,'8. Uncertainty Results'!$A$203:$D$215,2,FALSE)/1000000/B277</f>
        <v>12.490078095067648</v>
      </c>
      <c r="C275">
        <f>VLOOKUP(B264,'8. Uncertainty Results'!$A$203:$D$215,3,FALSE)/1000000/C277</f>
        <v>10.51757602462987</v>
      </c>
      <c r="D275">
        <f>VLOOKUP(B264,'8. Uncertainty Results'!$A$203:$D$215,4,FALSE)/1000000/D277</f>
        <v>9.5822314802030775</v>
      </c>
      <c r="E275">
        <f>VLOOKUP(E264,'8. Uncertainty Results'!$A$203:$D$215,2,FALSE)/1000000</f>
        <v>30.329777237026992</v>
      </c>
      <c r="F275">
        <f>VLOOKUP(E264,'8. Uncertainty Results'!$A$203:$D$215,3,FALSE)/1000000</f>
        <v>34.810209497471384</v>
      </c>
      <c r="G275">
        <f>VLOOKUP(E264,'8. Uncertainty Results'!$A$203:$D$215,4,FALSE)/1000000</f>
        <v>39.804593895523155</v>
      </c>
      <c r="H275">
        <f>VLOOKUP(H264,'8. Uncertainty Results'!$A$203:$D$215,2,FALSE)/1000000</f>
        <v>0.36684257135850085</v>
      </c>
      <c r="I275">
        <f>VLOOKUP(H264,'8. Uncertainty Results'!$A$203:$D$215,3,FALSE)/1000000</f>
        <v>1.9272387365708405</v>
      </c>
      <c r="J275">
        <f>VLOOKUP(H264,'8. Uncertainty Results'!$A$203:$D$215,4,FALSE)/1000000</f>
        <v>9.7366119085476832</v>
      </c>
      <c r="K275">
        <f>VLOOKUP(K264,'8. Uncertainty Results'!$A$203:$D$215,2,FALSE)/1000000</f>
        <v>28.572915147869598</v>
      </c>
      <c r="L275">
        <f>VLOOKUP(K264,'8. Uncertainty Results'!$A$203:$D$215,3,FALSE)/1000000</f>
        <v>36.784589510791825</v>
      </c>
      <c r="M275">
        <f>VLOOKUP(K264,'8. Uncertainty Results'!$A$203:$D$215,4,FALSE)/1000000</f>
        <v>63.986855731934547</v>
      </c>
      <c r="N275">
        <f>VLOOKUP(N264,'8. Uncertainty Results'!$A$203:$D$215,2,FALSE)/1000000</f>
        <v>12.60217290105447</v>
      </c>
      <c r="O275">
        <f>VLOOKUP(N264,'8. Uncertainty Results'!$A$203:$D$215,3,FALSE)/1000000</f>
        <v>19.226978004610444</v>
      </c>
      <c r="P275">
        <f>VLOOKUP(N264,'8. Uncertainty Results'!$A$203:$D$215,4,FALSE)/1000000</f>
        <v>49.036167912910365</v>
      </c>
      <c r="Q275">
        <f>VLOOKUP(Q264,'8. Uncertainty Results'!$A$203:$D$215,2,FALSE)/1000000</f>
        <v>4.9234855062215894</v>
      </c>
      <c r="R275">
        <f>VLOOKUP(Q264,'8. Uncertainty Results'!$A$203:$D$215,3,FALSE)/1000000</f>
        <v>5.37106142092306</v>
      </c>
      <c r="S275">
        <f>VLOOKUP(Q264,'8. Uncertainty Results'!$A$203:$D$215,4,FALSE)/1000000</f>
        <v>5.8389653933930203</v>
      </c>
      <c r="T275">
        <f>VLOOKUP(T264,'8. Uncertainty Results'!$A$203:$D$215,2,FALSE)/1000000</f>
        <v>3.9079818470785299</v>
      </c>
      <c r="U275">
        <f>VLOOKUP(T264,'8. Uncertainty Results'!$A$203:$D$215,3,FALSE)/1000000</f>
        <v>4.2843021047777894</v>
      </c>
      <c r="V275">
        <f>VLOOKUP(T264,'8. Uncertainty Results'!$A$203:$D$215,4,FALSE)/1000000</f>
        <v>4.6474321803099699</v>
      </c>
      <c r="W275">
        <f>VLOOKUP(W264,'8. Uncertainty Results'!$A$203:$D$215,2,FALSE)/1000000</f>
        <v>0.23425673678805656</v>
      </c>
      <c r="X275">
        <f>VLOOKUP(W264,'8. Uncertainty Results'!$A$203:$D$215,3,FALSE)/1000000</f>
        <v>1.1548930353673985</v>
      </c>
      <c r="Y275">
        <f>VLOOKUP(W264,'8. Uncertainty Results'!$A$203:$D$215,4,FALSE)/1000000</f>
        <v>5.5129749020288967</v>
      </c>
    </row>
    <row r="276" spans="1:25" x14ac:dyDescent="0.2">
      <c r="B276">
        <f>SUM(B269:B275)*B277</f>
        <v>2248.8591408997627</v>
      </c>
      <c r="C276">
        <f t="shared" ref="C276:D276" si="136">SUM(C269:C275)*C277</f>
        <v>3400.9797055645004</v>
      </c>
      <c r="D276">
        <f t="shared" si="136"/>
        <v>4725.8067704130481</v>
      </c>
    </row>
    <row r="277" spans="1:25" x14ac:dyDescent="0.2">
      <c r="A277" t="s">
        <v>572</v>
      </c>
      <c r="B277">
        <f>B259/B272</f>
        <v>1.7773536888208052</v>
      </c>
      <c r="C277">
        <f t="shared" ref="C277:D277" si="137">C259/C272</f>
        <v>2.3080809613496558</v>
      </c>
      <c r="D277">
        <f t="shared" si="137"/>
        <v>2.7447484758828726</v>
      </c>
    </row>
    <row r="280" spans="1:25" x14ac:dyDescent="0.2">
      <c r="A280" s="36" t="s">
        <v>565</v>
      </c>
      <c r="B280" s="481">
        <v>18100204</v>
      </c>
      <c r="C280" s="481"/>
      <c r="D280" s="481"/>
      <c r="E280" s="481">
        <v>16040201</v>
      </c>
      <c r="F280" s="481"/>
      <c r="G280" s="481"/>
      <c r="H280" s="481">
        <v>15030202</v>
      </c>
      <c r="I280" s="481"/>
      <c r="J280" s="481"/>
      <c r="K280" s="481">
        <v>16060011</v>
      </c>
      <c r="L280" s="481"/>
      <c r="M280" s="481"/>
      <c r="N280" s="481">
        <v>16060003</v>
      </c>
      <c r="O280" s="481"/>
      <c r="P280" s="481"/>
      <c r="Q280" s="481">
        <v>16060013</v>
      </c>
      <c r="R280" s="481"/>
      <c r="S280" s="481"/>
      <c r="T280" s="481">
        <v>16060010</v>
      </c>
      <c r="U280" s="481"/>
      <c r="V280" s="481"/>
      <c r="W280" s="481">
        <v>15030201</v>
      </c>
      <c r="X280" s="481"/>
      <c r="Y280" s="481"/>
    </row>
    <row r="281" spans="1:25" x14ac:dyDescent="0.2">
      <c r="A281" s="36"/>
      <c r="B281" s="481" t="s">
        <v>539</v>
      </c>
      <c r="C281" s="481"/>
      <c r="D281" s="481"/>
      <c r="E281" s="481" t="s">
        <v>417</v>
      </c>
      <c r="F281" s="481"/>
      <c r="G281" s="481"/>
      <c r="H281" s="481" t="s">
        <v>418</v>
      </c>
      <c r="I281" s="481"/>
      <c r="J281" s="481"/>
      <c r="K281" s="481" t="s">
        <v>419</v>
      </c>
      <c r="L281" s="481"/>
      <c r="M281" s="481"/>
      <c r="N281" s="481" t="s">
        <v>420</v>
      </c>
      <c r="O281" s="481"/>
      <c r="P281" s="481"/>
      <c r="Q281" s="481" t="s">
        <v>421</v>
      </c>
      <c r="R281" s="481"/>
      <c r="S281" s="481"/>
      <c r="T281" s="481" t="s">
        <v>422</v>
      </c>
      <c r="U281" s="481"/>
      <c r="V281" s="481"/>
      <c r="W281" s="481" t="s">
        <v>423</v>
      </c>
      <c r="X281" s="481"/>
      <c r="Y281" s="481"/>
    </row>
    <row r="282" spans="1:25" x14ac:dyDescent="0.2">
      <c r="A282" s="36"/>
      <c r="B282" s="36" t="s">
        <v>440</v>
      </c>
      <c r="C282" s="36" t="s">
        <v>441</v>
      </c>
      <c r="D282" s="36" t="s">
        <v>442</v>
      </c>
      <c r="E282" s="36" t="s">
        <v>440</v>
      </c>
      <c r="F282" s="36" t="s">
        <v>441</v>
      </c>
      <c r="G282" s="36" t="s">
        <v>442</v>
      </c>
      <c r="H282" s="36" t="s">
        <v>440</v>
      </c>
      <c r="I282" s="36" t="s">
        <v>441</v>
      </c>
      <c r="J282" s="36" t="s">
        <v>442</v>
      </c>
      <c r="K282" s="36" t="s">
        <v>440</v>
      </c>
      <c r="L282" s="36" t="s">
        <v>441</v>
      </c>
      <c r="M282" s="36" t="s">
        <v>442</v>
      </c>
      <c r="N282" s="36" t="s">
        <v>440</v>
      </c>
      <c r="O282" s="36" t="s">
        <v>441</v>
      </c>
      <c r="P282" s="36" t="s">
        <v>442</v>
      </c>
      <c r="Q282" s="36" t="s">
        <v>440</v>
      </c>
      <c r="R282" s="36" t="s">
        <v>441</v>
      </c>
      <c r="S282" s="36" t="s">
        <v>442</v>
      </c>
      <c r="T282" s="36" t="s">
        <v>440</v>
      </c>
      <c r="U282" s="36" t="s">
        <v>441</v>
      </c>
      <c r="V282" s="36" t="s">
        <v>442</v>
      </c>
      <c r="W282" s="36" t="s">
        <v>440</v>
      </c>
      <c r="X282" s="36" t="s">
        <v>441</v>
      </c>
      <c r="Y282" s="36" t="s">
        <v>442</v>
      </c>
    </row>
    <row r="283" spans="1:25" x14ac:dyDescent="0.2">
      <c r="A283" s="36" t="s">
        <v>436</v>
      </c>
      <c r="B283">
        <f>VLOOKUP(B280,'8. Uncertainty Results'!$B$403:$E$415,2,FALSE)*(cubicm/gal)*(day/yr)</f>
        <v>625.85597998271817</v>
      </c>
      <c r="C283">
        <f>B283</f>
        <v>625.85597998271817</v>
      </c>
      <c r="D283">
        <f>B283</f>
        <v>625.85597998271817</v>
      </c>
      <c r="E283">
        <f>VLOOKUP(E280,'8. Uncertainty Results'!$B$403:$E$415,2,FALSE)*(cubicm/gal)*(day/yr)</f>
        <v>127.79266653950087</v>
      </c>
      <c r="F283">
        <f>E283</f>
        <v>127.79266653950087</v>
      </c>
      <c r="G283">
        <f>E283</f>
        <v>127.79266653950087</v>
      </c>
      <c r="H283">
        <f>VLOOKUP(H280,'8. Uncertainty Results'!$B$403:$E$415,2,FALSE)*(cubicm/gal)*(day/yr)</f>
        <v>59.032314513597889</v>
      </c>
      <c r="I283">
        <f>H283</f>
        <v>59.032314513597889</v>
      </c>
      <c r="J283">
        <f>H283</f>
        <v>59.032314513597889</v>
      </c>
      <c r="K283">
        <f>VLOOKUP(K280,'8. Uncertainty Results'!$B$403:$E$415,2,FALSE)*(cubicm/gal)*(day/yr)</f>
        <v>47.380666011211368</v>
      </c>
      <c r="L283">
        <f>K283</f>
        <v>47.380666011211368</v>
      </c>
      <c r="M283">
        <f>K283</f>
        <v>47.380666011211368</v>
      </c>
      <c r="N283">
        <f>VLOOKUP(N280,'8. Uncertainty Results'!$B$403:$E$415,2,FALSE)*(cubicm/gal)*(day/yr)</f>
        <v>30.686504764784893</v>
      </c>
      <c r="O283">
        <f>N283</f>
        <v>30.686504764784893</v>
      </c>
      <c r="P283">
        <f>N283</f>
        <v>30.686504764784893</v>
      </c>
      <c r="Q283">
        <f>VLOOKUP(Q280,'8. Uncertainty Results'!$B$403:$E$415,2,FALSE)*(cubicm/gal)*(day/yr)</f>
        <v>36.200539419752843</v>
      </c>
      <c r="R283">
        <f>Q283</f>
        <v>36.200539419752843</v>
      </c>
      <c r="S283">
        <f>Q283</f>
        <v>36.200539419752843</v>
      </c>
      <c r="T283">
        <f>VLOOKUP(T280,'8. Uncertainty Results'!$B$403:$E$415,2,FALSE)*(cubicm/gal)*(day/yr)</f>
        <v>52.782511299144602</v>
      </c>
      <c r="U283">
        <f>T283</f>
        <v>52.782511299144602</v>
      </c>
      <c r="V283">
        <f>T283</f>
        <v>52.782511299144602</v>
      </c>
      <c r="W283">
        <f>VLOOKUP(W280,'8. Uncertainty Results'!$B$403:$E$415,2,FALSE)*(cubicm/gal)*(day/yr)</f>
        <v>104.52150783485807</v>
      </c>
      <c r="X283">
        <f>W283</f>
        <v>104.52150783485807</v>
      </c>
      <c r="Y283">
        <f>W283</f>
        <v>104.52150783485807</v>
      </c>
    </row>
    <row r="284" spans="1:25" x14ac:dyDescent="0.2">
      <c r="A284" s="36" t="s">
        <v>437</v>
      </c>
      <c r="B284">
        <f>VLOOKUP(B280,'8. Uncertainty Results'!$B$403:$E$415,4,FALSE)*(cubicm/gal)*(day/yr)</f>
        <v>652.74031792099902</v>
      </c>
      <c r="C284">
        <f>B284</f>
        <v>652.74031792099902</v>
      </c>
      <c r="D284">
        <f>B284</f>
        <v>652.74031792099902</v>
      </c>
      <c r="E284">
        <f>VLOOKUP(E280,'8. Uncertainty Results'!$B$403:$E$415,4,FALSE)*(cubicm/gal)*(day/yr)</f>
        <v>325.88025020818134</v>
      </c>
      <c r="F284">
        <f>E284</f>
        <v>325.88025020818134</v>
      </c>
      <c r="G284">
        <f>E284</f>
        <v>325.88025020818134</v>
      </c>
      <c r="H284">
        <f>VLOOKUP(H280,'8. Uncertainty Results'!$B$403:$E$415,4,FALSE)*(cubicm/gal)*(day/yr)</f>
        <v>136.00831324445119</v>
      </c>
      <c r="I284">
        <f>H284</f>
        <v>136.00831324445119</v>
      </c>
      <c r="J284">
        <f>H284</f>
        <v>136.00831324445119</v>
      </c>
      <c r="K284">
        <f>VLOOKUP(K280,'8. Uncertainty Results'!$B$403:$E$415,4,FALSE)*(cubicm/gal)*(day/yr)</f>
        <v>100.3289937691587</v>
      </c>
      <c r="L284">
        <f>K284</f>
        <v>100.3289937691587</v>
      </c>
      <c r="M284">
        <f>K284</f>
        <v>100.3289937691587</v>
      </c>
      <c r="N284">
        <f>VLOOKUP(N280,'8. Uncertainty Results'!$B$403:$E$415,4,FALSE)*(cubicm/gal)*(day/yr)</f>
        <v>116.24558571719298</v>
      </c>
      <c r="O284">
        <f>N284</f>
        <v>116.24558571719298</v>
      </c>
      <c r="P284">
        <f>N284</f>
        <v>116.24558571719298</v>
      </c>
      <c r="Q284">
        <f>VLOOKUP(Q280,'8. Uncertainty Results'!$B$403:$E$415,4,FALSE)*(cubicm/gal)*(day/yr)</f>
        <v>108.67046056949388</v>
      </c>
      <c r="R284">
        <f>Q284</f>
        <v>108.67046056949388</v>
      </c>
      <c r="S284">
        <f>Q284</f>
        <v>108.67046056949388</v>
      </c>
      <c r="T284">
        <f>VLOOKUP(T280,'8. Uncertainty Results'!$B$403:$E$415,4,FALSE)*(cubicm/gal)*(day/yr)</f>
        <v>119.33286533503804</v>
      </c>
      <c r="U284">
        <f>T284</f>
        <v>119.33286533503804</v>
      </c>
      <c r="V284">
        <f>T284</f>
        <v>119.33286533503804</v>
      </c>
      <c r="W284">
        <f>VLOOKUP(W280,'8. Uncertainty Results'!$B$403:$E$415,4,FALSE)*(cubicm/gal)*(day/yr)</f>
        <v>301.41741579291289</v>
      </c>
      <c r="X284">
        <f>W284</f>
        <v>301.41741579291289</v>
      </c>
      <c r="Y284">
        <f>W284</f>
        <v>301.41741579291289</v>
      </c>
    </row>
    <row r="285" spans="1:25" x14ac:dyDescent="0.2">
      <c r="A285" s="36" t="s">
        <v>438</v>
      </c>
      <c r="B285">
        <f>VLOOKUP(B280,'8. Uncertainty Results'!$A$97:$CM$109,2+$A$232,FALSE)*((cubicm/gal)*(day/yr))/B277</f>
        <v>9.172562601208206</v>
      </c>
      <c r="C285">
        <f>VLOOKUP(B280,'8. Uncertainty Results'!$A$97:$CM$109,3+$A$232,FALSE)*((cubicm/gal)*(day/yr))/C277</f>
        <v>7.1213090675550319</v>
      </c>
      <c r="D285">
        <f>VLOOKUP(B280,'8. Uncertainty Results'!$A$97:$CM$109,4+$A$232,FALSE)*((cubicm/gal)*(day/yr))/D277</f>
        <v>6.029114774915433</v>
      </c>
      <c r="E285">
        <f>VLOOKUP(E280,'8. Uncertainty Results'!$A$97:$CM$109,2+$A$232,FALSE)*((cubicm/gal)*(day/yr))</f>
        <v>0</v>
      </c>
      <c r="F285">
        <f>VLOOKUP(E280,'8. Uncertainty Results'!$A$97:$CM$109,3+$A$232,FALSE)*((cubicm/gal)*(day/yr))</f>
        <v>0</v>
      </c>
      <c r="G285">
        <f>VLOOKUP(E280,'8. Uncertainty Results'!$A$97:$CM$109,4+$A$232,FALSE)*((cubicm/gal)*(day/yr))</f>
        <v>0</v>
      </c>
      <c r="H285">
        <f>VLOOKUP(H280,'8. Uncertainty Results'!$A$97:$CM$109,2+$A$232,FALSE)*((cubicm/gal)*(day/yr))</f>
        <v>23.890071200888617</v>
      </c>
      <c r="I285">
        <f>VLOOKUP(H280,'8. Uncertainty Results'!$A$97:$CM$109,3+$A$232,FALSE)*((cubicm/gal)*(day/yr))</f>
        <v>24.484615641021325</v>
      </c>
      <c r="J285">
        <f>VLOOKUP(H280,'8. Uncertainty Results'!$A$97:$CM$109,4+$A$232,FALSE)*((cubicm/gal)*(day/yr))</f>
        <v>24.962173479846015</v>
      </c>
      <c r="K285">
        <f>VLOOKUP(K280,'8. Uncertainty Results'!$A$97:$CM$109,2+$A$232,FALSE)*((cubicm/gal)*(day/yr))</f>
        <v>9.5842291812840374E-2</v>
      </c>
      <c r="L285">
        <f>VLOOKUP(K280,'8. Uncertainty Results'!$A$97:$CM$109,3+$A$232,FALSE)*((cubicm/gal)*(day/yr))</f>
        <v>9.8227224552638687E-2</v>
      </c>
      <c r="M285">
        <f>VLOOKUP(K280,'8. Uncertainty Results'!$A$97:$CM$109,4+$A$232,FALSE)*((cubicm/gal)*(day/yr))</f>
        <v>0.10008186280179349</v>
      </c>
      <c r="N285">
        <f>VLOOKUP(N280,'8. Uncertainty Results'!$A$97:$CM$109,2+$A$232,FALSE)*((cubicm/gal)*(day/yr))</f>
        <v>6.3934991228690327E-2</v>
      </c>
      <c r="O285">
        <f>VLOOKUP(N280,'8. Uncertainty Results'!$A$97:$CM$109,3+$A$232,FALSE)*((cubicm/gal)*(day/yr))</f>
        <v>6.5502509464983996E-2</v>
      </c>
      <c r="P285">
        <f>VLOOKUP(N280,'8. Uncertainty Results'!$A$97:$CM$109,4+$A$232,FALSE)*((cubicm/gal)*(day/yr))</f>
        <v>6.6749648141340406E-2</v>
      </c>
      <c r="Q285">
        <f>VLOOKUP(Q280,'8. Uncertainty Results'!$A$97:$CM$109,2+$A$232,FALSE)*((cubicm/gal)*(day/yr))</f>
        <v>9.5876160517878214E-2</v>
      </c>
      <c r="R285">
        <f>VLOOKUP(Q280,'8. Uncertainty Results'!$A$97:$CM$109,3+$A$232,FALSE)*((cubicm/gal)*(day/yr))</f>
        <v>9.8253750670537335E-2</v>
      </c>
      <c r="S285">
        <f>VLOOKUP(Q280,'8. Uncertainty Results'!$A$97:$CM$109,4+$A$232,FALSE)*((cubicm/gal)*(day/yr))</f>
        <v>0.10010219446536106</v>
      </c>
      <c r="T285">
        <f>VLOOKUP(T280,'8. Uncertainty Results'!$A$97:$CM$109,2+$A$232,FALSE)*((cubicm/gal)*(day/yr))</f>
        <v>15.797727908357505</v>
      </c>
      <c r="U285">
        <f>VLOOKUP(T280,'8. Uncertainty Results'!$A$97:$CM$109,3+$A$232,FALSE)*((cubicm/gal)*(day/yr))</f>
        <v>15.923648715658967</v>
      </c>
      <c r="V285">
        <f>VLOOKUP(T280,'8. Uncertainty Results'!$A$97:$CM$109,4+$A$232,FALSE)*((cubicm/gal)*(day/yr))</f>
        <v>16.029877249501304</v>
      </c>
      <c r="W285">
        <f>VLOOKUP(W280,'8. Uncertainty Results'!$A$97:$CM$109,2+$A$232,FALSE)*((cubicm/gal)*(day/yr))</f>
        <v>23.875660558840028</v>
      </c>
      <c r="X285">
        <f>VLOOKUP(W280,'8. Uncertainty Results'!$A$97:$CM$109,3+$A$232,FALSE)*((cubicm/gal)*(day/yr))</f>
        <v>24.487789978986434</v>
      </c>
      <c r="Y285">
        <f>VLOOKUP(W280,'8. Uncertainty Results'!$A$97:$CM$109,4+$A$232,FALSE)*((cubicm/gal)*(day/yr))</f>
        <v>24.964889411762066</v>
      </c>
    </row>
    <row r="286" spans="1:25" x14ac:dyDescent="0.2">
      <c r="A286" s="36" t="s">
        <v>400</v>
      </c>
      <c r="B286">
        <f>VLOOKUP(B280,'8. Uncertainty Results'!$A$97:$CM$109,17+$A$232,FALSE)*((cubicm/gal)*(day/yr))/B277</f>
        <v>14.780440339347148</v>
      </c>
      <c r="C286">
        <f>VLOOKUP(B280,'8. Uncertainty Results'!$A$97:$CM$109,18+$A$232+$A$232,FALSE)*((cubicm/gal)*(day/yr))/C277</f>
        <v>0</v>
      </c>
      <c r="D286">
        <f>VLOOKUP(B280,'8. Uncertainty Results'!$A$97:$CM$109,19+$A$232,FALSE)*((cubicm/gal)*(day/yr))/D277</f>
        <v>10.491566542276809</v>
      </c>
      <c r="E286">
        <f>VLOOKUP(E280,'8. Uncertainty Results'!$A$97:$CM$109,17+$A$232,FALSE)*((cubicm/gal)*(day/yr))</f>
        <v>3.6234925842681784</v>
      </c>
      <c r="F286">
        <f>VLOOKUP(E280,'8. Uncertainty Results'!$A$97:$CM$109,18+$A$232,FALSE)*((cubicm/gal)*(day/yr))</f>
        <v>3.7537961650440774</v>
      </c>
      <c r="G286">
        <f>VLOOKUP(E280,'8. Uncertainty Results'!$A$97:$CM$109,19+$A$232,FALSE)*((cubicm/gal)*(day/yr))</f>
        <v>3.887624749456013</v>
      </c>
      <c r="H286">
        <f>VLOOKUP(H280,'8. Uncertainty Results'!$A$97:$CM$109,17+$A$232,FALSE)*((cubicm/gal)*(day/yr))</f>
        <v>47.579946887677742</v>
      </c>
      <c r="I286">
        <f>VLOOKUP(H280,'8. Uncertainty Results'!$A$97:$CM$109,18+$A$232,FALSE)*((cubicm/gal)*(day/yr))</f>
        <v>51.017484681746502</v>
      </c>
      <c r="J286">
        <f>VLOOKUP(H280,'8. Uncertainty Results'!$A$97:$CM$109,19+$A$232,FALSE)*((cubicm/gal)*(day/yr))</f>
        <v>53.985135276586682</v>
      </c>
      <c r="K286">
        <f>VLOOKUP(K280,'8. Uncertainty Results'!$A$97:$CM$109,17+$A$232,FALSE)*((cubicm/gal)*(day/yr))</f>
        <v>7.0539766199383998</v>
      </c>
      <c r="L286">
        <f>VLOOKUP(K280,'8. Uncertainty Results'!$A$97:$CM$109,18+$A$232,FALSE)*((cubicm/gal)*(day/yr))</f>
        <v>7.5380534701809374</v>
      </c>
      <c r="M286">
        <f>VLOOKUP(K280,'8. Uncertainty Results'!$A$97:$CM$109,19+$A$232,FALSE)*((cubicm/gal)*(day/yr))</f>
        <v>7.9541228221615699</v>
      </c>
      <c r="N286">
        <f>VLOOKUP(N280,'8. Uncertainty Results'!$A$97:$CM$109,17+$A$232,FALSE)*((cubicm/gal)*(day/yr))</f>
        <v>4.9287626481355744</v>
      </c>
      <c r="O286">
        <f>VLOOKUP(N280,'8. Uncertainty Results'!$A$97:$CM$109,18+$A$232,FALSE)*((cubicm/gal)*(day/yr))</f>
        <v>5.2433650874677378</v>
      </c>
      <c r="P286">
        <f>VLOOKUP(N280,'8. Uncertainty Results'!$A$97:$CM$109,19+$A$232,FALSE)*((cubicm/gal)*(day/yr))</f>
        <v>5.5235492835159912</v>
      </c>
      <c r="Q286">
        <f>VLOOKUP(Q280,'8. Uncertainty Results'!$A$97:$CM$109,17+$A$232,FALSE)*((cubicm/gal)*(day/yr))</f>
        <v>7.057935747503878</v>
      </c>
      <c r="R286">
        <f>VLOOKUP(Q280,'8. Uncertainty Results'!$A$97:$CM$109,18+$A$232,FALSE)*((cubicm/gal)*(day/yr))</f>
        <v>7.5338330107248304</v>
      </c>
      <c r="S286">
        <f>VLOOKUP(Q280,'8. Uncertainty Results'!$A$97:$CM$109,19+$A$232,FALSE)*((cubicm/gal)*(day/yr))</f>
        <v>7.9614195478211558</v>
      </c>
      <c r="T286">
        <f>VLOOKUP(T280,'8. Uncertainty Results'!$A$97:$CM$109,17+$A$232,FALSE)*((cubicm/gal)*(day/yr))</f>
        <v>1.0549067550296924</v>
      </c>
      <c r="U286">
        <f>VLOOKUP(T280,'8. Uncertainty Results'!$A$97:$CM$109,18+$A$232,FALSE)*((cubicm/gal)*(day/yr))</f>
        <v>1.1094416374882805</v>
      </c>
      <c r="V286">
        <f>VLOOKUP(T280,'8. Uncertainty Results'!$A$97:$CM$109,19+$A$232,FALSE)*((cubicm/gal)*(day/yr))</f>
        <v>1.1582813982484035</v>
      </c>
      <c r="W286">
        <f>VLOOKUP(W280,'8. Uncertainty Results'!$A$97:$CM$109,17+$A$232,FALSE)*((cubicm/gal)*(day/yr))</f>
        <v>47.565185325459389</v>
      </c>
      <c r="X286">
        <f>VLOOKUP(W280,'8. Uncertainty Results'!$A$97:$CM$109,18+$A$232,FALSE)*((cubicm/gal)*(day/yr))</f>
        <v>50.952707991415522</v>
      </c>
      <c r="Y286">
        <f>VLOOKUP(W280,'8. Uncertainty Results'!$A$97:$CM$109,19+$A$232,FALSE)*((cubicm/gal)*(day/yr))</f>
        <v>53.925386745136834</v>
      </c>
    </row>
    <row r="287" spans="1:25" x14ac:dyDescent="0.2">
      <c r="A287" s="36" t="s">
        <v>401</v>
      </c>
      <c r="B287">
        <f>VLOOKUP(B280,'8. Uncertainty Results'!$A$97:$CM$109,32+$A$232,FALSE)*((cubicm/gal)*(day/yr))/B277</f>
        <v>0</v>
      </c>
      <c r="C287">
        <f>VLOOKUP(B280,'8. Uncertainty Results'!$A$97:$CM$109,33+$A$232,FALSE)*((cubicm/gal)*(day/yr))/C277</f>
        <v>0</v>
      </c>
      <c r="D287">
        <f>VLOOKUP(B280,'8. Uncertainty Results'!$A$97:$CM$109,34+$A$232,FALSE)*((cubicm/gal)*(day/yr))/D277</f>
        <v>0</v>
      </c>
      <c r="E287">
        <f>VLOOKUP(E280,'8. Uncertainty Results'!$A$97:$CM$109,32+$A$232,FALSE)*((cubicm/gal)*(day/yr))</f>
        <v>0</v>
      </c>
      <c r="F287">
        <f>VLOOKUP(E280,'8. Uncertainty Results'!$A$97:$CM$109,33+$A$232,FALSE)*((cubicm/gal)*(day/yr))</f>
        <v>0</v>
      </c>
      <c r="G287">
        <f>VLOOKUP(E280,'8. Uncertainty Results'!$A$97:$CM$109,34+$A$232,FALSE)*((cubicm/gal)*(day/yr))</f>
        <v>0</v>
      </c>
      <c r="H287">
        <f>VLOOKUP(H280,'8. Uncertainty Results'!$A$97:$CM$109,32+$A$232,FALSE)*((cubicm/gal)*(day/yr))</f>
        <v>0</v>
      </c>
      <c r="I287">
        <f>VLOOKUP(H280,'8. Uncertainty Results'!$A$97:$CM$109,33+$A$232,FALSE)*((cubicm/gal)*(day/yr))</f>
        <v>0</v>
      </c>
      <c r="J287">
        <f>VLOOKUP(H280,'8. Uncertainty Results'!$A$97:$CM$109,34+$A$232,FALSE)*((cubicm/gal)*(day/yr))</f>
        <v>0</v>
      </c>
      <c r="K287">
        <f>VLOOKUP(K280,'8. Uncertainty Results'!$A$97:$CM$109,32+$A$232,FALSE)*((cubicm/gal)*(day/yr))</f>
        <v>0</v>
      </c>
      <c r="L287">
        <f>VLOOKUP(K280,'8. Uncertainty Results'!$A$97:$CM$109,33+$A$232,FALSE)*((cubicm/gal)*(day/yr))</f>
        <v>0</v>
      </c>
      <c r="M287">
        <f>VLOOKUP(K280,'8. Uncertainty Results'!$A$97:$CM$109,34+$A$232,FALSE)*((cubicm/gal)*(day/yr))</f>
        <v>0</v>
      </c>
      <c r="N287">
        <f>VLOOKUP(N280,'8. Uncertainty Results'!$A$97:$CM$109,32+$A$232,FALSE)*((cubicm/gal)*(day/yr))</f>
        <v>0</v>
      </c>
      <c r="O287">
        <f>VLOOKUP(N280,'8. Uncertainty Results'!$A$97:$CM$109,33+$A$232,FALSE)*((cubicm/gal)*(day/yr))</f>
        <v>0</v>
      </c>
      <c r="P287">
        <f>VLOOKUP(N280,'8. Uncertainty Results'!$A$97:$CM$109,34+$A$232,FALSE)*((cubicm/gal)*(day/yr))</f>
        <v>0</v>
      </c>
      <c r="Q287">
        <f>VLOOKUP(Q280,'8. Uncertainty Results'!$A$97:$CM$109,32+$A$232,FALSE)*((cubicm/gal)*(day/yr))</f>
        <v>0</v>
      </c>
      <c r="R287">
        <f>VLOOKUP(Q280,'8. Uncertainty Results'!$A$97:$CM$109,33+$A$232,FALSE)*((cubicm/gal)*(day/yr))</f>
        <v>0</v>
      </c>
      <c r="S287">
        <f>VLOOKUP(Q280,'8. Uncertainty Results'!$A$97:$CM$109,34+$A$232,FALSE)*((cubicm/gal)*(day/yr))</f>
        <v>0</v>
      </c>
      <c r="T287">
        <f>VLOOKUP(T280,'8. Uncertainty Results'!$A$97:$CM$109,32+$A$232,FALSE)*((cubicm/gal)*(day/yr))</f>
        <v>0</v>
      </c>
      <c r="U287">
        <f>VLOOKUP(T280,'8. Uncertainty Results'!$A$97:$CM$109,33+$A$232,FALSE)*((cubicm/gal)*(day/yr))</f>
        <v>0</v>
      </c>
      <c r="V287">
        <f>VLOOKUP(T280,'8. Uncertainty Results'!$A$97:$CM$109,34+$A$232,FALSE)*((cubicm/gal)*(day/yr))</f>
        <v>0</v>
      </c>
      <c r="W287">
        <f>VLOOKUP(W280,'8. Uncertainty Results'!$A$97:$CM$109,32+$A$232,FALSE)*((cubicm/gal)*(day/yr))</f>
        <v>0</v>
      </c>
      <c r="X287">
        <f>VLOOKUP(W280,'8. Uncertainty Results'!$A$97:$CM$109,33+$A$232,FALSE)*((cubicm/gal)*(day/yr))</f>
        <v>0</v>
      </c>
      <c r="Y287">
        <f>VLOOKUP(W280,'8. Uncertainty Results'!$A$97:$CM$109,34+$A$232,FALSE)*((cubicm/gal)*(day/yr))</f>
        <v>0</v>
      </c>
    </row>
    <row r="288" spans="1:25" x14ac:dyDescent="0.2">
      <c r="A288" s="36" t="s">
        <v>402</v>
      </c>
      <c r="B288">
        <f>VLOOKUP(B280,'8. Uncertainty Results'!$A$79:$CM$91,47+$A$232,FALSE)*((cubicm/gal)*(day/yr))/B277</f>
        <v>1222.0949275240309</v>
      </c>
      <c r="C288">
        <f>VLOOKUP(B280,'8. Uncertainty Results'!$A$79:$CM$91,48+$A$232,FALSE)*((cubicm/gal)*(day/yr))/C277</f>
        <v>1452.5094823179843</v>
      </c>
      <c r="D288">
        <f>VLOOKUP(B280,'8. Uncertainty Results'!$A$79:$CM$91,49+$A$232,FALSE)*((cubicm/gal)*(day/yr))/D277</f>
        <v>1690.7881226302543</v>
      </c>
      <c r="E288">
        <f>VLOOKUP(E280,'8. Uncertainty Results'!$A$97:$CM$109,47+$A$232,FALSE)*((cubicm/gal)*(day/yr))</f>
        <v>538.74713202433384</v>
      </c>
      <c r="F288">
        <f>VLOOKUP(E280,'8. Uncertainty Results'!$A$97:$CM$109,48+$A$232,FALSE)*((cubicm/gal)*(day/yr))</f>
        <v>716.74675680451367</v>
      </c>
      <c r="G288">
        <f>VLOOKUP(E280,'8. Uncertainty Results'!$A$97:$CM$109,49+$A$232,FALSE)*((cubicm/gal)*(day/yr))</f>
        <v>927.67648126661629</v>
      </c>
      <c r="H288">
        <f>VLOOKUP(H280,'8. Uncertainty Results'!$A$97:$CM$109,47+$A$232,FALSE)*((cubicm/gal)*(day/yr))</f>
        <v>54.292740097953541</v>
      </c>
      <c r="I288">
        <f>VLOOKUP(H280,'8. Uncertainty Results'!$A$97:$CM$109,48+$A$232,FALSE)*((cubicm/gal)*(day/yr))</f>
        <v>80.046794290627673</v>
      </c>
      <c r="J288">
        <f>VLOOKUP(H280,'8. Uncertainty Results'!$A$97:$CM$109,49+$A$232,FALSE)*((cubicm/gal)*(day/yr))</f>
        <v>109.54115503736779</v>
      </c>
      <c r="K288">
        <f>VLOOKUP(K280,'8. Uncertainty Results'!$A$97:$CM$109,47+$A$232,FALSE)*((cubicm/gal)*(day/yr))</f>
        <v>63.969129056672145</v>
      </c>
      <c r="L288">
        <f>VLOOKUP(K280,'8. Uncertainty Results'!$A$97:$CM$109,48+$A$232,FALSE)*((cubicm/gal)*(day/yr))</f>
        <v>88.455614870165974</v>
      </c>
      <c r="M288">
        <f>VLOOKUP(K280,'8. Uncertainty Results'!$A$97:$CM$109,49+$A$232,FALSE)*((cubicm/gal)*(day/yr))</f>
        <v>116.65176736497398</v>
      </c>
      <c r="N288">
        <f>VLOOKUP(N280,'8. Uncertainty Results'!$A$97:$CM$109,47+$A$232,FALSE)*((cubicm/gal)*(day/yr))</f>
        <v>46.764010821999193</v>
      </c>
      <c r="O288">
        <f>VLOOKUP(N280,'8. Uncertainty Results'!$A$97:$CM$109,48+$A$232,FALSE)*((cubicm/gal)*(day/yr))</f>
        <v>63.978789065713819</v>
      </c>
      <c r="P288">
        <f>VLOOKUP(N280,'8. Uncertainty Results'!$A$97:$CM$109,49+$A$232,FALSE)*((cubicm/gal)*(day/yr))</f>
        <v>83.144972102394632</v>
      </c>
      <c r="Q288">
        <f>VLOOKUP(Q280,'8. Uncertainty Results'!$A$97:$CM$109,47+$A$232,FALSE)*((cubicm/gal)*(day/yr))</f>
        <v>64.371629352519946</v>
      </c>
      <c r="R288">
        <f>VLOOKUP(Q280,'8. Uncertainty Results'!$A$97:$CM$109,48+$A$232,FALSE)*((cubicm/gal)*(day/yr))</f>
        <v>88.260328926390557</v>
      </c>
      <c r="S288">
        <f>VLOOKUP(Q280,'8. Uncertainty Results'!$A$97:$CM$109,49+$A$232,FALSE)*((cubicm/gal)*(day/yr))</f>
        <v>116.36821869546549</v>
      </c>
      <c r="T288">
        <f>VLOOKUP(T280,'8. Uncertainty Results'!$A$97:$CM$109,47+$A$232,FALSE)*((cubicm/gal)*(day/yr))</f>
        <v>39.329437641487893</v>
      </c>
      <c r="U288">
        <f>VLOOKUP(T280,'8. Uncertainty Results'!$A$97:$CM$109,48+$A$232,FALSE)*((cubicm/gal)*(day/yr))</f>
        <v>54.154724247172688</v>
      </c>
      <c r="V288">
        <f>VLOOKUP(T280,'8. Uncertainty Results'!$A$97:$CM$109,49+$A$232,FALSE)*((cubicm/gal)*(day/yr))</f>
        <v>69.781934734487862</v>
      </c>
      <c r="W288">
        <f>VLOOKUP(W280,'8. Uncertainty Results'!$A$97:$CM$109,47+$A$232,FALSE)*((cubicm/gal)*(day/yr))</f>
        <v>54.480167325996959</v>
      </c>
      <c r="X288">
        <f>VLOOKUP(W280,'8. Uncertainty Results'!$A$97:$CM$109,48+$A$232,FALSE)*((cubicm/gal)*(day/yr))</f>
        <v>79.808344719026863</v>
      </c>
      <c r="Y288">
        <f>VLOOKUP(W280,'8. Uncertainty Results'!$A$97:$CM$109,49+$A$232,FALSE)*((cubicm/gal)*(day/yr))</f>
        <v>108.54143769787645</v>
      </c>
    </row>
    <row r="289" spans="1:25" x14ac:dyDescent="0.2">
      <c r="A289" s="36" t="s">
        <v>403</v>
      </c>
      <c r="B289">
        <f>VLOOKUP(B280,'8. Uncertainty Results'!$A$97:$CM$109,62+$A$232,FALSE)*((cubicm/gal)*(day/yr))/B277</f>
        <v>2.3466278936833702</v>
      </c>
      <c r="C289">
        <f>VLOOKUP(B280,'8. Uncertainty Results'!$A$97:$CM$109,63+$A$232,FALSE)*((cubicm/gal)*(day/yr))/C277</f>
        <v>1.8692788900929003</v>
      </c>
      <c r="D289">
        <f>VLOOKUP(B280,'8. Uncertainty Results'!$A$97:$CM$109,64+$A$232,FALSE)*((cubicm/gal)*(day/yr))/D277</f>
        <v>1.6262553017382406</v>
      </c>
      <c r="E289">
        <f>VLOOKUP(E280,'8. Uncertainty Results'!$A$97:$CM$109,62+$A$232,FALSE)*((cubicm/gal)*(day/yr))</f>
        <v>0.901800122027555</v>
      </c>
      <c r="F289">
        <f>VLOOKUP(E280,'8. Uncertainty Results'!$A$97:$CM$109,63+$A$232,FALSE)*((cubicm/gal)*(day/yr))</f>
        <v>0.92433045193094365</v>
      </c>
      <c r="G289">
        <f>VLOOKUP(E280,'8. Uncertainty Results'!$A$97:$CM$109,64+$A$232,FALSE)*((cubicm/gal)*(day/yr))</f>
        <v>0.94960471701264715</v>
      </c>
      <c r="H289">
        <f>VLOOKUP(H280,'8. Uncertainty Results'!$A$97:$CM$109,62+$A$232,FALSE)*((cubicm/gal)*(day/yr))</f>
        <v>0.43082546809762523</v>
      </c>
      <c r="I289">
        <f>VLOOKUP(H280,'8. Uncertainty Results'!$A$97:$CM$109,63+$A$232,FALSE)*((cubicm/gal)*(day/yr))</f>
        <v>0.43755841356204628</v>
      </c>
      <c r="J289">
        <f>VLOOKUP(H280,'8. Uncertainty Results'!$A$97:$CM$109,64+$A$232,FALSE)*((cubicm/gal)*(day/yr))</f>
        <v>0.44454707425086198</v>
      </c>
      <c r="K289">
        <f>VLOOKUP(K280,'8. Uncertainty Results'!$A$97:$CM$109,62+$A$232,FALSE)*((cubicm/gal)*(day/yr))</f>
        <v>0.23900672406849377</v>
      </c>
      <c r="L289">
        <f>VLOOKUP(K280,'8. Uncertainty Results'!$A$97:$CM$109,63+$A$232,FALSE)*((cubicm/gal)*(day/yr))</f>
        <v>0.24292975499444847</v>
      </c>
      <c r="M289">
        <f>VLOOKUP(K280,'8. Uncertainty Results'!$A$97:$CM$109,64+$A$232,FALSE)*((cubicm/gal)*(day/yr))</f>
        <v>0.24691721583030854</v>
      </c>
      <c r="N289">
        <f>VLOOKUP(N280,'8. Uncertainty Results'!$A$97:$CM$109,62+$A$232,FALSE)*((cubicm/gal)*(day/yr))</f>
        <v>0.16846261166869364</v>
      </c>
      <c r="O289">
        <f>VLOOKUP(N280,'8. Uncertainty Results'!$A$97:$CM$109,63+$A$232,FALSE)*((cubicm/gal)*(day/yr))</f>
        <v>0.17117308545296361</v>
      </c>
      <c r="P289">
        <f>VLOOKUP(N280,'8. Uncertainty Results'!$A$97:$CM$109,64+$A$232,FALSE)*((cubicm/gal)*(day/yr))</f>
        <v>0.17399614076198766</v>
      </c>
      <c r="Q289">
        <f>VLOOKUP(Q280,'8. Uncertainty Results'!$A$97:$CM$109,62+$A$232,FALSE)*((cubicm/gal)*(day/yr))</f>
        <v>0.23901352718533289</v>
      </c>
      <c r="R289">
        <f>VLOOKUP(Q280,'8. Uncertainty Results'!$A$97:$CM$109,63+$A$232,FALSE)*((cubicm/gal)*(day/yr))</f>
        <v>0.24283846640447074</v>
      </c>
      <c r="S289">
        <f>VLOOKUP(Q280,'8. Uncertainty Results'!$A$97:$CM$109,64+$A$232,FALSE)*((cubicm/gal)*(day/yr))</f>
        <v>0.24689414628956066</v>
      </c>
      <c r="T289">
        <f>VLOOKUP(T280,'8. Uncertainty Results'!$A$97:$CM$109,62+$A$232,FALSE)*((cubicm/gal)*(day/yr))</f>
        <v>8.4672320158536707E-2</v>
      </c>
      <c r="U289">
        <f>VLOOKUP(T280,'8. Uncertainty Results'!$A$97:$CM$109,63+$A$232,FALSE)*((cubicm/gal)*(day/yr))</f>
        <v>8.7287528097732173E-2</v>
      </c>
      <c r="V289">
        <f>VLOOKUP(T280,'8. Uncertainty Results'!$A$97:$CM$109,64+$A$232,FALSE)*((cubicm/gal)*(day/yr))</f>
        <v>9.0004981044863569E-2</v>
      </c>
      <c r="W289">
        <f>VLOOKUP(W280,'8. Uncertainty Results'!$A$97:$CM$109,62+$A$232,FALSE)*((cubicm/gal)*(day/yr))</f>
        <v>0.43099968029270441</v>
      </c>
      <c r="X289">
        <f>VLOOKUP(W280,'8. Uncertainty Results'!$A$97:$CM$109,63+$A$232,FALSE)*((cubicm/gal)*(day/yr))</f>
        <v>0.43754850227875947</v>
      </c>
      <c r="Y289">
        <f>VLOOKUP(W280,'8. Uncertainty Results'!$A$97:$CM$109,64+$A$232,FALSE)*((cubicm/gal)*(day/yr))</f>
        <v>0.4444055624381279</v>
      </c>
    </row>
    <row r="290" spans="1:25" x14ac:dyDescent="0.2">
      <c r="A290" s="36" t="s">
        <v>439</v>
      </c>
      <c r="B290">
        <f>VLOOKUP(B280,'8. Uncertainty Results'!$A$97:$CM$109,77+$A$232,FALSE)*((cubicm/gal)*(day/yr))/B277</f>
        <v>0</v>
      </c>
      <c r="C290">
        <f>VLOOKUP(B280,'8. Uncertainty Results'!$A$97:$CM$109,78+$A$232,FALSE)*((cubicm/gal)*(day/yr))/C277</f>
        <v>0</v>
      </c>
      <c r="D290">
        <f>VLOOKUP(B280,'8. Uncertainty Results'!$A$97:$CM$109,79+$A$232,FALSE)*((cubicm/gal)*(day/yr))/D277</f>
        <v>0</v>
      </c>
      <c r="E290">
        <f>VLOOKUP(E280,'8. Uncertainty Results'!$A$97:$CM$109,77+$A$232,FALSE)*((cubicm/gal)*(day/yr))</f>
        <v>0.87312159386974042</v>
      </c>
      <c r="F290">
        <f>VLOOKUP(E280,'8. Uncertainty Results'!$A$97:$CM$109,78+$A$232,FALSE)*((cubicm/gal)*(day/yr))</f>
        <v>0.92906372031090301</v>
      </c>
      <c r="G290">
        <f>VLOOKUP(E280,'8. Uncertainty Results'!$A$97:$CM$109,79+$A$232,FALSE)*((cubicm/gal)*(day/yr))</f>
        <v>0.98995929853796083</v>
      </c>
      <c r="H290">
        <f>VLOOKUP(H280,'8. Uncertainty Results'!$A$97:$CM$109,77+$A$232,FALSE)*((cubicm/gal)*(day/yr))</f>
        <v>1.7222067988627259</v>
      </c>
      <c r="I290">
        <f>VLOOKUP(H280,'8. Uncertainty Results'!$A$97:$CM$109,78+$A$232,FALSE)*((cubicm/gal)*(day/yr))</f>
        <v>1.8662031790282672</v>
      </c>
      <c r="J290">
        <f>VLOOKUP(H280,'8. Uncertainty Results'!$A$97:$CM$109,79+$A$232,FALSE)*((cubicm/gal)*(day/yr))</f>
        <v>2.041198554694875</v>
      </c>
      <c r="K290">
        <f>VLOOKUP(K280,'8. Uncertainty Results'!$A$97:$CM$109,77+$A$232,FALSE)*((cubicm/gal)*(day/yr))</f>
        <v>0</v>
      </c>
      <c r="L290">
        <f>VLOOKUP(K280,'8. Uncertainty Results'!$A$97:$CM$109,78+$A$232,FALSE)*((cubicm/gal)*(day/yr))</f>
        <v>0</v>
      </c>
      <c r="M290">
        <f>VLOOKUP(K280,'8. Uncertainty Results'!$A$97:$CM$109,79+$A$232,FALSE)*((cubicm/gal)*(day/yr))</f>
        <v>0</v>
      </c>
      <c r="N290">
        <f>VLOOKUP(N280,'8. Uncertainty Results'!$A$97:$CM$109,77+$A$232,FALSE)*((cubicm/gal)*(day/yr))</f>
        <v>0</v>
      </c>
      <c r="O290">
        <f>VLOOKUP(N280,'8. Uncertainty Results'!$A$97:$CM$109,78+$A$232,FALSE)*((cubicm/gal)*(day/yr))</f>
        <v>0</v>
      </c>
      <c r="P290">
        <f>VLOOKUP(N280,'8. Uncertainty Results'!$A$97:$CM$109,79+$A$232,FALSE)*((cubicm/gal)*(day/yr))</f>
        <v>0</v>
      </c>
      <c r="Q290">
        <f>VLOOKUP(Q280,'8. Uncertainty Results'!$A$97:$CM$109,77+$A$232,FALSE)*((cubicm/gal)*(day/yr))</f>
        <v>0</v>
      </c>
      <c r="R290">
        <f>VLOOKUP(Q280,'8. Uncertainty Results'!$A$97:$CM$109,78+$A$232,FALSE)*((cubicm/gal)*(day/yr))</f>
        <v>0</v>
      </c>
      <c r="S290">
        <f>VLOOKUP(Q280,'8. Uncertainty Results'!$A$97:$CM$109,79+$A$232,FALSE)*((cubicm/gal)*(day/yr))</f>
        <v>0</v>
      </c>
      <c r="T290">
        <f>VLOOKUP(T280,'8. Uncertainty Results'!$A$97:$CM$109,77+$A$232,FALSE)*((cubicm/gal)*(day/yr))</f>
        <v>0</v>
      </c>
      <c r="U290">
        <f>VLOOKUP(T280,'8. Uncertainty Results'!$A$97:$CM$109,78+$A$232,FALSE)*((cubicm/gal)*(day/yr))</f>
        <v>0</v>
      </c>
      <c r="V290">
        <f>VLOOKUP(T280,'8. Uncertainty Results'!$A$97:$CM$109,79+$A$232,FALSE)*((cubicm/gal)*(day/yr))</f>
        <v>0</v>
      </c>
      <c r="W290">
        <f>VLOOKUP(W280,'8. Uncertainty Results'!$A$97:$CM$109,77+$A$232,FALSE)*((cubicm/gal)*(day/yr))</f>
        <v>1.7221932429208311</v>
      </c>
      <c r="X290">
        <f>VLOOKUP(W280,'8. Uncertainty Results'!$A$97:$CM$109,78+$A$232,FALSE)*((cubicm/gal)*(day/yr))</f>
        <v>1.8663213060340484</v>
      </c>
      <c r="Y290">
        <f>VLOOKUP(W280,'8. Uncertainty Results'!$A$97:$CM$109,79+$A$232,FALSE)*((cubicm/gal)*(day/yr))</f>
        <v>2.0421710537883211</v>
      </c>
    </row>
    <row r="291" spans="1:25" x14ac:dyDescent="0.2">
      <c r="A291" s="36" t="s">
        <v>492</v>
      </c>
      <c r="B291">
        <f>VLOOKUP(B280,'8. Uncertainty Results'!$A$203:$D$215,2,FALSE)/1000000/B277</f>
        <v>12.490078095067648</v>
      </c>
      <c r="C291">
        <f>VLOOKUP(B280,'8. Uncertainty Results'!$A$203:$D$215,3,FALSE)/1000000/C277</f>
        <v>10.51757602462987</v>
      </c>
      <c r="D291">
        <f>VLOOKUP(B280,'8. Uncertainty Results'!$A$203:$D$215,4,FALSE)/1000000/D277</f>
        <v>9.5822314802030775</v>
      </c>
      <c r="E291">
        <f>VLOOKUP(E280,'8. Uncertainty Results'!$A$203:$D$215,2,FALSE)/1000000</f>
        <v>30.329777237026992</v>
      </c>
      <c r="F291">
        <f>VLOOKUP(E280,'8. Uncertainty Results'!$A$203:$D$215,3,FALSE)/1000000</f>
        <v>34.810209497471384</v>
      </c>
      <c r="G291">
        <f>VLOOKUP(E280,'8. Uncertainty Results'!$A$203:$D$215,4,FALSE)/1000000</f>
        <v>39.804593895523155</v>
      </c>
      <c r="H291">
        <f>VLOOKUP(H280,'8. Uncertainty Results'!$A$203:$D$215,2,FALSE)/1000000</f>
        <v>0.36684257135850085</v>
      </c>
      <c r="I291">
        <f>VLOOKUP(H280,'8. Uncertainty Results'!$A$203:$D$215,3,FALSE)/1000000</f>
        <v>1.9272387365708405</v>
      </c>
      <c r="J291">
        <f>VLOOKUP(H280,'8. Uncertainty Results'!$A$203:$D$215,4,FALSE)/1000000</f>
        <v>9.7366119085476832</v>
      </c>
      <c r="K291">
        <f>VLOOKUP(K280,'8. Uncertainty Results'!$A$203:$D$215,2,FALSE)/1000000</f>
        <v>28.572915147869598</v>
      </c>
      <c r="L291">
        <f>VLOOKUP(K280,'8. Uncertainty Results'!$A$203:$D$215,3,FALSE)/1000000</f>
        <v>36.784589510791825</v>
      </c>
      <c r="M291">
        <f>VLOOKUP(K280,'8. Uncertainty Results'!$A$203:$D$215,4,FALSE)/1000000</f>
        <v>63.986855731934547</v>
      </c>
      <c r="N291">
        <f>VLOOKUP(N280,'8. Uncertainty Results'!$A$203:$D$215,2,FALSE)/1000000</f>
        <v>12.60217290105447</v>
      </c>
      <c r="O291">
        <f>VLOOKUP(N280,'8. Uncertainty Results'!$A$203:$D$215,3,FALSE)/1000000</f>
        <v>19.226978004610444</v>
      </c>
      <c r="P291">
        <f>VLOOKUP(N280,'8. Uncertainty Results'!$A$203:$D$215,4,FALSE)/1000000</f>
        <v>49.036167912910365</v>
      </c>
      <c r="Q291">
        <f>VLOOKUP(Q280,'8. Uncertainty Results'!$A$203:$D$215,2,FALSE)/1000000</f>
        <v>4.9234855062215894</v>
      </c>
      <c r="R291">
        <f>VLOOKUP(Q280,'8. Uncertainty Results'!$A$203:$D$215,3,FALSE)/1000000</f>
        <v>5.37106142092306</v>
      </c>
      <c r="S291">
        <f>VLOOKUP(Q280,'8. Uncertainty Results'!$A$203:$D$215,4,FALSE)/1000000</f>
        <v>5.8389653933930203</v>
      </c>
      <c r="T291">
        <f>VLOOKUP(T280,'8. Uncertainty Results'!$A$203:$D$215,2,FALSE)/1000000</f>
        <v>3.9079818470785299</v>
      </c>
      <c r="U291">
        <f>VLOOKUP(T280,'8. Uncertainty Results'!$A$203:$D$215,3,FALSE)/1000000</f>
        <v>4.2843021047777894</v>
      </c>
      <c r="V291">
        <f>VLOOKUP(T280,'8. Uncertainty Results'!$A$203:$D$215,4,FALSE)/1000000</f>
        <v>4.6474321803099699</v>
      </c>
      <c r="W291">
        <f>VLOOKUP(W280,'8. Uncertainty Results'!$A$203:$D$215,2,FALSE)/1000000</f>
        <v>0.23425673678805656</v>
      </c>
      <c r="X291">
        <f>VLOOKUP(W280,'8. Uncertainty Results'!$A$203:$D$215,3,FALSE)/1000000</f>
        <v>1.1548930353673985</v>
      </c>
      <c r="Y291">
        <f>VLOOKUP(W280,'8. Uncertainty Results'!$A$203:$D$215,4,FALSE)/1000000</f>
        <v>5.5129749020288967</v>
      </c>
    </row>
    <row r="292" spans="1:25" x14ac:dyDescent="0.2">
      <c r="A292" s="36"/>
      <c r="B292">
        <f>SUM(B285:B291)*B277</f>
        <v>2241.0379597778187</v>
      </c>
      <c r="C292">
        <f t="shared" ref="C292:D292" si="138">SUM(C285:C291)*C277</f>
        <v>3397.5359041963661</v>
      </c>
      <c r="D292">
        <f t="shared" si="138"/>
        <v>4716.8977145078507</v>
      </c>
    </row>
    <row r="294" spans="1:25" x14ac:dyDescent="0.2">
      <c r="A294" s="36" t="s">
        <v>566</v>
      </c>
      <c r="B294" s="481">
        <v>18100204</v>
      </c>
      <c r="C294" s="481"/>
      <c r="D294" s="481"/>
      <c r="E294" s="481">
        <v>16040201</v>
      </c>
      <c r="F294" s="481"/>
      <c r="G294" s="481"/>
      <c r="H294" s="481">
        <v>15030202</v>
      </c>
      <c r="I294" s="481"/>
      <c r="J294" s="481"/>
      <c r="K294" s="481">
        <v>16060011</v>
      </c>
      <c r="L294" s="481"/>
      <c r="M294" s="481"/>
      <c r="N294" s="481">
        <v>16060003</v>
      </c>
      <c r="O294" s="481"/>
      <c r="P294" s="481"/>
      <c r="Q294" s="481">
        <v>16060013</v>
      </c>
      <c r="R294" s="481"/>
      <c r="S294" s="481"/>
      <c r="T294" s="481">
        <v>16060010</v>
      </c>
      <c r="U294" s="481"/>
      <c r="V294" s="481"/>
      <c r="W294" s="481">
        <v>15030201</v>
      </c>
      <c r="X294" s="481"/>
      <c r="Y294" s="481"/>
    </row>
    <row r="295" spans="1:25" x14ac:dyDescent="0.2">
      <c r="A295" s="36"/>
      <c r="B295" s="481" t="s">
        <v>539</v>
      </c>
      <c r="C295" s="481"/>
      <c r="D295" s="481"/>
      <c r="E295" s="481" t="s">
        <v>417</v>
      </c>
      <c r="F295" s="481"/>
      <c r="G295" s="481"/>
      <c r="H295" s="481" t="s">
        <v>418</v>
      </c>
      <c r="I295" s="481"/>
      <c r="J295" s="481"/>
      <c r="K295" s="481" t="s">
        <v>419</v>
      </c>
      <c r="L295" s="481"/>
      <c r="M295" s="481"/>
      <c r="N295" s="481" t="s">
        <v>420</v>
      </c>
      <c r="O295" s="481"/>
      <c r="P295" s="481"/>
      <c r="Q295" s="481" t="s">
        <v>421</v>
      </c>
      <c r="R295" s="481"/>
      <c r="S295" s="481"/>
      <c r="T295" s="481" t="s">
        <v>422</v>
      </c>
      <c r="U295" s="481"/>
      <c r="V295" s="481"/>
      <c r="W295" s="481" t="s">
        <v>423</v>
      </c>
      <c r="X295" s="481"/>
      <c r="Y295" s="481"/>
    </row>
    <row r="296" spans="1:25" x14ac:dyDescent="0.2">
      <c r="A296" s="36"/>
      <c r="B296" s="36" t="s">
        <v>440</v>
      </c>
      <c r="C296" s="36" t="s">
        <v>441</v>
      </c>
      <c r="D296" s="36" t="s">
        <v>442</v>
      </c>
      <c r="E296" s="36" t="s">
        <v>440</v>
      </c>
      <c r="F296" s="36" t="s">
        <v>441</v>
      </c>
      <c r="G296" s="36" t="s">
        <v>442</v>
      </c>
      <c r="H296" s="36" t="s">
        <v>440</v>
      </c>
      <c r="I296" s="36" t="s">
        <v>441</v>
      </c>
      <c r="J296" s="36" t="s">
        <v>442</v>
      </c>
      <c r="K296" s="36" t="s">
        <v>440</v>
      </c>
      <c r="L296" s="36" t="s">
        <v>441</v>
      </c>
      <c r="M296" s="36" t="s">
        <v>442</v>
      </c>
      <c r="N296" s="36" t="s">
        <v>440</v>
      </c>
      <c r="O296" s="36" t="s">
        <v>441</v>
      </c>
      <c r="P296" s="36" t="s">
        <v>442</v>
      </c>
      <c r="Q296" s="36" t="s">
        <v>440</v>
      </c>
      <c r="R296" s="36" t="s">
        <v>441</v>
      </c>
      <c r="S296" s="36" t="s">
        <v>442</v>
      </c>
      <c r="T296" s="36" t="s">
        <v>440</v>
      </c>
      <c r="U296" s="36" t="s">
        <v>441</v>
      </c>
      <c r="V296" s="36" t="s">
        <v>442</v>
      </c>
      <c r="W296" s="36" t="s">
        <v>440</v>
      </c>
      <c r="X296" s="36" t="s">
        <v>441</v>
      </c>
      <c r="Y296" s="36" t="s">
        <v>442</v>
      </c>
    </row>
    <row r="297" spans="1:25" x14ac:dyDescent="0.2">
      <c r="A297" s="36" t="s">
        <v>436</v>
      </c>
      <c r="B297">
        <f>VLOOKUP(B294,'8. Uncertainty Results'!$B$473:$E$485,2,FALSE)*(cubicm/gal)*(day/yr)</f>
        <v>625.85597998271817</v>
      </c>
      <c r="C297">
        <f>B297</f>
        <v>625.85597998271817</v>
      </c>
      <c r="D297">
        <f>B297</f>
        <v>625.85597998271817</v>
      </c>
      <c r="E297">
        <f>VLOOKUP(E294,'8. Uncertainty Results'!$B$473:$E$485,2,FALSE)*(cubicm/gal)*(day/yr)</f>
        <v>127.79266653950087</v>
      </c>
      <c r="F297">
        <f t="shared" ref="F297" si="139">E297</f>
        <v>127.79266653950087</v>
      </c>
      <c r="G297">
        <f t="shared" ref="G297:G298" si="140">E297</f>
        <v>127.79266653950087</v>
      </c>
      <c r="H297">
        <f>VLOOKUP(H294,'8. Uncertainty Results'!$B$473:$E$485,2,FALSE)*(cubicm/gal)*(day/yr)</f>
        <v>59.032314513597889</v>
      </c>
      <c r="I297">
        <f t="shared" ref="I297" si="141">H297</f>
        <v>59.032314513597889</v>
      </c>
      <c r="J297">
        <f t="shared" ref="J297:J298" si="142">H297</f>
        <v>59.032314513597889</v>
      </c>
      <c r="K297">
        <f>VLOOKUP(K294,'8. Uncertainty Results'!$B$473:$E$485,2,FALSE)*(cubicm/gal)*(day/yr)</f>
        <v>47.380666011211368</v>
      </c>
      <c r="L297">
        <f t="shared" ref="L297" si="143">K297</f>
        <v>47.380666011211368</v>
      </c>
      <c r="M297">
        <f t="shared" ref="M297:M298" si="144">K297</f>
        <v>47.380666011211368</v>
      </c>
      <c r="N297">
        <f>VLOOKUP(N294,'8. Uncertainty Results'!$B$473:$E$485,2,FALSE)*(cubicm/gal)*(day/yr)</f>
        <v>30.686504764784893</v>
      </c>
      <c r="O297">
        <f t="shared" ref="O297" si="145">N297</f>
        <v>30.686504764784893</v>
      </c>
      <c r="P297">
        <f t="shared" ref="P297:P298" si="146">N297</f>
        <v>30.686504764784893</v>
      </c>
      <c r="Q297">
        <f>VLOOKUP(Q294,'8. Uncertainty Results'!$B$473:$E$485,2,FALSE)*(cubicm/gal)*(day/yr)</f>
        <v>36.200539419752843</v>
      </c>
      <c r="R297">
        <f t="shared" ref="R297" si="147">Q297</f>
        <v>36.200539419752843</v>
      </c>
      <c r="S297">
        <f t="shared" ref="S297:S298" si="148">Q297</f>
        <v>36.200539419752843</v>
      </c>
      <c r="T297">
        <f>VLOOKUP(T294,'8. Uncertainty Results'!$B$473:$E$485,2,FALSE)*(cubicm/gal)*(day/yr)</f>
        <v>52.782511299144602</v>
      </c>
      <c r="U297">
        <f t="shared" ref="U297" si="149">T297</f>
        <v>52.782511299144602</v>
      </c>
      <c r="V297">
        <f t="shared" ref="V297:V298" si="150">T297</f>
        <v>52.782511299144602</v>
      </c>
      <c r="W297">
        <f>VLOOKUP(W294,'8. Uncertainty Results'!$B$473:$E$485,2,FALSE)*(cubicm/gal)*(day/yr)</f>
        <v>104.52150783485807</v>
      </c>
      <c r="X297">
        <f t="shared" ref="X297" si="151">W297</f>
        <v>104.52150783485807</v>
      </c>
      <c r="Y297">
        <f t="shared" ref="Y297:Y298" si="152">W297</f>
        <v>104.52150783485807</v>
      </c>
    </row>
    <row r="298" spans="1:25" x14ac:dyDescent="0.2">
      <c r="A298" s="36" t="s">
        <v>437</v>
      </c>
      <c r="B298">
        <f>VLOOKUP(B294,'8. Uncertainty Results'!$B$473:$E$485,4,FALSE)*(cubicm/gal)*(day/yr)</f>
        <v>652.74031792099902</v>
      </c>
      <c r="C298">
        <f>B298</f>
        <v>652.74031792099902</v>
      </c>
      <c r="D298">
        <f>B298</f>
        <v>652.74031792099902</v>
      </c>
      <c r="E298">
        <f>VLOOKUP(E294,'8. Uncertainty Results'!$B$473:$E$485,4,FALSE)*(cubicm/gal)*(day/yr)</f>
        <v>325.88025020818134</v>
      </c>
      <c r="F298">
        <f t="shared" ref="F298" si="153">E298</f>
        <v>325.88025020818134</v>
      </c>
      <c r="G298">
        <f t="shared" si="140"/>
        <v>325.88025020818134</v>
      </c>
      <c r="H298">
        <f>VLOOKUP(H294,'8. Uncertainty Results'!$B$473:$E$485,4,FALSE)*(cubicm/gal)*(day/yr)</f>
        <v>136.00831324445119</v>
      </c>
      <c r="I298">
        <f t="shared" ref="I298" si="154">H298</f>
        <v>136.00831324445119</v>
      </c>
      <c r="J298">
        <f t="shared" si="142"/>
        <v>136.00831324445119</v>
      </c>
      <c r="K298">
        <f>VLOOKUP(K294,'8. Uncertainty Results'!$B$473:$E$485,4,FALSE)*(cubicm/gal)*(day/yr)</f>
        <v>100.3289937691587</v>
      </c>
      <c r="L298">
        <f t="shared" ref="L298" si="155">K298</f>
        <v>100.3289937691587</v>
      </c>
      <c r="M298">
        <f t="shared" si="144"/>
        <v>100.3289937691587</v>
      </c>
      <c r="N298">
        <f>VLOOKUP(N294,'8. Uncertainty Results'!$B$473:$E$485,4,FALSE)*(cubicm/gal)*(day/yr)</f>
        <v>116.24558571719298</v>
      </c>
      <c r="O298">
        <f t="shared" ref="O298" si="156">N298</f>
        <v>116.24558571719298</v>
      </c>
      <c r="P298">
        <f t="shared" si="146"/>
        <v>116.24558571719298</v>
      </c>
      <c r="Q298">
        <f>VLOOKUP(Q294,'8. Uncertainty Results'!$B$473:$E$485,4,FALSE)*(cubicm/gal)*(day/yr)</f>
        <v>108.67046056949388</v>
      </c>
      <c r="R298">
        <f t="shared" ref="R298" si="157">Q298</f>
        <v>108.67046056949388</v>
      </c>
      <c r="S298">
        <f t="shared" si="148"/>
        <v>108.67046056949388</v>
      </c>
      <c r="T298">
        <f>VLOOKUP(T294,'8. Uncertainty Results'!$B$473:$E$485,4,FALSE)*(cubicm/gal)*(day/yr)</f>
        <v>119.33286533503804</v>
      </c>
      <c r="U298">
        <f t="shared" ref="U298" si="158">T298</f>
        <v>119.33286533503804</v>
      </c>
      <c r="V298">
        <f t="shared" si="150"/>
        <v>119.33286533503804</v>
      </c>
      <c r="W298">
        <f>VLOOKUP(W294,'8. Uncertainty Results'!$B$473:$E$485,4,FALSE)*(cubicm/gal)*(day/yr)</f>
        <v>301.41741579291289</v>
      </c>
      <c r="X298">
        <f t="shared" ref="X298" si="159">W298</f>
        <v>301.41741579291289</v>
      </c>
      <c r="Y298">
        <f t="shared" si="152"/>
        <v>301.41741579291289</v>
      </c>
    </row>
    <row r="299" spans="1:25" x14ac:dyDescent="0.2">
      <c r="A299" s="36" t="s">
        <v>438</v>
      </c>
      <c r="B299">
        <f>VLOOKUP(B294,'8. Uncertainty Results'!$A$115:$CM$126,2+$A$232,FALSE)*((cubicm/gal)*(day/yr))/B277</f>
        <v>11.743752752034695</v>
      </c>
      <c r="C299">
        <f>VLOOKUP(B294,'8. Uncertainty Results'!$A$115:$CM$126,3+$A$232,FALSE)*((cubicm/gal)*(day/yr))/C277</f>
        <v>9.7139277016925742</v>
      </c>
      <c r="D299">
        <f>VLOOKUP(B294,'8. Uncertainty Results'!$A$115:$CM$126,4+$A$232,FALSE)*((cubicm/gal)*(day/yr))/D277</f>
        <v>8.7252842201154603</v>
      </c>
      <c r="E299">
        <f>VLOOKUP(E294,'8. Uncertainty Results'!$A$115:$CM$126,2+$A$232,FALSE)*((cubicm/gal)*(day/yr))</f>
        <v>0</v>
      </c>
      <c r="F299">
        <f>VLOOKUP(E294,'8. Uncertainty Results'!$A$115:$CM$126,3+$A$232,FALSE)*((cubicm/gal)*(day/yr))</f>
        <v>0</v>
      </c>
      <c r="G299">
        <f>VLOOKUP(E294,'8. Uncertainty Results'!$A$115:$CM$126,4+$A$232,FALSE)*((cubicm/gal)*(day/yr))</f>
        <v>0</v>
      </c>
      <c r="H299">
        <f>VLOOKUP(H294,'8. Uncertainty Results'!$A$115:$CM$126,2+$A$232,FALSE)*((cubicm/gal)*(day/yr))</f>
        <v>30.957258574448051</v>
      </c>
      <c r="I299">
        <f>VLOOKUP(H294,'8. Uncertainty Results'!$A$115:$CM$126,3+$A$232,FALSE)*((cubicm/gal)*(day/yr))</f>
        <v>33.979001547016921</v>
      </c>
      <c r="J299">
        <f>VLOOKUP(H294,'8. Uncertainty Results'!$A$115:$CM$126,4+$A$232,FALSE)*((cubicm/gal)*(day/yr))</f>
        <v>37.025917531633382</v>
      </c>
      <c r="K299">
        <f>VLOOKUP(K294,'8. Uncertainty Results'!$A$115:$CM$126,2+$A$232,FALSE)*((cubicm/gal)*(day/yr))</f>
        <v>0.12438131891094312</v>
      </c>
      <c r="L299">
        <f>VLOOKUP(K294,'8. Uncertainty Results'!$A$115:$CM$126,3+$A$232,FALSE)*((cubicm/gal)*(day/yr))</f>
        <v>0.13653900922966111</v>
      </c>
      <c r="M299">
        <f>VLOOKUP(K294,'8. Uncertainty Results'!$A$115:$CM$126,4+$A$232,FALSE)*((cubicm/gal)*(day/yr))</f>
        <v>0.14847786916911968</v>
      </c>
      <c r="N299">
        <f>VLOOKUP(N294,'8. Uncertainty Results'!$A$115:$CM$126,2+$A$232,FALSE)*((cubicm/gal)*(day/yr))</f>
        <v>8.2709156062730077E-2</v>
      </c>
      <c r="O299">
        <f>VLOOKUP(N294,'8. Uncertainty Results'!$A$115:$CM$126,3+$A$232,FALSE)*((cubicm/gal)*(day/yr))</f>
        <v>9.0876826406817768E-2</v>
      </c>
      <c r="P299">
        <f>VLOOKUP(N294,'8. Uncertainty Results'!$A$115:$CM$126,4+$A$232,FALSE)*((cubicm/gal)*(day/yr))</f>
        <v>9.9177855232764484E-2</v>
      </c>
      <c r="Q299">
        <f>VLOOKUP(Q294,'8. Uncertainty Results'!$A$115:$CM$126,2+$A$232,FALSE)*((cubicm/gal)*(day/yr))</f>
        <v>0.12452631610780192</v>
      </c>
      <c r="R299">
        <f>VLOOKUP(Q294,'8. Uncertainty Results'!$A$115:$CM$126,3+$A$232,FALSE)*((cubicm/gal)*(day/yr))</f>
        <v>0.13651125095400327</v>
      </c>
      <c r="S299">
        <f>VLOOKUP(Q294,'8. Uncertainty Results'!$A$115:$CM$126,4+$A$232,FALSE)*((cubicm/gal)*(day/yr))</f>
        <v>0.14869928039001118</v>
      </c>
      <c r="T299">
        <f>VLOOKUP(T294,'8. Uncertainty Results'!$A$115:$CM$126,2+$A$232,FALSE)*((cubicm/gal)*(day/yr))</f>
        <v>20.279671443512864</v>
      </c>
      <c r="U299">
        <f>VLOOKUP(T294,'8. Uncertainty Results'!$A$115:$CM$126,3+$A$232,FALSE)*((cubicm/gal)*(day/yr))</f>
        <v>21.751879202676076</v>
      </c>
      <c r="V299">
        <f>VLOOKUP(T294,'8. Uncertainty Results'!$A$115:$CM$126,4+$A$232,FALSE)*((cubicm/gal)*(day/yr))</f>
        <v>23.218434409190372</v>
      </c>
      <c r="W299">
        <f>VLOOKUP(W294,'8. Uncertainty Results'!$A$115:$CM$126,2+$A$232,FALSE)*((cubicm/gal)*(day/yr))</f>
        <v>30.962797637848492</v>
      </c>
      <c r="X299">
        <f>VLOOKUP(W294,'8. Uncertainty Results'!$A$115:$CM$126,3+$A$232,FALSE)*((cubicm/gal)*(day/yr))</f>
        <v>33.98957963589725</v>
      </c>
      <c r="Y299">
        <f>VLOOKUP(W294,'8. Uncertainty Results'!$A$115:$CM$126,4+$A$232,FALSE)*((cubicm/gal)*(day/yr))</f>
        <v>36.98014801363491</v>
      </c>
    </row>
    <row r="300" spans="1:25" x14ac:dyDescent="0.2">
      <c r="A300" s="36" t="s">
        <v>400</v>
      </c>
      <c r="B300">
        <f>VLOOKUP(B294,'8. Uncertainty Results'!$A$115:$CM$126,17+$A$232,FALSE)*((cubicm/gal)*(day/yr))/B277</f>
        <v>20.402700510470236</v>
      </c>
      <c r="C300">
        <f>VLOOKUP(B294,'8. Uncertainty Results'!$A$115:$CM$126,18+$A$232,FALSE)*((cubicm/gal)*(day/yr))/C277</f>
        <v>16.826318292905125</v>
      </c>
      <c r="D300">
        <f>VLOOKUP(B294,'8. Uncertainty Results'!$A$115:$CM$126,19+$A$232,FALSE)*((cubicm/gal)*(day/yr))/D277</f>
        <v>15.117427905327856</v>
      </c>
      <c r="E300">
        <f>VLOOKUP(E294,'8. Uncertainty Results'!$A$115:$CM$126,17+$A$232,FALSE)*((cubicm/gal)*(day/yr))</f>
        <v>5.0694237540282563</v>
      </c>
      <c r="F300">
        <f>VLOOKUP(E294,'8. Uncertainty Results'!$A$115:$CM$126,18+$A$232,FALSE)*((cubicm/gal)*(day/yr))</f>
        <v>5.3843258476156395</v>
      </c>
      <c r="G300">
        <f>VLOOKUP(E294,'8. Uncertainty Results'!$A$115:$CM$126,19+$A$232,FALSE)*((cubicm/gal)*(day/yr))</f>
        <v>5.6913481590870632</v>
      </c>
      <c r="H300">
        <f>VLOOKUP(H294,'8. Uncertainty Results'!$A$115:$CM$126,17+$A$232,FALSE)*((cubicm/gal)*(day/yr))</f>
        <v>65.576560753566113</v>
      </c>
      <c r="I300">
        <f>VLOOKUP(H294,'8. Uncertainty Results'!$A$115:$CM$126,18+$A$232,FALSE)*((cubicm/gal)*(day/yr))</f>
        <v>73.449162308907319</v>
      </c>
      <c r="J300">
        <f>VLOOKUP(H294,'8. Uncertainty Results'!$A$115:$CM$126,19+$A$232,FALSE)*((cubicm/gal)*(day/yr))</f>
        <v>80.928318056200439</v>
      </c>
      <c r="K300">
        <f>VLOOKUP(K294,'8. Uncertainty Results'!$A$115:$CM$126,17+$A$232,FALSE)*((cubicm/gal)*(day/yr))</f>
        <v>9.4322926068102557</v>
      </c>
      <c r="L300">
        <f>VLOOKUP(K294,'8. Uncertainty Results'!$A$115:$CM$126,18+$A$232,FALSE)*((cubicm/gal)*(day/yr))</f>
        <v>10.735453604953801</v>
      </c>
      <c r="M300">
        <f>VLOOKUP(K294,'8. Uncertainty Results'!$A$115:$CM$126,19+$A$232,FALSE)*((cubicm/gal)*(day/yr))</f>
        <v>11.898799678303885</v>
      </c>
      <c r="N300">
        <f>VLOOKUP(N294,'8. Uncertainty Results'!$A$115:$CM$126,17+$A$232,FALSE)*((cubicm/gal)*(day/yr))</f>
        <v>6.5889460576278776</v>
      </c>
      <c r="O300">
        <f>VLOOKUP(N294,'8. Uncertainty Results'!$A$115:$CM$126,18+$A$232,FALSE)*((cubicm/gal)*(day/yr))</f>
        <v>7.4749859814748802</v>
      </c>
      <c r="P300">
        <f>VLOOKUP(N294,'8. Uncertainty Results'!$A$115:$CM$126,19+$A$232,FALSE)*((cubicm/gal)*(day/yr))</f>
        <v>8.265075228799601</v>
      </c>
      <c r="Q300">
        <f>VLOOKUP(Q294,'8. Uncertainty Results'!$A$115:$CM$126,17+$A$232,FALSE)*((cubicm/gal)*(day/yr))</f>
        <v>9.430576936877797</v>
      </c>
      <c r="R300">
        <f>VLOOKUP(Q294,'8. Uncertainty Results'!$A$115:$CM$126,18+$A$232,FALSE)*((cubicm/gal)*(day/yr))</f>
        <v>10.73325268826043</v>
      </c>
      <c r="S300">
        <f>VLOOKUP(Q294,'8. Uncertainty Results'!$A$115:$CM$126,19+$A$232,FALSE)*((cubicm/gal)*(day/yr))</f>
        <v>11.893790113526645</v>
      </c>
      <c r="T300">
        <f>VLOOKUP(T294,'8. Uncertainty Results'!$A$115:$CM$126,17+$A$232,FALSE)*((cubicm/gal)*(day/yr))</f>
        <v>1.4690116494415415</v>
      </c>
      <c r="U300">
        <f>VLOOKUP(T294,'8. Uncertainty Results'!$A$115:$CM$126,18+$A$232,FALSE)*((cubicm/gal)*(day/yr))</f>
        <v>1.5699647584070469</v>
      </c>
      <c r="V300">
        <f>VLOOKUP(T294,'8. Uncertainty Results'!$A$115:$CM$126,19+$A$232,FALSE)*((cubicm/gal)*(day/yr))</f>
        <v>1.6624784239084682</v>
      </c>
      <c r="W300">
        <f>VLOOKUP(W294,'8. Uncertainty Results'!$A$115:$CM$126,17+$A$232,FALSE)*((cubicm/gal)*(day/yr))</f>
        <v>65.614080193061511</v>
      </c>
      <c r="X300">
        <f>VLOOKUP(W294,'8. Uncertainty Results'!$A$115:$CM$126,18+$A$232,FALSE)*((cubicm/gal)*(day/yr))</f>
        <v>73.403616181156735</v>
      </c>
      <c r="Y300">
        <f>VLOOKUP(W294,'8. Uncertainty Results'!$A$115:$CM$126,19+$A$232,FALSE)*((cubicm/gal)*(day/yr))</f>
        <v>81.022095972486795</v>
      </c>
    </row>
    <row r="301" spans="1:25" x14ac:dyDescent="0.2">
      <c r="A301" s="36" t="s">
        <v>401</v>
      </c>
      <c r="B301">
        <f>VLOOKUP(B294,'8. Uncertainty Results'!$A$115:$CM$126,32+$A$232,FALSE)*((cubicm/gal)*(day/yr))/B277</f>
        <v>0</v>
      </c>
      <c r="C301">
        <f>VLOOKUP(B294,'8. Uncertainty Results'!$A$115:$CM$126,33+$A$232,FALSE)*((cubicm/gal)*(day/yr))/C277</f>
        <v>0</v>
      </c>
      <c r="D301">
        <f>VLOOKUP(B294,'8. Uncertainty Results'!$A$115:$CM$126,34+$A$232,FALSE)*((cubicm/gal)*(day/yr))/D277</f>
        <v>0</v>
      </c>
      <c r="E301">
        <f>VLOOKUP(E294,'8. Uncertainty Results'!$A$115:$CM$126,32+$A$232,FALSE)*((cubicm/gal)*(day/yr))</f>
        <v>0</v>
      </c>
      <c r="F301">
        <f>VLOOKUP(E294,'8. Uncertainty Results'!$A$115:$CM$126,33+$A$232,FALSE)*((cubicm/gal)*(day/yr))</f>
        <v>0</v>
      </c>
      <c r="G301">
        <f>VLOOKUP(E294,'8. Uncertainty Results'!$A$115:$CM$126,34+$A$232,FALSE)*((cubicm/gal)*(day/yr))</f>
        <v>0</v>
      </c>
      <c r="H301">
        <f>VLOOKUP(H294,'8. Uncertainty Results'!$A$115:$CM$126,32+$A$232,FALSE)*((cubicm/gal)*(day/yr))</f>
        <v>0</v>
      </c>
      <c r="I301">
        <f>VLOOKUP(H294,'8. Uncertainty Results'!$A$115:$CM$126,33+$A$232,FALSE)*((cubicm/gal)*(day/yr))</f>
        <v>0</v>
      </c>
      <c r="J301">
        <f>VLOOKUP(H294,'8. Uncertainty Results'!$A$115:$CM$126,34+$A$232,FALSE)*((cubicm/gal)*(day/yr))</f>
        <v>0</v>
      </c>
      <c r="K301">
        <f>VLOOKUP(K294,'8. Uncertainty Results'!$A$115:$CM$126,32+$A$232,FALSE)*((cubicm/gal)*(day/yr))</f>
        <v>0</v>
      </c>
      <c r="L301">
        <f>VLOOKUP(K294,'8. Uncertainty Results'!$A$115:$CM$126,33+$A$232,FALSE)*((cubicm/gal)*(day/yr))</f>
        <v>0</v>
      </c>
      <c r="M301">
        <f>VLOOKUP(K294,'8. Uncertainty Results'!$A$115:$CM$126,34+$A$232,FALSE)*((cubicm/gal)*(day/yr))</f>
        <v>0</v>
      </c>
      <c r="N301">
        <f>VLOOKUP(N294,'8. Uncertainty Results'!$A$115:$CM$126,32+$A$232,FALSE)*((cubicm/gal)*(day/yr))</f>
        <v>0</v>
      </c>
      <c r="O301">
        <f>VLOOKUP(N294,'8. Uncertainty Results'!$A$115:$CM$126,33+$A$232,FALSE)*((cubicm/gal)*(day/yr))</f>
        <v>0</v>
      </c>
      <c r="P301">
        <f>VLOOKUP(N294,'8. Uncertainty Results'!$A$115:$CM$126,34+$A$232,FALSE)*((cubicm/gal)*(day/yr))</f>
        <v>0</v>
      </c>
      <c r="Q301">
        <f>VLOOKUP(Q294,'8. Uncertainty Results'!$A$115:$CM$126,32+$A$232,FALSE)*((cubicm/gal)*(day/yr))</f>
        <v>0</v>
      </c>
      <c r="R301">
        <f>VLOOKUP(Q294,'8. Uncertainty Results'!$A$115:$CM$126,33+$A$232,FALSE)*((cubicm/gal)*(day/yr))</f>
        <v>0</v>
      </c>
      <c r="S301">
        <f>VLOOKUP(Q294,'8. Uncertainty Results'!$A$115:$CM$126,34+$A$232,FALSE)*((cubicm/gal)*(day/yr))</f>
        <v>0</v>
      </c>
      <c r="T301">
        <f>VLOOKUP(T294,'8. Uncertainty Results'!$A$115:$CM$126,32+$A$232,FALSE)*((cubicm/gal)*(day/yr))</f>
        <v>0</v>
      </c>
      <c r="U301">
        <f>VLOOKUP(T294,'8. Uncertainty Results'!$A$115:$CM$126,33+$A$232,FALSE)*((cubicm/gal)*(day/yr))</f>
        <v>0</v>
      </c>
      <c r="V301">
        <f>VLOOKUP(T294,'8. Uncertainty Results'!$A$115:$CM$126,34+$A$232,FALSE)*((cubicm/gal)*(day/yr))</f>
        <v>0</v>
      </c>
      <c r="W301">
        <f>VLOOKUP(W294,'8. Uncertainty Results'!$A$115:$CM$126,32+$A$232,FALSE)*((cubicm/gal)*(day/yr))</f>
        <v>0</v>
      </c>
      <c r="X301">
        <f>VLOOKUP(W294,'8. Uncertainty Results'!$A$115:$CM$126,33+$A$232,FALSE)*((cubicm/gal)*(day/yr))</f>
        <v>0</v>
      </c>
      <c r="Y301">
        <f>VLOOKUP(W294,'8. Uncertainty Results'!$A$115:$CM$126,34+$A$232,FALSE)*((cubicm/gal)*(day/yr))</f>
        <v>0</v>
      </c>
    </row>
    <row r="302" spans="1:25" x14ac:dyDescent="0.2">
      <c r="A302" s="36" t="s">
        <v>402</v>
      </c>
      <c r="B302">
        <f>VLOOKUP(B294,'8. Uncertainty Results'!$A$115:$CM$126,47+$A$232,FALSE)*((cubicm/gal)*(day/yr))/B277</f>
        <v>1226.0395401480664</v>
      </c>
      <c r="C302">
        <f>VLOOKUP(B294,'8. Uncertainty Results'!$A$115:$CM$126,48+$A$232,FALSE)*((cubicm/gal)*(day/yr))/C277</f>
        <v>1443.1630189387247</v>
      </c>
      <c r="D302">
        <f>VLOOKUP(B294,'8. Uncertainty Results'!$A$115:$CM$126,49+$A$232,FALSE)*((cubicm/gal)*(day/yr))/D277</f>
        <v>1688.1815632368512</v>
      </c>
      <c r="E302">
        <f>VLOOKUP(E294,'8. Uncertainty Results'!$A$115:$CM$126,47+$A$232,FALSE)*((cubicm/gal)*(day/yr))</f>
        <v>535.67884229431388</v>
      </c>
      <c r="F302">
        <f>VLOOKUP(E294,'8. Uncertainty Results'!$A$115:$CM$126,48+$A$232,FALSE)*((cubicm/gal)*(day/yr))</f>
        <v>715.69369449543626</v>
      </c>
      <c r="G302">
        <f>VLOOKUP(E294,'8. Uncertainty Results'!$A$115:$CM$126,49+$A$232,FALSE)*((cubicm/gal)*(day/yr))</f>
        <v>926.74797134279743</v>
      </c>
      <c r="H302">
        <f>VLOOKUP(H294,'8. Uncertainty Results'!$A$115:$CM$126,47+$A$232,FALSE)*((cubicm/gal)*(day/yr))</f>
        <v>53.933987376472849</v>
      </c>
      <c r="I302">
        <f>VLOOKUP(H294,'8. Uncertainty Results'!$A$115:$CM$126,48+$A$232,FALSE)*((cubicm/gal)*(day/yr))</f>
        <v>79.909667701664048</v>
      </c>
      <c r="J302">
        <f>VLOOKUP(H294,'8. Uncertainty Results'!$A$115:$CM$126,49+$A$232,FALSE)*((cubicm/gal)*(day/yr))</f>
        <v>108.94078493126817</v>
      </c>
      <c r="K302">
        <f>VLOOKUP(K294,'8. Uncertainty Results'!$A$115:$CM$126,47+$A$232,FALSE)*((cubicm/gal)*(day/yr))</f>
        <v>64.062592910054676</v>
      </c>
      <c r="L302">
        <f>VLOOKUP(K294,'8. Uncertainty Results'!$A$115:$CM$126,48+$A$232,FALSE)*((cubicm/gal)*(day/yr))</f>
        <v>88.417250345467849</v>
      </c>
      <c r="M302">
        <f>VLOOKUP(K294,'8. Uncertainty Results'!$A$115:$CM$126,49+$A$232,FALSE)*((cubicm/gal)*(day/yr))</f>
        <v>115.98718751161722</v>
      </c>
      <c r="N302">
        <f>VLOOKUP(N294,'8. Uncertainty Results'!$A$115:$CM$126,47+$A$232,FALSE)*((cubicm/gal)*(day/yr))</f>
        <v>46.88305582643806</v>
      </c>
      <c r="O302">
        <f>VLOOKUP(N294,'8. Uncertainty Results'!$A$115:$CM$126,48+$A$232,FALSE)*((cubicm/gal)*(day/yr))</f>
        <v>64.22940179525564</v>
      </c>
      <c r="P302">
        <f>VLOOKUP(N294,'8. Uncertainty Results'!$A$115:$CM$126,49+$A$232,FALSE)*((cubicm/gal)*(day/yr))</f>
        <v>83.318878033707833</v>
      </c>
      <c r="Q302">
        <f>VLOOKUP(Q294,'8. Uncertainty Results'!$A$115:$CM$126,47+$A$232,FALSE)*((cubicm/gal)*(day/yr))</f>
        <v>64.107253917616532</v>
      </c>
      <c r="R302">
        <f>VLOOKUP(Q294,'8. Uncertainty Results'!$A$115:$CM$126,48+$A$232,FALSE)*((cubicm/gal)*(day/yr))</f>
        <v>88.122299239135387</v>
      </c>
      <c r="S302">
        <f>VLOOKUP(Q294,'8. Uncertainty Results'!$A$115:$CM$126,49+$A$232,FALSE)*((cubicm/gal)*(day/yr))</f>
        <v>115.98964155765717</v>
      </c>
      <c r="T302">
        <f>VLOOKUP(T294,'8. Uncertainty Results'!$A$115:$CM$126,47+$A$232,FALSE)*((cubicm/gal)*(day/yr))</f>
        <v>39.65520845034208</v>
      </c>
      <c r="U302">
        <f>VLOOKUP(T294,'8. Uncertainty Results'!$A$115:$CM$126,48+$A$232,FALSE)*((cubicm/gal)*(day/yr))</f>
        <v>54.380562224960876</v>
      </c>
      <c r="V302">
        <f>VLOOKUP(T294,'8. Uncertainty Results'!$A$115:$CM$126,49+$A$232,FALSE)*((cubicm/gal)*(day/yr))</f>
        <v>69.97490364759453</v>
      </c>
      <c r="W302">
        <f>VLOOKUP(W294,'8. Uncertainty Results'!$A$115:$CM$126,47+$A$232,FALSE)*((cubicm/gal)*(day/yr))</f>
        <v>54.709270552541845</v>
      </c>
      <c r="X302">
        <f>VLOOKUP(W294,'8. Uncertainty Results'!$A$115:$CM$126,48+$A$232,FALSE)*((cubicm/gal)*(day/yr))</f>
        <v>80.135095703619797</v>
      </c>
      <c r="Y302">
        <f>VLOOKUP(W294,'8. Uncertainty Results'!$A$115:$CM$126,49+$A$232,FALSE)*((cubicm/gal)*(day/yr))</f>
        <v>109.56620025007808</v>
      </c>
    </row>
    <row r="303" spans="1:25" x14ac:dyDescent="0.2">
      <c r="A303" s="36" t="s">
        <v>403</v>
      </c>
      <c r="B303">
        <f>VLOOKUP(B294,'8. Uncertainty Results'!$A$115:$CM$126,62+$A$232,FALSE)*((cubicm/gal)*(day/yr))/B277</f>
        <v>3.2047719237043424</v>
      </c>
      <c r="C303">
        <f>VLOOKUP(B294,'8. Uncertainty Results'!$A$115:$CM$126,63+$A$232,FALSE)*((cubicm/gal)*(day/yr))/C277</f>
        <v>2.5444294945545067</v>
      </c>
      <c r="D303">
        <f>VLOOKUP(B294,'8. Uncertainty Results'!$A$115:$CM$126,64+$A$232,FALSE)*((cubicm/gal)*(day/yr))/D277</f>
        <v>2.208526033099981</v>
      </c>
      <c r="E303">
        <f>VLOOKUP(E294,'8. Uncertainty Results'!$A$115:$CM$126,62+$A$232,FALSE)*((cubicm/gal)*(day/yr))</f>
        <v>1.2211779827528715</v>
      </c>
      <c r="F303">
        <f>VLOOKUP(E294,'8. Uncertainty Results'!$A$115:$CM$126,63+$A$232,FALSE)*((cubicm/gal)*(day/yr))</f>
        <v>1.272916215116594</v>
      </c>
      <c r="G303">
        <f>VLOOKUP(E294,'8. Uncertainty Results'!$A$115:$CM$126,64+$A$232,FALSE)*((cubicm/gal)*(day/yr))</f>
        <v>1.3292527681266058</v>
      </c>
      <c r="H303">
        <f>VLOOKUP(H294,'8. Uncertainty Results'!$A$115:$CM$126,62+$A$232,FALSE)*((cubicm/gal)*(day/yr))</f>
        <v>0.57261865538957191</v>
      </c>
      <c r="I303">
        <f>VLOOKUP(H294,'8. Uncertainty Results'!$A$115:$CM$126,63+$A$232,FALSE)*((cubicm/gal)*(day/yr))</f>
        <v>0.60338772108465588</v>
      </c>
      <c r="J303">
        <f>VLOOKUP(H294,'8. Uncertainty Results'!$A$115:$CM$126,64+$A$232,FALSE)*((cubicm/gal)*(day/yr))</f>
        <v>0.63559895145138312</v>
      </c>
      <c r="K303">
        <f>VLOOKUP(K294,'8. Uncertainty Results'!$A$115:$CM$126,62+$A$232,FALSE)*((cubicm/gal)*(day/yr))</f>
        <v>0.31846934201777255</v>
      </c>
      <c r="L303">
        <f>VLOOKUP(K294,'8. Uncertainty Results'!$A$115:$CM$126,63+$A$232,FALSE)*((cubicm/gal)*(day/yr))</f>
        <v>0.33519829811867974</v>
      </c>
      <c r="M303">
        <f>VLOOKUP(K294,'8. Uncertainty Results'!$A$115:$CM$126,64+$A$232,FALSE)*((cubicm/gal)*(day/yr))</f>
        <v>0.35313400440001408</v>
      </c>
      <c r="N303">
        <f>VLOOKUP(N294,'8. Uncertainty Results'!$A$115:$CM$126,62+$A$232,FALSE)*((cubicm/gal)*(day/yr))</f>
        <v>0.22437069906117166</v>
      </c>
      <c r="O303">
        <f>VLOOKUP(N294,'8. Uncertainty Results'!$A$115:$CM$126,63+$A$232,FALSE)*((cubicm/gal)*(day/yr))</f>
        <v>0.23627943848115246</v>
      </c>
      <c r="P303">
        <f>VLOOKUP(N294,'8. Uncertainty Results'!$A$115:$CM$126,64+$A$232,FALSE)*((cubicm/gal)*(day/yr))</f>
        <v>0.24913124860809163</v>
      </c>
      <c r="Q303">
        <f>VLOOKUP(Q294,'8. Uncertainty Results'!$A$115:$CM$126,62+$A$232,FALSE)*((cubicm/gal)*(day/yr))</f>
        <v>0.31838442568389391</v>
      </c>
      <c r="R303">
        <f>VLOOKUP(Q294,'8. Uncertainty Results'!$A$115:$CM$126,63+$A$232,FALSE)*((cubicm/gal)*(day/yr))</f>
        <v>0.33559976959713494</v>
      </c>
      <c r="S303">
        <f>VLOOKUP(Q294,'8. Uncertainty Results'!$A$115:$CM$126,64+$A$232,FALSE)*((cubicm/gal)*(day/yr))</f>
        <v>0.35365164692837908</v>
      </c>
      <c r="T303">
        <f>VLOOKUP(T294,'8. Uncertainty Results'!$A$115:$CM$126,62+$A$232,FALSE)*((cubicm/gal)*(day/yr))</f>
        <v>0.11515987591511251</v>
      </c>
      <c r="U303">
        <f>VLOOKUP(T294,'8. Uncertainty Results'!$A$115:$CM$126,63+$A$232,FALSE)*((cubicm/gal)*(day/yr))</f>
        <v>0.1191109289314511</v>
      </c>
      <c r="V303">
        <f>VLOOKUP(T294,'8. Uncertainty Results'!$A$115:$CM$126,64+$A$232,FALSE)*((cubicm/gal)*(day/yr))</f>
        <v>0.12345462201935303</v>
      </c>
      <c r="W303">
        <f>VLOOKUP(W294,'8. Uncertainty Results'!$A$115:$CM$126,62+$A$232,FALSE)*((cubicm/gal)*(day/yr))</f>
        <v>0.57294812873572065</v>
      </c>
      <c r="X303">
        <f>VLOOKUP(W294,'8. Uncertainty Results'!$A$115:$CM$126,63+$A$232,FALSE)*((cubicm/gal)*(day/yr))</f>
        <v>0.60393537901293892</v>
      </c>
      <c r="Y303">
        <f>VLOOKUP(W294,'8. Uncertainty Results'!$A$115:$CM$126,64+$A$232,FALSE)*((cubicm/gal)*(day/yr))</f>
        <v>0.63668142641635073</v>
      </c>
    </row>
    <row r="304" spans="1:25" x14ac:dyDescent="0.2">
      <c r="A304" s="36" t="s">
        <v>439</v>
      </c>
      <c r="B304">
        <f>VLOOKUP(B294,'8. Uncertainty Results'!$A$115:$CM$126,77+$A$232,FALSE)*((cubicm/gal)*(day/yr))/B277</f>
        <v>0</v>
      </c>
      <c r="C304">
        <f>VLOOKUP(B294,'8. Uncertainty Results'!$A$115:$CM$126,78+$A$232,FALSE)*((cubicm/gal)*(day/yr))/C277</f>
        <v>0</v>
      </c>
      <c r="D304">
        <f>VLOOKUP(B294,'8. Uncertainty Results'!$A$115:$CM$126,79+$A$232,FALSE)*((cubicm/gal)*(day/yr))/D277</f>
        <v>0</v>
      </c>
      <c r="E304">
        <f>VLOOKUP(E294,'8. Uncertainty Results'!$A$115:$CM$126,77+$A$232,FALSE)*((cubicm/gal)*(day/yr))</f>
        <v>1.354615760436261</v>
      </c>
      <c r="F304">
        <f>VLOOKUP(E294,'8. Uncertainty Results'!$A$115:$CM$126,78+$A$232,FALSE)*((cubicm/gal)*(day/yr))</f>
        <v>1.5883038648255705</v>
      </c>
      <c r="G304">
        <f>VLOOKUP(E294,'8. Uncertainty Results'!$A$115:$CM$126,79+$A$232,FALSE)*((cubicm/gal)*(day/yr))</f>
        <v>1.858932910419298</v>
      </c>
      <c r="H304">
        <f>VLOOKUP(H294,'8. Uncertainty Results'!$A$115:$CM$126,77+$A$232,FALSE)*((cubicm/gal)*(day/yr))</f>
        <v>2.6796803025599476</v>
      </c>
      <c r="I304">
        <f>VLOOKUP(H294,'8. Uncertainty Results'!$A$115:$CM$126,78+$A$232,FALSE)*((cubicm/gal)*(day/yr))</f>
        <v>3.221884259443303</v>
      </c>
      <c r="J304">
        <f>VLOOKUP(H294,'8. Uncertainty Results'!$A$115:$CM$126,79+$A$232,FALSE)*((cubicm/gal)*(day/yr))</f>
        <v>3.8421838889054944</v>
      </c>
      <c r="K304">
        <f>VLOOKUP(K294,'8. Uncertainty Results'!$A$115:$CM$126,77+$A$232,FALSE)*((cubicm/gal)*(day/yr))</f>
        <v>0</v>
      </c>
      <c r="L304">
        <f>VLOOKUP(K294,'8. Uncertainty Results'!$A$115:$CM$126,78+$A$232,FALSE)*((cubicm/gal)*(day/yr))</f>
        <v>0</v>
      </c>
      <c r="M304">
        <f>VLOOKUP(K294,'8. Uncertainty Results'!$A$115:$CM$126,79+$A$232,FALSE)*((cubicm/gal)*(day/yr))</f>
        <v>0</v>
      </c>
      <c r="N304">
        <f>VLOOKUP(N294,'8. Uncertainty Results'!$A$115:$CM$126,77+$A$232,FALSE)*((cubicm/gal)*(day/yr))</f>
        <v>0</v>
      </c>
      <c r="O304">
        <f>VLOOKUP(N294,'8. Uncertainty Results'!$A$115:$CM$126,78+$A$232,FALSE)*((cubicm/gal)*(day/yr))</f>
        <v>0</v>
      </c>
      <c r="P304">
        <f>VLOOKUP(N294,'8. Uncertainty Results'!$A$115:$CM$126,79+$A$232,FALSE)*((cubicm/gal)*(day/yr))</f>
        <v>0</v>
      </c>
      <c r="Q304">
        <f>VLOOKUP(Q294,'8. Uncertainty Results'!$A$115:$CM$126,77+$A$232,FALSE)*((cubicm/gal)*(day/yr))</f>
        <v>0</v>
      </c>
      <c r="R304">
        <f>VLOOKUP(Q294,'8. Uncertainty Results'!$A$115:$CM$126,78+$A$232,FALSE)*((cubicm/gal)*(day/yr))</f>
        <v>0</v>
      </c>
      <c r="S304">
        <f>VLOOKUP(Q294,'8. Uncertainty Results'!$A$115:$CM$126,79+$A$232,FALSE)*((cubicm/gal)*(day/yr))</f>
        <v>0</v>
      </c>
      <c r="T304">
        <f>VLOOKUP(T294,'8. Uncertainty Results'!$A$115:$CM$126,77+$A$232,FALSE)*((cubicm/gal)*(day/yr))</f>
        <v>0</v>
      </c>
      <c r="U304">
        <f>VLOOKUP(T294,'8. Uncertainty Results'!$A$115:$CM$126,78+$A$232,FALSE)*((cubicm/gal)*(day/yr))</f>
        <v>0</v>
      </c>
      <c r="V304">
        <f>VLOOKUP(T294,'8. Uncertainty Results'!$A$115:$CM$126,79+$A$232,FALSE)*((cubicm/gal)*(day/yr))</f>
        <v>0</v>
      </c>
      <c r="W304">
        <f>VLOOKUP(W294,'8. Uncertainty Results'!$A$115:$CM$126,77+$A$232,FALSE)*((cubicm/gal)*(day/yr))</f>
        <v>2.6912084179629003</v>
      </c>
      <c r="X304">
        <f>VLOOKUP(W294,'8. Uncertainty Results'!$A$115:$CM$126,78+$A$232,FALSE)*((cubicm/gal)*(day/yr))</f>
        <v>3.2130303228444794</v>
      </c>
      <c r="Y304">
        <f>VLOOKUP(W294,'8. Uncertainty Results'!$A$115:$CM$126,79+$A$232,FALSE)*((cubicm/gal)*(day/yr))</f>
        <v>3.8505405378368827</v>
      </c>
    </row>
    <row r="305" spans="1:25" x14ac:dyDescent="0.2">
      <c r="A305" s="36" t="s">
        <v>492</v>
      </c>
      <c r="B305">
        <f>VLOOKUP(B294,'8. Uncertainty Results'!$A$203:$D$215,2,FALSE)/1000000/B277</f>
        <v>12.490078095067648</v>
      </c>
      <c r="C305">
        <f>VLOOKUP(B294,'8. Uncertainty Results'!$A$203:$D$215,3,FALSE)/1000000/C277</f>
        <v>10.51757602462987</v>
      </c>
      <c r="D305">
        <f>VLOOKUP(B294,'8. Uncertainty Results'!$A$203:$D$215,4,FALSE)/1000000/D277</f>
        <v>9.5822314802030775</v>
      </c>
      <c r="E305">
        <f>VLOOKUP(E294,'8. Uncertainty Results'!$A$203:$D$215,2,FALSE)/1000000</f>
        <v>30.329777237026992</v>
      </c>
      <c r="F305">
        <f>VLOOKUP(E294,'8. Uncertainty Results'!$A$203:$D$215,3,FALSE)/1000000</f>
        <v>34.810209497471384</v>
      </c>
      <c r="G305">
        <f>VLOOKUP(E294,'8. Uncertainty Results'!$A$203:$D$215,4,FALSE)/1000000</f>
        <v>39.804593895523155</v>
      </c>
      <c r="H305">
        <f>VLOOKUP(H294,'8. Uncertainty Results'!$A$203:$D$215,2,FALSE)/1000000</f>
        <v>0.36684257135850085</v>
      </c>
      <c r="I305">
        <f>VLOOKUP(H294,'8. Uncertainty Results'!$A$203:$D$215,3,FALSE)/1000000</f>
        <v>1.9272387365708405</v>
      </c>
      <c r="J305">
        <f>VLOOKUP(H294,'8. Uncertainty Results'!$A$203:$D$215,4,FALSE)/1000000</f>
        <v>9.7366119085476832</v>
      </c>
      <c r="K305">
        <f>VLOOKUP(K294,'8. Uncertainty Results'!$A$203:$D$215,2,FALSE)/1000000</f>
        <v>28.572915147869598</v>
      </c>
      <c r="L305">
        <f>VLOOKUP(K294,'8. Uncertainty Results'!$A$203:$D$215,3,FALSE)/1000000</f>
        <v>36.784589510791825</v>
      </c>
      <c r="M305">
        <f>VLOOKUP(K294,'8. Uncertainty Results'!$A$203:$D$215,4,FALSE)/1000000</f>
        <v>63.986855731934547</v>
      </c>
      <c r="N305">
        <f>VLOOKUP(N294,'8. Uncertainty Results'!$A$203:$D$215,2,FALSE)/1000000</f>
        <v>12.60217290105447</v>
      </c>
      <c r="O305">
        <f>VLOOKUP(N294,'8. Uncertainty Results'!$A$203:$D$215,3,FALSE)/1000000</f>
        <v>19.226978004610444</v>
      </c>
      <c r="P305">
        <f>VLOOKUP(N294,'8. Uncertainty Results'!$A$203:$D$215,4,FALSE)/1000000</f>
        <v>49.036167912910365</v>
      </c>
      <c r="Q305">
        <f>VLOOKUP(Q294,'8. Uncertainty Results'!$A$203:$D$215,2,FALSE)/1000000</f>
        <v>4.9234855062215894</v>
      </c>
      <c r="R305">
        <f>VLOOKUP(Q294,'8. Uncertainty Results'!$A$203:$D$215,3,FALSE)/1000000</f>
        <v>5.37106142092306</v>
      </c>
      <c r="S305">
        <f>VLOOKUP(Q294,'8. Uncertainty Results'!$A$203:$D$215,4,FALSE)/1000000</f>
        <v>5.8389653933930203</v>
      </c>
      <c r="T305">
        <f>VLOOKUP(T294,'8. Uncertainty Results'!$A$203:$D$215,2,FALSE)/1000000</f>
        <v>3.9079818470785299</v>
      </c>
      <c r="U305">
        <f>VLOOKUP(T294,'8. Uncertainty Results'!$A$203:$D$215,3,FALSE)/1000000</f>
        <v>4.2843021047777894</v>
      </c>
      <c r="V305">
        <f>VLOOKUP(T294,'8. Uncertainty Results'!$A$203:$D$215,4,FALSE)/1000000</f>
        <v>4.6474321803099699</v>
      </c>
      <c r="W305">
        <f>VLOOKUP(W294,'8. Uncertainty Results'!$A$203:$D$215,2,FALSE)/1000000</f>
        <v>0.23425673678805656</v>
      </c>
      <c r="X305">
        <f>VLOOKUP(W294,'8. Uncertainty Results'!$A$203:$D$215,3,FALSE)/1000000</f>
        <v>1.1548930353673985</v>
      </c>
      <c r="Y305">
        <f>VLOOKUP(W294,'8. Uncertainty Results'!$A$203:$D$215,4,FALSE)/1000000</f>
        <v>5.5129749020288967</v>
      </c>
    </row>
    <row r="310" spans="1:25" x14ac:dyDescent="0.2">
      <c r="A310" s="32" t="s">
        <v>571</v>
      </c>
    </row>
    <row r="311" spans="1:25" x14ac:dyDescent="0.2">
      <c r="A311">
        <v>12</v>
      </c>
    </row>
    <row r="312" spans="1:25" x14ac:dyDescent="0.2">
      <c r="A312" t="s">
        <v>490</v>
      </c>
    </row>
    <row r="313" spans="1:25" x14ac:dyDescent="0.2">
      <c r="B313" s="474">
        <f>VLOOKUP(B314,'1. Introduction &amp; Notes'!$C$17:$D$28,2,FALSE)</f>
        <v>18100204</v>
      </c>
      <c r="C313" s="474"/>
      <c r="D313" s="474"/>
      <c r="E313" s="474">
        <f>VLOOKUP(E314,'1. Introduction &amp; Notes'!$C$17:$D$28,2,FALSE)</f>
        <v>16040201</v>
      </c>
      <c r="F313" s="474"/>
      <c r="G313" s="474"/>
      <c r="H313" s="474">
        <f>VLOOKUP(H314,'1. Introduction &amp; Notes'!$C$17:$D$28,2,FALSE)</f>
        <v>15030202</v>
      </c>
      <c r="I313" s="474"/>
      <c r="J313" s="474"/>
      <c r="K313" s="474">
        <f>VLOOKUP(K314,'1. Introduction &amp; Notes'!$C$17:$D$28,2,FALSE)</f>
        <v>16060011</v>
      </c>
      <c r="L313" s="474"/>
      <c r="M313" s="474"/>
      <c r="N313" s="474">
        <f>VLOOKUP(N314,'1. Introduction &amp; Notes'!$C$17:$D$28,2,FALSE)</f>
        <v>16060003</v>
      </c>
      <c r="O313" s="474"/>
      <c r="P313" s="474"/>
      <c r="Q313" s="474">
        <f>VLOOKUP(Q314,'1. Introduction &amp; Notes'!$C$17:$D$28,2,FALSE)</f>
        <v>16060013</v>
      </c>
      <c r="R313" s="474"/>
      <c r="S313" s="474"/>
      <c r="T313" s="474">
        <f>VLOOKUP(T314,'1. Introduction &amp; Notes'!$C$17:$D$28,2,FALSE)</f>
        <v>16060010</v>
      </c>
      <c r="U313" s="474"/>
      <c r="V313" s="474"/>
      <c r="W313" s="474">
        <f>VLOOKUP(W314,'1. Introduction &amp; Notes'!$C$17:$D$28,2,FALSE)</f>
        <v>15030201</v>
      </c>
      <c r="X313" s="474"/>
      <c r="Y313" s="474"/>
    </row>
    <row r="314" spans="1:25" x14ac:dyDescent="0.2">
      <c r="B314" s="474" t="s">
        <v>539</v>
      </c>
      <c r="C314" s="474"/>
      <c r="D314" s="474"/>
      <c r="E314" s="474" t="s">
        <v>417</v>
      </c>
      <c r="F314" s="474"/>
      <c r="G314" s="474"/>
      <c r="H314" s="481" t="s">
        <v>418</v>
      </c>
      <c r="I314" s="481"/>
      <c r="J314" s="481"/>
      <c r="K314" s="481" t="s">
        <v>419</v>
      </c>
      <c r="L314" s="481"/>
      <c r="M314" s="481"/>
      <c r="N314" s="481" t="s">
        <v>420</v>
      </c>
      <c r="O314" s="481"/>
      <c r="P314" s="481"/>
      <c r="Q314" s="481" t="s">
        <v>421</v>
      </c>
      <c r="R314" s="481"/>
      <c r="S314" s="481"/>
      <c r="T314" s="481" t="s">
        <v>422</v>
      </c>
      <c r="U314" s="481"/>
      <c r="V314" s="481"/>
      <c r="W314" s="481" t="s">
        <v>423</v>
      </c>
      <c r="X314" s="481"/>
      <c r="Y314" s="481"/>
    </row>
    <row r="315" spans="1:25" x14ac:dyDescent="0.2">
      <c r="B315" t="s">
        <v>440</v>
      </c>
      <c r="C315" t="s">
        <v>441</v>
      </c>
      <c r="D315" t="s">
        <v>442</v>
      </c>
      <c r="E315" t="s">
        <v>440</v>
      </c>
      <c r="F315" t="s">
        <v>441</v>
      </c>
      <c r="G315" t="s">
        <v>442</v>
      </c>
      <c r="H315" t="s">
        <v>440</v>
      </c>
      <c r="I315" t="s">
        <v>441</v>
      </c>
      <c r="J315" t="s">
        <v>442</v>
      </c>
      <c r="K315" t="s">
        <v>440</v>
      </c>
      <c r="L315" t="s">
        <v>441</v>
      </c>
      <c r="M315" t="s">
        <v>442</v>
      </c>
      <c r="N315" t="s">
        <v>440</v>
      </c>
      <c r="O315" t="s">
        <v>441</v>
      </c>
      <c r="P315" t="s">
        <v>442</v>
      </c>
      <c r="Q315" t="s">
        <v>440</v>
      </c>
      <c r="R315" t="s">
        <v>441</v>
      </c>
      <c r="S315" t="s">
        <v>442</v>
      </c>
      <c r="T315" t="s">
        <v>440</v>
      </c>
      <c r="U315" t="s">
        <v>441</v>
      </c>
      <c r="V315" t="s">
        <v>442</v>
      </c>
      <c r="W315" t="s">
        <v>440</v>
      </c>
      <c r="X315" t="s">
        <v>441</v>
      </c>
      <c r="Y315" t="s">
        <v>442</v>
      </c>
    </row>
    <row r="316" spans="1:25" x14ac:dyDescent="0.2">
      <c r="A316" t="s">
        <v>436</v>
      </c>
      <c r="B316">
        <f>VLOOKUP(B313,'8. Uncertainty Results'!$B$275:$E$287,2,FALSE)*(cubicm/gal)*(day/yr)</f>
        <v>619.58023818300524</v>
      </c>
      <c r="C316">
        <f>B316</f>
        <v>619.58023818300524</v>
      </c>
      <c r="D316">
        <f>B316</f>
        <v>619.58023818300524</v>
      </c>
      <c r="E316">
        <f>VLOOKUP(E313,'8. Uncertainty Results'!$B$275:$E$287,2,FALSE)*(cubicm/gal)*(day/yr)</f>
        <v>101.98854758075608</v>
      </c>
      <c r="F316">
        <f>E316</f>
        <v>101.98854758075608</v>
      </c>
      <c r="G316">
        <f>E316</f>
        <v>101.98854758075608</v>
      </c>
      <c r="H316">
        <f>VLOOKUP(H313,'8. Uncertainty Results'!$B$275:$E$287,2,FALSE)*(cubicm/gal)*(day/yr)</f>
        <v>40.540085185219979</v>
      </c>
      <c r="I316">
        <f>H316</f>
        <v>40.540085185219979</v>
      </c>
      <c r="J316">
        <f>H316</f>
        <v>40.540085185219979</v>
      </c>
      <c r="K316">
        <f>VLOOKUP(K313,'8. Uncertainty Results'!$B$275:$E$287,2,FALSE)*(cubicm/gal)*(day/yr)</f>
        <v>51.453974440107068</v>
      </c>
      <c r="L316">
        <f>K316</f>
        <v>51.453974440107068</v>
      </c>
      <c r="M316">
        <f>K316</f>
        <v>51.453974440107068</v>
      </c>
      <c r="N316">
        <f>VLOOKUP(N313,'8. Uncertainty Results'!$B$275:$E$287,2,FALSE)*(cubicm/gal)*(day/yr)</f>
        <v>36.47547607591973</v>
      </c>
      <c r="O316">
        <f>N316</f>
        <v>36.47547607591973</v>
      </c>
      <c r="P316">
        <f>N316</f>
        <v>36.47547607591973</v>
      </c>
      <c r="Q316">
        <f>VLOOKUP(Q313,'8. Uncertainty Results'!$B$275:$E$287,2,FALSE)*(cubicm/gal)*(day/yr)</f>
        <v>35.929560770738668</v>
      </c>
      <c r="R316">
        <f>Q316</f>
        <v>35.929560770738668</v>
      </c>
      <c r="S316">
        <f>Q316</f>
        <v>35.929560770738668</v>
      </c>
      <c r="T316">
        <f>VLOOKUP(T313,'8. Uncertainty Results'!$B$275:$E$287,2,FALSE)*(cubicm/gal)*(day/yr)</f>
        <v>52.08257412525473</v>
      </c>
      <c r="U316">
        <f>T316</f>
        <v>52.08257412525473</v>
      </c>
      <c r="V316">
        <f>T316</f>
        <v>52.08257412525473</v>
      </c>
      <c r="W316">
        <f>VLOOKUP(W313,'8. Uncertainty Results'!$B$275:$E$287,2,FALSE)*(cubicm/gal)*(day/yr)</f>
        <v>73.697920275923693</v>
      </c>
      <c r="X316">
        <f>W316</f>
        <v>73.697920275923693</v>
      </c>
      <c r="Y316">
        <f>W316</f>
        <v>73.697920275923693</v>
      </c>
    </row>
    <row r="317" spans="1:25" x14ac:dyDescent="0.2">
      <c r="A317" t="s">
        <v>437</v>
      </c>
      <c r="B317">
        <f>VLOOKUP(B313,'8. Uncertainty Results'!$B$275:$E$287,4,FALSE)*(cubicm/gal)*(day/yr)</f>
        <v>624.29025303212097</v>
      </c>
      <c r="C317">
        <f>B317</f>
        <v>624.29025303212097</v>
      </c>
      <c r="D317">
        <f>B317</f>
        <v>624.29025303212097</v>
      </c>
      <c r="E317">
        <f>VLOOKUP(E313,'8. Uncertainty Results'!$B$275:$E$287,4,FALSE)*(cubicm/gal)*(day/yr)</f>
        <v>348.4734794066286</v>
      </c>
      <c r="F317">
        <f>E317</f>
        <v>348.4734794066286</v>
      </c>
      <c r="G317">
        <f>E317</f>
        <v>348.4734794066286</v>
      </c>
      <c r="H317">
        <f>VLOOKUP(H313,'8. Uncertainty Results'!$B$275:$E$287,4,FALSE)*(cubicm/gal)*(day/yr)</f>
        <v>115.23703579800102</v>
      </c>
      <c r="I317">
        <f>H317</f>
        <v>115.23703579800102</v>
      </c>
      <c r="J317">
        <f>H317</f>
        <v>115.23703579800102</v>
      </c>
      <c r="K317">
        <f>VLOOKUP(K313,'8. Uncertainty Results'!$B$275:$E$287,4,FALSE)*(cubicm/gal)*(day/yr)</f>
        <v>130.71459448613155</v>
      </c>
      <c r="L317">
        <f>K317</f>
        <v>130.71459448613155</v>
      </c>
      <c r="M317">
        <f>K317</f>
        <v>130.71459448613155</v>
      </c>
      <c r="N317">
        <f>VLOOKUP(N313,'8. Uncertainty Results'!$B$275:$E$287,4,FALSE)*(cubicm/gal)*(day/yr)</f>
        <v>166.14349622037875</v>
      </c>
      <c r="O317">
        <f>N317</f>
        <v>166.14349622037875</v>
      </c>
      <c r="P317">
        <f>N317</f>
        <v>166.14349622037875</v>
      </c>
      <c r="Q317">
        <f>VLOOKUP(Q313,'8. Uncertainty Results'!$B$275:$E$287,4,FALSE)*(cubicm/gal)*(day/yr)</f>
        <v>124.63342123977674</v>
      </c>
      <c r="R317">
        <f>Q317</f>
        <v>124.63342123977674</v>
      </c>
      <c r="S317">
        <f>Q317</f>
        <v>124.63342123977674</v>
      </c>
      <c r="T317">
        <f>VLOOKUP(T313,'8. Uncertainty Results'!$B$275:$E$287,4,FALSE)*(cubicm/gal)*(day/yr)</f>
        <v>133.2424416553782</v>
      </c>
      <c r="U317">
        <f>T317</f>
        <v>133.2424416553782</v>
      </c>
      <c r="V317">
        <f>T317</f>
        <v>133.2424416553782</v>
      </c>
      <c r="W317">
        <f>VLOOKUP(W313,'8. Uncertainty Results'!$B$275:$E$287,4,FALSE)*(cubicm/gal)*(day/yr)</f>
        <v>226.96505361892599</v>
      </c>
      <c r="X317">
        <f>W317</f>
        <v>226.96505361892599</v>
      </c>
      <c r="Y317">
        <f>W317</f>
        <v>226.96505361892599</v>
      </c>
    </row>
    <row r="318" spans="1:25" x14ac:dyDescent="0.2">
      <c r="A318" t="s">
        <v>438</v>
      </c>
      <c r="B318">
        <f>VLOOKUP(B313,'8. Uncertainty Results'!$A$61:$CM$73,2+$A$311,FALSE)*((cubicm/gal)*(day/yr))</f>
        <v>29.571638711432378</v>
      </c>
      <c r="C318">
        <f>VLOOKUP(B313,'8. Uncertainty Results'!$A$61:$CM$73,3+$A$311,FALSE)*((cubicm/gal)*(day/yr))</f>
        <v>30.999027379686986</v>
      </c>
      <c r="D318">
        <f>VLOOKUP(B313,'8. Uncertainty Results'!$A$61:$CM$73,4+$A$311,FALSE)*((cubicm/gal)*(day/yr))</f>
        <v>32.285264057676848</v>
      </c>
      <c r="E318">
        <f>VLOOKUP(E313,'8. Uncertainty Results'!$A$61:$CM$73,2+$A$311,FALSE)*((cubicm/gal)*(day/yr))</f>
        <v>0</v>
      </c>
      <c r="F318">
        <f>VLOOKUP(E313,'8. Uncertainty Results'!$A$61:$CM$73,3+$A$311,FALSE)*((cubicm/gal)*(day/yr))</f>
        <v>0</v>
      </c>
      <c r="G318">
        <f>VLOOKUP(E313,'8. Uncertainty Results'!$A$61:$CM$73,4+$A$311,FALSE)*((cubicm/gal)*(day/yr))</f>
        <v>0</v>
      </c>
      <c r="H318">
        <f>VLOOKUP(H313,'8. Uncertainty Results'!$A$61:$CM$73,2+$A$311,FALSE)*((cubicm/gal)*(day/yr))</f>
        <v>28.828326852161709</v>
      </c>
      <c r="I318">
        <f>VLOOKUP(H313,'8. Uncertainty Results'!$A$61:$CM$73,3+$A$311,FALSE)*((cubicm/gal)*(day/yr))</f>
        <v>30.714654058496404</v>
      </c>
      <c r="J318">
        <f>VLOOKUP(H313,'8. Uncertainty Results'!$A$61:$CM$73,4+$A$311,FALSE)*((cubicm/gal)*(day/yr))</f>
        <v>32.489293855611244</v>
      </c>
      <c r="K318">
        <f>VLOOKUP(K313,'8. Uncertainty Results'!$A$61:$CM$73,2+$A$311,FALSE)*((cubicm/gal)*(day/yr))</f>
        <v>0.16210528266159061</v>
      </c>
      <c r="L318">
        <f>VLOOKUP(K313,'8. Uncertainty Results'!$A$61:$CM$73,3+$A$311,FALSE)*((cubicm/gal)*(day/yr))</f>
        <v>0.17236790978707511</v>
      </c>
      <c r="M318">
        <f>VLOOKUP(K313,'8. Uncertainty Results'!$A$61:$CM$73,4+$A$311,FALSE)*((cubicm/gal)*(day/yr))</f>
        <v>0.18205288182496332</v>
      </c>
      <c r="N318">
        <f>VLOOKUP(N313,'8. Uncertainty Results'!$A$61:$CM$73,2+$A$311,FALSE)*((cubicm/gal)*(day/yr))</f>
        <v>0.10806353542315372</v>
      </c>
      <c r="O318">
        <f>VLOOKUP(N313,'8. Uncertainty Results'!$A$61:$CM$73,3+$A$311,FALSE)*((cubicm/gal)*(day/yr))</f>
        <v>0.11487866378743777</v>
      </c>
      <c r="P318">
        <f>VLOOKUP(N313,'8. Uncertainty Results'!$A$61:$CM$73,4+$A$311,FALSE)*((cubicm/gal)*(day/yr))</f>
        <v>0.1212824119308777</v>
      </c>
      <c r="Q318">
        <f>VLOOKUP(Q313,'8. Uncertainty Results'!$A$61:$CM$73,2+$A$311,FALSE)*((cubicm/gal)*(day/yr))</f>
        <v>0.16206932183873482</v>
      </c>
      <c r="R318">
        <f>VLOOKUP(Q313,'8. Uncertainty Results'!$A$61:$CM$73,3+$A$311,FALSE)*((cubicm/gal)*(day/yr))</f>
        <v>0.17239772203728507</v>
      </c>
      <c r="S318">
        <f>VLOOKUP(Q313,'8. Uncertainty Results'!$A$61:$CM$73,4+$A$311,FALSE)*((cubicm/gal)*(day/yr))</f>
        <v>0.1819423061216793</v>
      </c>
      <c r="T318">
        <f>VLOOKUP(T313,'8. Uncertainty Results'!$A$61:$CM$73,2+$A$311,FALSE)*((cubicm/gal)*(day/yr))</f>
        <v>23.786539726921347</v>
      </c>
      <c r="U318">
        <f>VLOOKUP(T313,'8. Uncertainty Results'!$A$61:$CM$73,3+$A$311,FALSE)*((cubicm/gal)*(day/yr))</f>
        <v>24.866854288861038</v>
      </c>
      <c r="V318">
        <f>VLOOKUP(T313,'8. Uncertainty Results'!$A$61:$CM$73,4+$A$311,FALSE)*((cubicm/gal)*(day/yr))</f>
        <v>25.894745098542952</v>
      </c>
      <c r="W318">
        <f>VLOOKUP(W313,'8. Uncertainty Results'!$A$61:$CM$73,2+$A$311,FALSE)*((cubicm/gal)*(day/yr))</f>
        <v>28.809230784657846</v>
      </c>
      <c r="X318">
        <f>VLOOKUP(W313,'8. Uncertainty Results'!$A$61:$CM$73,3+$A$311,FALSE)*((cubicm/gal)*(day/yr))</f>
        <v>30.720363603165126</v>
      </c>
      <c r="Y318">
        <f>VLOOKUP(W313,'8. Uncertainty Results'!$A$61:$CM$73,4+$A$311,FALSE)*((cubicm/gal)*(day/yr))</f>
        <v>32.485544869044176</v>
      </c>
    </row>
    <row r="319" spans="1:25" x14ac:dyDescent="0.2">
      <c r="A319" t="s">
        <v>400</v>
      </c>
      <c r="B319">
        <f>VLOOKUP(B313,'8. Uncertainty Results'!$A$61:$CM$73,17+$A$311,FALSE)*((cubicm/gal)*(day/yr))</f>
        <v>32.081597220677104</v>
      </c>
      <c r="C319">
        <f>VLOOKUP(B313,'8. Uncertainty Results'!$A$61:$CM$73,18+$A$311,FALSE)*((cubicm/gal)*(day/yr))</f>
        <v>34.421488358712033</v>
      </c>
      <c r="D319">
        <f>VLOOKUP(B313,'8. Uncertainty Results'!$A$61:$CM$73,19+$A$311,FALSE)*((cubicm/gal)*(day/yr))</f>
        <v>36.8048336699812</v>
      </c>
      <c r="E319">
        <f>VLOOKUP(E313,'8. Uncertainty Results'!$A$61:$CM$73,17+$A$311,FALSE)*((cubicm/gal)*(day/yr))</f>
        <v>4.5040002909477863</v>
      </c>
      <c r="F319">
        <f>VLOOKUP(E313,'8. Uncertainty Results'!$A$61:$CM$73,18+$A$311,FALSE)*((cubicm/gal)*(day/yr))</f>
        <v>4.7007401451931843</v>
      </c>
      <c r="G319">
        <f>VLOOKUP(E313,'8. Uncertainty Results'!$A$61:$CM$73,19+$A$311,FALSE)*((cubicm/gal)*(day/yr))</f>
        <v>4.9773855915466187</v>
      </c>
      <c r="H319">
        <f>VLOOKUP(H313,'8. Uncertainty Results'!$A$61:$CM$73,17+$A$311,FALSE)*((cubicm/gal)*(day/yr))</f>
        <v>60.960331230317841</v>
      </c>
      <c r="I319">
        <f>VLOOKUP(H313,'8. Uncertainty Results'!$A$61:$CM$73,18+$A$311,FALSE)*((cubicm/gal)*(day/yr))</f>
        <v>67.380953326251145</v>
      </c>
      <c r="J319">
        <f>VLOOKUP(H313,'8. Uncertainty Results'!$A$61:$CM$73,19+$A$311,FALSE)*((cubicm/gal)*(day/yr))</f>
        <v>74.884764744602776</v>
      </c>
      <c r="K319">
        <f>VLOOKUP(K313,'8. Uncertainty Results'!$A$61:$CM$73,17+$A$311,FALSE)*((cubicm/gal)*(day/yr))</f>
        <v>8.8182144101498743</v>
      </c>
      <c r="L319">
        <f>VLOOKUP(K313,'8. Uncertainty Results'!$A$61:$CM$73,18+$A$311,FALSE)*((cubicm/gal)*(day/yr))</f>
        <v>9.7972567022680916</v>
      </c>
      <c r="M319">
        <f>VLOOKUP(K313,'8. Uncertainty Results'!$A$61:$CM$73,19+$A$311,FALSE)*((cubicm/gal)*(day/yr))</f>
        <v>10.945911220456319</v>
      </c>
      <c r="N319">
        <f>VLOOKUP(N313,'8. Uncertainty Results'!$A$61:$CM$73,17+$A$311,FALSE)*((cubicm/gal)*(day/yr))</f>
        <v>6.1491857680583726</v>
      </c>
      <c r="O319">
        <f>VLOOKUP(N313,'8. Uncertainty Results'!$A$61:$CM$73,18+$A$311,FALSE)*((cubicm/gal)*(day/yr))</f>
        <v>6.8122914670157577</v>
      </c>
      <c r="P319">
        <f>VLOOKUP(N313,'8. Uncertainty Results'!$A$61:$CM$73,19+$A$311,FALSE)*((cubicm/gal)*(day/yr))</f>
        <v>7.5873422715259879</v>
      </c>
      <c r="Q319">
        <f>VLOOKUP(Q313,'8. Uncertainty Results'!$A$61:$CM$73,17+$A$311,FALSE)*((cubicm/gal)*(day/yr))</f>
        <v>8.8195308748858672</v>
      </c>
      <c r="R319">
        <f>VLOOKUP(Q313,'8. Uncertainty Results'!$A$61:$CM$73,18+$A$311,FALSE)*((cubicm/gal)*(day/yr))</f>
        <v>9.7866799342703317</v>
      </c>
      <c r="S319">
        <f>VLOOKUP(Q313,'8. Uncertainty Results'!$A$61:$CM$73,19+$A$311,FALSE)*((cubicm/gal)*(day/yr))</f>
        <v>10.936445266194493</v>
      </c>
      <c r="T319">
        <f>VLOOKUP(T313,'8. Uncertainty Results'!$A$61:$CM$73,17+$A$311,FALSE)*((cubicm/gal)*(day/yr))</f>
        <v>1.2799835761638834</v>
      </c>
      <c r="U319">
        <f>VLOOKUP(T313,'8. Uncertainty Results'!$A$61:$CM$73,18+$A$311,FALSE)*((cubicm/gal)*(day/yr))</f>
        <v>1.3778883296907107</v>
      </c>
      <c r="V319">
        <f>VLOOKUP(T313,'8. Uncertainty Results'!$A$61:$CM$73,19+$A$311,FALSE)*((cubicm/gal)*(day/yr))</f>
        <v>1.4981792988555427</v>
      </c>
      <c r="W319">
        <f>VLOOKUP(W313,'8. Uncertainty Results'!$A$61:$CM$73,17+$A$311,FALSE)*((cubicm/gal)*(day/yr))</f>
        <v>60.934811212313328</v>
      </c>
      <c r="X319">
        <f>VLOOKUP(W313,'8. Uncertainty Results'!$A$61:$CM$73,18+$A$311,FALSE)*((cubicm/gal)*(day/yr))</f>
        <v>67.382947132330074</v>
      </c>
      <c r="Y319">
        <f>VLOOKUP(W313,'8. Uncertainty Results'!$A$61:$CM$73,19+$A$311,FALSE)*((cubicm/gal)*(day/yr))</f>
        <v>74.92794925692688</v>
      </c>
    </row>
    <row r="320" spans="1:25" x14ac:dyDescent="0.2">
      <c r="A320" t="s">
        <v>401</v>
      </c>
      <c r="B320">
        <f>VLOOKUP(B313,'8. Uncertainty Results'!$A$61:$CM$73,32+$A$311,FALSE)*((cubicm/gal)*(day/yr))</f>
        <v>0</v>
      </c>
      <c r="C320">
        <f>VLOOKUP(B313,'8. Uncertainty Results'!$A$61:$CM$73,33+$A$311,FALSE)*((cubicm/gal)*(day/yr))</f>
        <v>0</v>
      </c>
      <c r="D320">
        <f>VLOOKUP(B313,'8. Uncertainty Results'!$A$61:$CM$73,34+$A$311,FALSE)*((cubicm/gal)*(day/yr))</f>
        <v>0</v>
      </c>
      <c r="E320">
        <f>VLOOKUP(E313,'8. Uncertainty Results'!$A$61:$CM$73,32+$A$311,FALSE)*((cubicm/gal)*(day/yr))</f>
        <v>0</v>
      </c>
      <c r="F320">
        <f>VLOOKUP(E313,'8. Uncertainty Results'!$A$61:$CM$73,33+$A$311,FALSE)*((cubicm/gal)*(day/yr))</f>
        <v>0</v>
      </c>
      <c r="G320">
        <f>VLOOKUP(E313,'8. Uncertainty Results'!$A$61:$CM$73,34+$A$311,FALSE)*((cubicm/gal)*(day/yr))</f>
        <v>0</v>
      </c>
      <c r="H320">
        <f>VLOOKUP(H313,'8. Uncertainty Results'!$A$61:$CM$73,32+$A$311,FALSE)*((cubicm/gal)*(day/yr))</f>
        <v>0</v>
      </c>
      <c r="I320">
        <f>VLOOKUP(H313,'8. Uncertainty Results'!$A$61:$CM$73,33+$A$311,FALSE)*((cubicm/gal)*(day/yr))</f>
        <v>0</v>
      </c>
      <c r="J320">
        <f>VLOOKUP(H313,'8. Uncertainty Results'!$A$61:$CM$73,34+$A$311,FALSE)*((cubicm/gal)*(day/yr))</f>
        <v>0</v>
      </c>
      <c r="K320">
        <f>VLOOKUP(K313,'8. Uncertainty Results'!$A$61:$CM$73,32+$A$311,FALSE)*((cubicm/gal)*(day/yr))</f>
        <v>0</v>
      </c>
      <c r="L320">
        <f>VLOOKUP(K313,'8. Uncertainty Results'!$A$61:$CM$73,33+$A$311,FALSE)*((cubicm/gal)*(day/yr))</f>
        <v>0</v>
      </c>
      <c r="M320">
        <f>VLOOKUP(K313,'8. Uncertainty Results'!$A$61:$CM$73,34+$A$311,FALSE)*((cubicm/gal)*(day/yr))</f>
        <v>0</v>
      </c>
      <c r="N320">
        <f>VLOOKUP(N313,'8. Uncertainty Results'!$A$61:$CM$73,32+$A$311,FALSE)*((cubicm/gal)*(day/yr))</f>
        <v>0</v>
      </c>
      <c r="O320">
        <f>VLOOKUP(N313,'8. Uncertainty Results'!$A$61:$CM$73,33+$A$311,FALSE)*((cubicm/gal)*(day/yr))</f>
        <v>0</v>
      </c>
      <c r="P320">
        <f>VLOOKUP(N313,'8. Uncertainty Results'!$A$61:$CM$73,34+$A$311,FALSE)*((cubicm/gal)*(day/yr))</f>
        <v>0</v>
      </c>
      <c r="Q320">
        <f>VLOOKUP(Q313,'8. Uncertainty Results'!$A$61:$CM$73,32+$A$311,FALSE)*((cubicm/gal)*(day/yr))</f>
        <v>0</v>
      </c>
      <c r="R320">
        <f>VLOOKUP(Q313,'8. Uncertainty Results'!$A$61:$CM$73,33+$A$311,FALSE)*((cubicm/gal)*(day/yr))</f>
        <v>0</v>
      </c>
      <c r="S320">
        <f>VLOOKUP(Q313,'8. Uncertainty Results'!$A$61:$CM$73,34+$A$311,FALSE)*((cubicm/gal)*(day/yr))</f>
        <v>0</v>
      </c>
      <c r="T320">
        <f>VLOOKUP(T313,'8. Uncertainty Results'!$A$61:$CM$73,32+$A$311,FALSE)*((cubicm/gal)*(day/yr))</f>
        <v>0</v>
      </c>
      <c r="U320">
        <f>VLOOKUP(T313,'8. Uncertainty Results'!$A$61:$CM$73,33+$A$311,FALSE)*((cubicm/gal)*(day/yr))</f>
        <v>0</v>
      </c>
      <c r="V320">
        <f>VLOOKUP(T313,'8. Uncertainty Results'!$A$61:$CM$73,34+$A$311,FALSE)*((cubicm/gal)*(day/yr))</f>
        <v>0</v>
      </c>
      <c r="W320">
        <f>VLOOKUP(W313,'8. Uncertainty Results'!$A$61:$CM$73,32+$A$311,FALSE)*((cubicm/gal)*(day/yr))</f>
        <v>0</v>
      </c>
      <c r="X320">
        <f>VLOOKUP(W313,'8. Uncertainty Results'!$A$61:$CM$73,33+$A$311,FALSE)*((cubicm/gal)*(day/yr))</f>
        <v>0</v>
      </c>
      <c r="Y320">
        <f>VLOOKUP(W313,'8. Uncertainty Results'!$A$61:$CM$73,34+$A$311,FALSE)*((cubicm/gal)*(day/yr))</f>
        <v>0</v>
      </c>
    </row>
    <row r="321" spans="1:25" x14ac:dyDescent="0.2">
      <c r="A321" t="s">
        <v>402</v>
      </c>
      <c r="B321">
        <f>VLOOKUP(B313,'8. Uncertainty Results'!$A$61:$CM$73,47+$A$311,FALSE)*((cubicm/gal)*(day/yr))</f>
        <v>1227.4576151204283</v>
      </c>
      <c r="C321">
        <f>VLOOKUP(B313,'8. Uncertainty Results'!$A$61:$CM$73,48+$A$311,FALSE)*((cubicm/gal)*(day/yr))</f>
        <v>2121.277345568174</v>
      </c>
      <c r="D321">
        <f>VLOOKUP(B313,'8. Uncertainty Results'!$A$61:$CM$73,49+$A$311,FALSE)*((cubicm/gal)*(day/yr))</f>
        <v>3265.2464365918381</v>
      </c>
      <c r="E321">
        <f>VLOOKUP(E313,'8. Uncertainty Results'!$A$61:$CM$73,47+$A$311,FALSE)*((cubicm/gal)*(day/yr))</f>
        <v>713.64539778667961</v>
      </c>
      <c r="F321">
        <f>VLOOKUP(E313,'8. Uncertainty Results'!$A$61:$CM$73,48+$A$311,FALSE)*((cubicm/gal)*(day/yr))</f>
        <v>1182.9333567186186</v>
      </c>
      <c r="G321">
        <f>VLOOKUP(E313,'8. Uncertainty Results'!$A$61:$CM$73,49+$A$311,FALSE)*((cubicm/gal)*(day/yr))</f>
        <v>1859.3592313372415</v>
      </c>
      <c r="H321">
        <f>VLOOKUP(H313,'8. Uncertainty Results'!$A$61:$CM$73,47+$A$311,FALSE)*((cubicm/gal)*(day/yr))</f>
        <v>94.874471775418726</v>
      </c>
      <c r="I321">
        <f>VLOOKUP(H313,'8. Uncertainty Results'!$A$61:$CM$73,48+$A$311,FALSE)*((cubicm/gal)*(day/yr))</f>
        <v>158.08403840135651</v>
      </c>
      <c r="J321">
        <f>VLOOKUP(H313,'8. Uncertainty Results'!$A$61:$CM$73,49+$A$311,FALSE)*((cubicm/gal)*(day/yr))</f>
        <v>247.46410813774338</v>
      </c>
      <c r="K321">
        <f>VLOOKUP(K313,'8. Uncertainty Results'!$A$61:$CM$73,47+$A$311,FALSE)*((cubicm/gal)*(day/yr))</f>
        <v>117.1800101962434</v>
      </c>
      <c r="L321">
        <f>VLOOKUP(K313,'8. Uncertainty Results'!$A$61:$CM$73,48+$A$311,FALSE)*((cubicm/gal)*(day/yr))</f>
        <v>243.23057235332001</v>
      </c>
      <c r="M321">
        <f>VLOOKUP(K313,'8. Uncertainty Results'!$A$61:$CM$73,49+$A$311,FALSE)*((cubicm/gal)*(day/yr))</f>
        <v>447.90291909151796</v>
      </c>
      <c r="N321">
        <f>VLOOKUP(N313,'8. Uncertainty Results'!$A$61:$CM$73,47+$A$311,FALSE)*((cubicm/gal)*(day/yr))</f>
        <v>81.634771318426672</v>
      </c>
      <c r="O321">
        <f>VLOOKUP(N313,'8. Uncertainty Results'!$A$61:$CM$73,48+$A$311,FALSE)*((cubicm/gal)*(day/yr))</f>
        <v>176.57146427210751</v>
      </c>
      <c r="P321">
        <f>VLOOKUP(N313,'8. Uncertainty Results'!$A$61:$CM$73,49+$A$311,FALSE)*((cubicm/gal)*(day/yr))</f>
        <v>321.3548700361647</v>
      </c>
      <c r="Q321">
        <f>VLOOKUP(Q313,'8. Uncertainty Results'!$A$61:$CM$73,47+$A$311,FALSE)*((cubicm/gal)*(day/yr))</f>
        <v>113.26864968565138</v>
      </c>
      <c r="R321">
        <f>VLOOKUP(Q313,'8. Uncertainty Results'!$A$61:$CM$73,48+$A$311,FALSE)*((cubicm/gal)*(day/yr))</f>
        <v>239.95104755026819</v>
      </c>
      <c r="S321">
        <f>VLOOKUP(Q313,'8. Uncertainty Results'!$A$61:$CM$73,49+$A$311,FALSE)*((cubicm/gal)*(day/yr))</f>
        <v>440.84843598382429</v>
      </c>
      <c r="T321">
        <f>VLOOKUP(T313,'8. Uncertainty Results'!$A$61:$CM$73,47+$A$311,FALSE)*((cubicm/gal)*(day/yr))</f>
        <v>51.751971667194923</v>
      </c>
      <c r="U321">
        <f>VLOOKUP(T313,'8. Uncertainty Results'!$A$61:$CM$73,48+$A$311,FALSE)*((cubicm/gal)*(day/yr))</f>
        <v>117.20584491764181</v>
      </c>
      <c r="V321">
        <f>VLOOKUP(T313,'8. Uncertainty Results'!$A$61:$CM$73,49+$A$311,FALSE)*((cubicm/gal)*(day/yr))</f>
        <v>219.15309873034076</v>
      </c>
      <c r="W321">
        <f>VLOOKUP(W313,'8. Uncertainty Results'!$A$61:$CM$73,47+$A$311,FALSE)*((cubicm/gal)*(day/yr))</f>
        <v>96.331754919163373</v>
      </c>
      <c r="X321">
        <f>VLOOKUP(W313,'8. Uncertainty Results'!$A$61:$CM$73,48+$A$311,FALSE)*((cubicm/gal)*(day/yr))</f>
        <v>158.6741094462833</v>
      </c>
      <c r="Y321">
        <f>VLOOKUP(W313,'8. Uncertainty Results'!$A$61:$CM$73,49+$A$311,FALSE)*((cubicm/gal)*(day/yr))</f>
        <v>249.50527647986479</v>
      </c>
    </row>
    <row r="322" spans="1:25" x14ac:dyDescent="0.2">
      <c r="A322" t="s">
        <v>403</v>
      </c>
      <c r="B322">
        <f>VLOOKUP(B313,'8. Uncertainty Results'!$A$61:$CM$73,62+$A$311,FALSE)*((cubicm/gal)*(day/yr))</f>
        <v>8.0682938037381202</v>
      </c>
      <c r="C322">
        <f>VLOOKUP(B313,'8. Uncertainty Results'!$A$61:$CM$73,63+$A$311,FALSE)*((cubicm/gal)*(day/yr))</f>
        <v>8.1003252767486966</v>
      </c>
      <c r="D322">
        <f>VLOOKUP(B313,'8. Uncertainty Results'!$A$61:$CM$73,64+$A$311,FALSE)*((cubicm/gal)*(day/yr))</f>
        <v>8.1439380861854005</v>
      </c>
      <c r="E322">
        <f>VLOOKUP(E313,'8. Uncertainty Results'!$A$61:$CM$73,62+$A$311,FALSE)*((cubicm/gal)*(day/yr))</f>
        <v>1.2247982723305142</v>
      </c>
      <c r="F322">
        <f>VLOOKUP(E313,'8. Uncertainty Results'!$A$61:$CM$73,63+$A$311,FALSE)*((cubicm/gal)*(day/yr))</f>
        <v>1.2363315846076328</v>
      </c>
      <c r="G322">
        <f>VLOOKUP(E313,'8. Uncertainty Results'!$A$61:$CM$73,64+$A$311,FALSE)*((cubicm/gal)*(day/yr))</f>
        <v>1.2502314469604028</v>
      </c>
      <c r="H322">
        <f>VLOOKUP(H313,'8. Uncertainty Results'!$A$61:$CM$73,62+$A$311,FALSE)*((cubicm/gal)*(day/yr))</f>
        <v>0.52518830297797081</v>
      </c>
      <c r="I322">
        <f>VLOOKUP(H313,'8. Uncertainty Results'!$A$61:$CM$73,63+$A$311,FALSE)*((cubicm/gal)*(day/yr))</f>
        <v>0.5365542041013156</v>
      </c>
      <c r="J322">
        <f>VLOOKUP(H313,'8. Uncertainty Results'!$A$61:$CM$73,64+$A$311,FALSE)*((cubicm/gal)*(day/yr))</f>
        <v>0.54899022917350482</v>
      </c>
      <c r="K322">
        <f>VLOOKUP(K313,'8. Uncertainty Results'!$A$61:$CM$73,62+$A$311,FALSE)*((cubicm/gal)*(day/yr))</f>
        <v>0.40480042776803382</v>
      </c>
      <c r="L322">
        <f>VLOOKUP(K313,'8. Uncertainty Results'!$A$61:$CM$73,63+$A$311,FALSE)*((cubicm/gal)*(day/yr))</f>
        <v>0.41245468915619238</v>
      </c>
      <c r="M322">
        <f>VLOOKUP(K313,'8. Uncertainty Results'!$A$61:$CM$73,64+$A$311,FALSE)*((cubicm/gal)*(day/yr))</f>
        <v>0.42060392018802767</v>
      </c>
      <c r="N322">
        <f>VLOOKUP(N313,'8. Uncertainty Results'!$A$61:$CM$73,62+$A$311,FALSE)*((cubicm/gal)*(day/yr))</f>
        <v>0.28198328023922686</v>
      </c>
      <c r="O322">
        <f>VLOOKUP(N313,'8. Uncertainty Results'!$A$61:$CM$73,63+$A$311,FALSE)*((cubicm/gal)*(day/yr))</f>
        <v>0.28729037133157409</v>
      </c>
      <c r="P322">
        <f>VLOOKUP(N313,'8. Uncertainty Results'!$A$61:$CM$73,64+$A$311,FALSE)*((cubicm/gal)*(day/yr))</f>
        <v>0.29306987038250204</v>
      </c>
      <c r="Q322">
        <f>VLOOKUP(Q313,'8. Uncertainty Results'!$A$61:$CM$73,62+$A$311,FALSE)*((cubicm/gal)*(day/yr))</f>
        <v>0.40499561565508818</v>
      </c>
      <c r="R322">
        <f>VLOOKUP(Q313,'8. Uncertainty Results'!$A$61:$CM$73,63+$A$311,FALSE)*((cubicm/gal)*(day/yr))</f>
        <v>0.41250924779574449</v>
      </c>
      <c r="S322">
        <f>VLOOKUP(Q313,'8. Uncertainty Results'!$A$61:$CM$73,64+$A$311,FALSE)*((cubicm/gal)*(day/yr))</f>
        <v>0.42063835728331794</v>
      </c>
      <c r="T322">
        <f>VLOOKUP(T313,'8. Uncertainty Results'!$A$61:$CM$73,62+$A$311,FALSE)*((cubicm/gal)*(day/yr))</f>
        <v>0.12824167415291129</v>
      </c>
      <c r="U322">
        <f>VLOOKUP(T313,'8. Uncertainty Results'!$A$61:$CM$73,63+$A$311,FALSE)*((cubicm/gal)*(day/yr))</f>
        <v>0.12881830492398808</v>
      </c>
      <c r="V322">
        <f>VLOOKUP(T313,'8. Uncertainty Results'!$A$61:$CM$73,64+$A$311,FALSE)*((cubicm/gal)*(day/yr))</f>
        <v>0.1296196498290291</v>
      </c>
      <c r="W322">
        <f>VLOOKUP(W313,'8. Uncertainty Results'!$A$61:$CM$73,62+$A$311,FALSE)*((cubicm/gal)*(day/yr))</f>
        <v>0.52542771695615487</v>
      </c>
      <c r="X322">
        <f>VLOOKUP(W313,'8. Uncertainty Results'!$A$61:$CM$73,63+$A$311,FALSE)*((cubicm/gal)*(day/yr))</f>
        <v>0.53656897790840152</v>
      </c>
      <c r="Y322">
        <f>VLOOKUP(W313,'8. Uncertainty Results'!$A$61:$CM$73,64+$A$311,FALSE)*((cubicm/gal)*(day/yr))</f>
        <v>0.54860902204131423</v>
      </c>
    </row>
    <row r="323" spans="1:25" x14ac:dyDescent="0.2">
      <c r="A323" t="s">
        <v>439</v>
      </c>
      <c r="B323">
        <f>VLOOKUP(B313,'8. Uncertainty Results'!$A$61:$CM$73,77+$A$311,FALSE)*((cubicm/gal)*(day/yr))</f>
        <v>0</v>
      </c>
      <c r="C323">
        <f>VLOOKUP(B313,'8. Uncertainty Results'!$A$61:$CM$73,78+$A$311,FALSE)*((cubicm/gal)*(day/yr))</f>
        <v>0</v>
      </c>
      <c r="D323">
        <f>VLOOKUP(B313,'8. Uncertainty Results'!$A$61:$CM$73,79+$A$311,FALSE)*((cubicm/gal)*(day/yr))</f>
        <v>0</v>
      </c>
      <c r="E323">
        <f>VLOOKUP(E313,'8. Uncertainty Results'!$A$61:$CM$73,77+$A$311,FALSE)*((cubicm/gal)*(day/yr))</f>
        <v>1.1276600305517923</v>
      </c>
      <c r="F323">
        <f>VLOOKUP(E313,'8. Uncertainty Results'!$A$61:$CM$73,78+$A$311,FALSE)*((cubicm/gal)*(day/yr))</f>
        <v>1.2668256596673493</v>
      </c>
      <c r="G323">
        <f>VLOOKUP(E313,'8. Uncertainty Results'!$A$61:$CM$73,79+$A$311,FALSE)*((cubicm/gal)*(day/yr))</f>
        <v>1.4301563023778849</v>
      </c>
      <c r="H323">
        <f>VLOOKUP(H313,'8. Uncertainty Results'!$A$61:$CM$73,77+$A$311,FALSE)*((cubicm/gal)*(day/yr))</f>
        <v>2.2360143154969703</v>
      </c>
      <c r="I323">
        <f>VLOOKUP(H313,'8. Uncertainty Results'!$A$61:$CM$73,78+$A$311,FALSE)*((cubicm/gal)*(day/yr))</f>
        <v>2.5837576606648121</v>
      </c>
      <c r="J323">
        <f>VLOOKUP(H313,'8. Uncertainty Results'!$A$61:$CM$73,79+$A$311,FALSE)*((cubicm/gal)*(day/yr))</f>
        <v>3.0268839303267989</v>
      </c>
      <c r="K323">
        <f>VLOOKUP(K313,'8. Uncertainty Results'!$A$61:$CM$73,77+$A$311,FALSE)*((cubicm/gal)*(day/yr))</f>
        <v>0</v>
      </c>
      <c r="L323">
        <f>VLOOKUP(K313,'8. Uncertainty Results'!$A$61:$CM$73,78+$A$311,FALSE)*((cubicm/gal)*(day/yr))</f>
        <v>0</v>
      </c>
      <c r="M323">
        <f>VLOOKUP(K313,'8. Uncertainty Results'!$A$61:$CM$73,79+$A$311,FALSE)*((cubicm/gal)*(day/yr))</f>
        <v>0</v>
      </c>
      <c r="N323">
        <f>VLOOKUP(N313,'8. Uncertainty Results'!$A$61:$CM$73,77+$A$311,FALSE)*((cubicm/gal)*(day/yr))</f>
        <v>0</v>
      </c>
      <c r="O323">
        <f>VLOOKUP(N313,'8. Uncertainty Results'!$A$61:$CM$73,78+$A$311,FALSE)*((cubicm/gal)*(day/yr))</f>
        <v>0</v>
      </c>
      <c r="P323">
        <f>VLOOKUP(N313,'8. Uncertainty Results'!$A$61:$CM$73,79+$A$311,FALSE)*((cubicm/gal)*(day/yr))</f>
        <v>0</v>
      </c>
      <c r="Q323">
        <f>VLOOKUP(Q313,'8. Uncertainty Results'!$A$61:$CM$73,77+$A$311,FALSE)*((cubicm/gal)*(day/yr))</f>
        <v>0</v>
      </c>
      <c r="R323">
        <f>VLOOKUP(Q313,'8. Uncertainty Results'!$A$61:$CM$73,78+$A$311,FALSE)*((cubicm/gal)*(day/yr))</f>
        <v>0</v>
      </c>
      <c r="S323">
        <f>VLOOKUP(Q313,'8. Uncertainty Results'!$A$61:$CM$73,79+$A$311,FALSE)*((cubicm/gal)*(day/yr))</f>
        <v>0</v>
      </c>
      <c r="T323">
        <f>VLOOKUP(T313,'8. Uncertainty Results'!$A$61:$CM$73,77+$A$311,FALSE)*((cubicm/gal)*(day/yr))</f>
        <v>0</v>
      </c>
      <c r="U323">
        <f>VLOOKUP(T313,'8. Uncertainty Results'!$A$61:$CM$73,78+$A$311,FALSE)*((cubicm/gal)*(day/yr))</f>
        <v>0</v>
      </c>
      <c r="V323">
        <f>VLOOKUP(T313,'8. Uncertainty Results'!$A$61:$CM$73,79+$A$311,FALSE)*((cubicm/gal)*(day/yr))</f>
        <v>0</v>
      </c>
      <c r="W323">
        <f>VLOOKUP(W313,'8. Uncertainty Results'!$A$61:$CM$73,77+$A$311,FALSE)*((cubicm/gal)*(day/yr))</f>
        <v>2.2376695007939076</v>
      </c>
      <c r="X323">
        <f>VLOOKUP(W313,'8. Uncertainty Results'!$A$61:$CM$73,78+$A$311,FALSE)*((cubicm/gal)*(day/yr))</f>
        <v>2.5834620745962948</v>
      </c>
      <c r="Y323">
        <f>VLOOKUP(W313,'8. Uncertainty Results'!$A$61:$CM$73,79+$A$311,FALSE)*((cubicm/gal)*(day/yr))</f>
        <v>3.0294631553366753</v>
      </c>
    </row>
    <row r="324" spans="1:25" x14ac:dyDescent="0.2">
      <c r="A324" t="s">
        <v>492</v>
      </c>
      <c r="B324">
        <f>VLOOKUP(B313,'8. Uncertainty Results'!$A$203:$D$215,2,FALSE)/1000000</f>
        <v>22.19928637592842</v>
      </c>
      <c r="C324">
        <f>VLOOKUP(B313,'8. Uncertainty Results'!$A$203:$D$215,3,FALSE)/1000000</f>
        <v>24.2754169819958</v>
      </c>
      <c r="D324">
        <f>VLOOKUP(B313,'8. Uncertainty Results'!$A$203:$D$215,4,FALSE)/1000000</f>
        <v>26.300815250844281</v>
      </c>
      <c r="E324">
        <f>VLOOKUP(E313,'8. Uncertainty Results'!$A$203:$D$215,2,FALSE)/1000000</f>
        <v>30.329777237026992</v>
      </c>
      <c r="F324">
        <f>VLOOKUP(E313,'8. Uncertainty Results'!$A$203:$D$215,3,FALSE)/1000000</f>
        <v>34.810209497471384</v>
      </c>
      <c r="G324">
        <f>VLOOKUP(E313,'8. Uncertainty Results'!$A$203:$D$215,4,FALSE)/1000000</f>
        <v>39.804593895523155</v>
      </c>
      <c r="H324">
        <f>VLOOKUP(H313,'8. Uncertainty Results'!$A$203:$D$215,2,FALSE)/1000000</f>
        <v>0.36684257135850085</v>
      </c>
      <c r="I324">
        <f>VLOOKUP(H313,'8. Uncertainty Results'!$A$203:$D$215,3,FALSE)/1000000</f>
        <v>1.9272387365708405</v>
      </c>
      <c r="J324">
        <f>VLOOKUP(H313,'8. Uncertainty Results'!$A$203:$D$215,4,FALSE)/1000000</f>
        <v>9.7366119085476832</v>
      </c>
      <c r="K324">
        <f>VLOOKUP(K313,'8. Uncertainty Results'!$A$203:$D$215,2,FALSE)/1000000</f>
        <v>28.572915147869598</v>
      </c>
      <c r="L324">
        <f>VLOOKUP(K313,'8. Uncertainty Results'!$A$203:$D$215,3,FALSE)/1000000</f>
        <v>36.784589510791825</v>
      </c>
      <c r="M324">
        <f>VLOOKUP(K313,'8. Uncertainty Results'!$A$203:$D$215,4,FALSE)/1000000</f>
        <v>63.986855731934547</v>
      </c>
      <c r="N324">
        <f>VLOOKUP(N313,'8. Uncertainty Results'!$A$203:$D$215,2,FALSE)/1000000</f>
        <v>12.60217290105447</v>
      </c>
      <c r="O324">
        <f>VLOOKUP(N313,'8. Uncertainty Results'!$A$203:$D$215,3,FALSE)/1000000</f>
        <v>19.226978004610444</v>
      </c>
      <c r="P324">
        <f>VLOOKUP(N313,'8. Uncertainty Results'!$A$203:$D$215,4,FALSE)/1000000</f>
        <v>49.036167912910365</v>
      </c>
      <c r="Q324">
        <f>VLOOKUP(Q313,'8. Uncertainty Results'!$A$203:$D$215,2,FALSE)/1000000</f>
        <v>4.9234855062215894</v>
      </c>
      <c r="R324">
        <f>VLOOKUP(Q313,'8. Uncertainty Results'!$A$203:$D$215,3,FALSE)/1000000</f>
        <v>5.37106142092306</v>
      </c>
      <c r="S324">
        <f>VLOOKUP(Q313,'8. Uncertainty Results'!$A$203:$D$215,4,FALSE)/1000000</f>
        <v>5.8389653933930203</v>
      </c>
      <c r="T324">
        <f>VLOOKUP(T313,'8. Uncertainty Results'!$A$203:$D$215,2,FALSE)/1000000</f>
        <v>3.9079818470785299</v>
      </c>
      <c r="U324">
        <f>VLOOKUP(T313,'8. Uncertainty Results'!$A$203:$D$215,3,FALSE)/1000000</f>
        <v>4.2843021047777894</v>
      </c>
      <c r="V324">
        <f>VLOOKUP(T313,'8. Uncertainty Results'!$A$203:$D$215,4,FALSE)/1000000</f>
        <v>4.6474321803099699</v>
      </c>
      <c r="W324">
        <f>VLOOKUP(W313,'8. Uncertainty Results'!$A$203:$D$215,2,FALSE)/1000000</f>
        <v>0.23425673678805656</v>
      </c>
      <c r="X324">
        <f>VLOOKUP(W313,'8. Uncertainty Results'!$A$203:$D$215,3,FALSE)/1000000</f>
        <v>1.1548930353673985</v>
      </c>
      <c r="Y324">
        <f>VLOOKUP(W313,'8. Uncertainty Results'!$A$203:$D$215,4,FALSE)/1000000</f>
        <v>5.5129749020288967</v>
      </c>
    </row>
    <row r="327" spans="1:25" x14ac:dyDescent="0.2">
      <c r="A327" t="s">
        <v>491</v>
      </c>
      <c r="B327" s="474">
        <f>B313</f>
        <v>18100204</v>
      </c>
      <c r="C327" s="474"/>
      <c r="D327" s="474"/>
      <c r="E327" s="474">
        <f t="shared" ref="E327:E328" si="160">E313</f>
        <v>16040201</v>
      </c>
      <c r="F327" s="474"/>
      <c r="G327" s="474"/>
      <c r="H327" s="474">
        <f t="shared" ref="H327:H328" si="161">H313</f>
        <v>15030202</v>
      </c>
      <c r="I327" s="474"/>
      <c r="J327" s="474"/>
      <c r="K327" s="474">
        <f t="shared" ref="K327:K328" si="162">K313</f>
        <v>16060011</v>
      </c>
      <c r="L327" s="474"/>
      <c r="M327" s="474"/>
      <c r="N327" s="474">
        <f t="shared" ref="N327:N328" si="163">N313</f>
        <v>16060003</v>
      </c>
      <c r="O327" s="474"/>
      <c r="P327" s="474"/>
      <c r="Q327" s="474">
        <f t="shared" ref="Q327:Q328" si="164">Q313</f>
        <v>16060013</v>
      </c>
      <c r="R327" s="474"/>
      <c r="S327" s="474"/>
      <c r="T327" s="474">
        <f t="shared" ref="T327:T328" si="165">T313</f>
        <v>16060010</v>
      </c>
      <c r="U327" s="474"/>
      <c r="V327" s="474"/>
      <c r="W327" s="474">
        <f t="shared" ref="W327:W328" si="166">W313</f>
        <v>15030201</v>
      </c>
      <c r="X327" s="474"/>
      <c r="Y327" s="474"/>
    </row>
    <row r="328" spans="1:25" x14ac:dyDescent="0.2">
      <c r="B328" s="474" t="str">
        <f>B314</f>
        <v>SS</v>
      </c>
      <c r="C328" s="474"/>
      <c r="D328" s="474"/>
      <c r="E328" s="474" t="str">
        <f t="shared" si="160"/>
        <v>UQ</v>
      </c>
      <c r="F328" s="474"/>
      <c r="G328" s="474"/>
      <c r="H328" s="474" t="str">
        <f t="shared" si="161"/>
        <v>BUR</v>
      </c>
      <c r="I328" s="474"/>
      <c r="J328" s="474"/>
      <c r="K328" s="474" t="str">
        <f t="shared" si="162"/>
        <v>RSCV</v>
      </c>
      <c r="L328" s="474"/>
      <c r="M328" s="474"/>
      <c r="N328" s="474" t="str">
        <f t="shared" si="163"/>
        <v>SBSV</v>
      </c>
      <c r="O328" s="474"/>
      <c r="P328" s="474"/>
      <c r="Q328" s="474" t="str">
        <f t="shared" si="164"/>
        <v>CSF</v>
      </c>
      <c r="R328" s="474"/>
      <c r="S328" s="474"/>
      <c r="T328" s="474" t="str">
        <f t="shared" si="165"/>
        <v>FLSSV</v>
      </c>
      <c r="U328" s="474"/>
      <c r="V328" s="474"/>
      <c r="W328" s="474" t="str">
        <f t="shared" si="166"/>
        <v>BS</v>
      </c>
      <c r="X328" s="474"/>
      <c r="Y328" s="474"/>
    </row>
    <row r="329" spans="1:25" x14ac:dyDescent="0.2">
      <c r="B329" t="s">
        <v>440</v>
      </c>
      <c r="C329" t="s">
        <v>441</v>
      </c>
      <c r="D329" t="s">
        <v>442</v>
      </c>
      <c r="E329" t="s">
        <v>440</v>
      </c>
      <c r="F329" t="s">
        <v>441</v>
      </c>
      <c r="G329" t="s">
        <v>442</v>
      </c>
      <c r="H329" t="s">
        <v>440</v>
      </c>
      <c r="I329" t="s">
        <v>441</v>
      </c>
      <c r="J329" t="s">
        <v>442</v>
      </c>
      <c r="K329" t="s">
        <v>440</v>
      </c>
      <c r="L329" t="s">
        <v>441</v>
      </c>
      <c r="M329" t="s">
        <v>442</v>
      </c>
      <c r="N329" t="s">
        <v>440</v>
      </c>
      <c r="O329" t="s">
        <v>441</v>
      </c>
      <c r="P329" t="s">
        <v>442</v>
      </c>
      <c r="Q329" t="s">
        <v>440</v>
      </c>
      <c r="R329" t="s">
        <v>441</v>
      </c>
      <c r="S329" t="s">
        <v>442</v>
      </c>
      <c r="T329" t="s">
        <v>440</v>
      </c>
      <c r="U329" t="s">
        <v>441</v>
      </c>
      <c r="V329" t="s">
        <v>442</v>
      </c>
      <c r="W329" t="s">
        <v>440</v>
      </c>
      <c r="X329" t="s">
        <v>441</v>
      </c>
      <c r="Y329" t="s">
        <v>442</v>
      </c>
    </row>
    <row r="330" spans="1:25" x14ac:dyDescent="0.2">
      <c r="A330" t="s">
        <v>436</v>
      </c>
      <c r="B330">
        <f>VLOOKUP(B327,'8. Uncertainty Results'!$B$345:$E$357,2,FALSE)*(cubicm/gal)*(day/yr)</f>
        <v>618.9713608837377</v>
      </c>
      <c r="C330">
        <f>B330</f>
        <v>618.9713608837377</v>
      </c>
      <c r="D330">
        <f>B330</f>
        <v>618.9713608837377</v>
      </c>
      <c r="E330">
        <f>VLOOKUP(E327,'8. Uncertainty Results'!$B$345:$E$357,2,FALSE)*(cubicm/gal)*(day/yr)</f>
        <v>104.71432153442625</v>
      </c>
      <c r="F330">
        <f>E330</f>
        <v>104.71432153442625</v>
      </c>
      <c r="G330">
        <f>E330</f>
        <v>104.71432153442625</v>
      </c>
      <c r="H330">
        <f>VLOOKUP(H327,'8. Uncertainty Results'!$B$345:$E$357,2,FALSE)*(cubicm/gal)*(day/yr)</f>
        <v>57.09257707415945</v>
      </c>
      <c r="I330">
        <f>H330</f>
        <v>57.09257707415945</v>
      </c>
      <c r="J330">
        <f>H330</f>
        <v>57.09257707415945</v>
      </c>
      <c r="K330">
        <f>VLOOKUP(K327,'8. Uncertainty Results'!$B$345:$E$357,2,FALSE)*(cubicm/gal)*(day/yr)</f>
        <v>60.493213342698439</v>
      </c>
      <c r="L330">
        <f>K330</f>
        <v>60.493213342698439</v>
      </c>
      <c r="M330">
        <f>K330</f>
        <v>60.493213342698439</v>
      </c>
      <c r="N330">
        <f>VLOOKUP(N327,'8. Uncertainty Results'!$B$345:$E$357,2,FALSE)*(cubicm/gal)*(day/yr)</f>
        <v>48.531278970669902</v>
      </c>
      <c r="O330">
        <f>N330</f>
        <v>48.531278970669902</v>
      </c>
      <c r="P330">
        <f>N330</f>
        <v>48.531278970669902</v>
      </c>
      <c r="Q330">
        <f>VLOOKUP(Q327,'8. Uncertainty Results'!$B$345:$E$357,2,FALSE)*(cubicm/gal)*(day/yr)</f>
        <v>45.174800514685394</v>
      </c>
      <c r="R330">
        <f>Q330</f>
        <v>45.174800514685394</v>
      </c>
      <c r="S330">
        <f>Q330</f>
        <v>45.174800514685394</v>
      </c>
      <c r="T330">
        <f>VLOOKUP(T327,'8. Uncertainty Results'!$B$345:$E$357,2,FALSE)*(cubicm/gal)*(day/yr)</f>
        <v>54.531022901124814</v>
      </c>
      <c r="U330">
        <f>T330</f>
        <v>54.531022901124814</v>
      </c>
      <c r="V330">
        <f>T330</f>
        <v>54.531022901124814</v>
      </c>
      <c r="W330">
        <f>VLOOKUP(W327,'8. Uncertainty Results'!$B$345:$E$357,2,FALSE)*(cubicm/gal)*(day/yr)</f>
        <v>108.75954578608642</v>
      </c>
      <c r="X330">
        <f>W330</f>
        <v>108.75954578608642</v>
      </c>
      <c r="Y330">
        <f>W330</f>
        <v>108.75954578608642</v>
      </c>
    </row>
    <row r="331" spans="1:25" x14ac:dyDescent="0.2">
      <c r="A331" t="s">
        <v>437</v>
      </c>
      <c r="B331">
        <f>VLOOKUP(B327,'8. Uncertainty Results'!$B$345:$E$357,4,FALSE)*(cubicm/gal)*(day/yr)</f>
        <v>622.52687222170437</v>
      </c>
      <c r="C331">
        <f>B331</f>
        <v>622.52687222170437</v>
      </c>
      <c r="D331">
        <f>B331</f>
        <v>622.52687222170437</v>
      </c>
      <c r="E331">
        <f>VLOOKUP(E327,'8. Uncertainty Results'!$B$345:$E$357,4,FALSE)*(cubicm/gal)*(day/yr)</f>
        <v>412.14939154559391</v>
      </c>
      <c r="F331">
        <f>E331</f>
        <v>412.14939154559391</v>
      </c>
      <c r="G331">
        <f>E331</f>
        <v>412.14939154559391</v>
      </c>
      <c r="H331">
        <f>VLOOKUP(H327,'8. Uncertainty Results'!$B$345:$E$357,4,FALSE)*(cubicm/gal)*(day/yr)</f>
        <v>201.45351464332091</v>
      </c>
      <c r="I331">
        <f>H331</f>
        <v>201.45351464332091</v>
      </c>
      <c r="J331">
        <f>H331</f>
        <v>201.45351464332091</v>
      </c>
      <c r="K331">
        <f>VLOOKUP(K327,'8. Uncertainty Results'!$B$345:$E$357,4,FALSE)*(cubicm/gal)*(day/yr)</f>
        <v>208.28563550916417</v>
      </c>
      <c r="L331">
        <f>K331</f>
        <v>208.28563550916417</v>
      </c>
      <c r="M331">
        <f>K331</f>
        <v>208.28563550916417</v>
      </c>
      <c r="N331">
        <f>VLOOKUP(N327,'8. Uncertainty Results'!$B$345:$E$357,4,FALSE)*(cubicm/gal)*(day/yr)</f>
        <v>269.64816823643315</v>
      </c>
      <c r="O331">
        <f>N331</f>
        <v>269.64816823643315</v>
      </c>
      <c r="P331">
        <f>N331</f>
        <v>269.64816823643315</v>
      </c>
      <c r="Q331">
        <f>VLOOKUP(Q327,'8. Uncertainty Results'!$B$345:$E$357,4,FALSE)*(cubicm/gal)*(day/yr)</f>
        <v>203.81281906641709</v>
      </c>
      <c r="R331">
        <f>Q331</f>
        <v>203.81281906641709</v>
      </c>
      <c r="S331">
        <f>Q331</f>
        <v>203.81281906641709</v>
      </c>
      <c r="T331">
        <f>VLOOKUP(T327,'8. Uncertainty Results'!$B$345:$E$357,4,FALSE)*(cubicm/gal)*(day/yr)</f>
        <v>151.32036690431366</v>
      </c>
      <c r="U331">
        <f>T331</f>
        <v>151.32036690431366</v>
      </c>
      <c r="V331">
        <f>T331</f>
        <v>151.32036690431366</v>
      </c>
      <c r="W331">
        <f>VLOOKUP(W327,'8. Uncertainty Results'!$B$345:$E$357,4,FALSE)*(cubicm/gal)*(day/yr)</f>
        <v>462.54532147581159</v>
      </c>
      <c r="X331">
        <f>W331</f>
        <v>462.54532147581159</v>
      </c>
      <c r="Y331">
        <f>W331</f>
        <v>462.54532147581159</v>
      </c>
    </row>
    <row r="332" spans="1:25" x14ac:dyDescent="0.2">
      <c r="A332" t="s">
        <v>438</v>
      </c>
      <c r="B332">
        <f>VLOOKUP(B327,'8. Uncertainty Results'!$A$79:$CM$90,2+$A$311,FALSE)*((cubicm/gal)*(day/yr))</f>
        <v>18.364068401781068</v>
      </c>
      <c r="C332">
        <f>VLOOKUP(B327,'8. Uncertainty Results'!$A$79:$CM$90,3+$A$311,FALSE)*((cubicm/gal)*(day/yr))</f>
        <v>19.179751652522686</v>
      </c>
      <c r="D332">
        <f>VLOOKUP(B327,'8. Uncertainty Results'!$A$79:$CM$90,4+$A$311,FALSE)*((cubicm/gal)*(day/yr))</f>
        <v>19.864164697440053</v>
      </c>
      <c r="E332">
        <f>VLOOKUP(E327,'8. Uncertainty Results'!$A$79:$CM$90,2+$A$311,FALSE)*((cubicm/gal)*(day/yr))</f>
        <v>0</v>
      </c>
      <c r="F332">
        <f>VLOOKUP(E327,'8. Uncertainty Results'!$A$79:$CM$90,3+$A$311,FALSE)*((cubicm/gal)*(day/yr))</f>
        <v>0</v>
      </c>
      <c r="G332">
        <f>VLOOKUP(E327,'8. Uncertainty Results'!$A$79:$CM$90,4+$A$311,FALSE)*((cubicm/gal)*(day/yr))</f>
        <v>0</v>
      </c>
      <c r="H332">
        <f>VLOOKUP(H327,'8. Uncertainty Results'!$A$79:$CM$90,2+$A$311,FALSE)*((cubicm/gal)*(day/yr))</f>
        <v>27.085524778202551</v>
      </c>
      <c r="I332">
        <f>VLOOKUP(H327,'8. Uncertainty Results'!$A$79:$CM$90,3+$A$311,FALSE)*((cubicm/gal)*(day/yr))</f>
        <v>28.816676404627149</v>
      </c>
      <c r="J332">
        <f>VLOOKUP(H327,'8. Uncertainty Results'!$A$79:$CM$90,4+$A$311,FALSE)*((cubicm/gal)*(day/yr))</f>
        <v>30.410269243782963</v>
      </c>
      <c r="K332">
        <f>VLOOKUP(K327,'8. Uncertainty Results'!$A$79:$CM$90,2+$A$311,FALSE)*((cubicm/gal)*(day/yr))</f>
        <v>0.10892356864243727</v>
      </c>
      <c r="L332">
        <f>VLOOKUP(K327,'8. Uncertainty Results'!$A$79:$CM$90,3+$A$311,FALSE)*((cubicm/gal)*(day/yr))</f>
        <v>0.11583964564133878</v>
      </c>
      <c r="M332">
        <f>VLOOKUP(K327,'8. Uncertainty Results'!$A$79:$CM$90,4+$A$311,FALSE)*((cubicm/gal)*(day/yr))</f>
        <v>0.12212957024933144</v>
      </c>
      <c r="N332">
        <f>VLOOKUP(N327,'8. Uncertainty Results'!$A$79:$CM$90,2+$A$311,FALSE)*((cubicm/gal)*(day/yr))</f>
        <v>7.2642822116849193E-2</v>
      </c>
      <c r="O332">
        <f>VLOOKUP(N327,'8. Uncertainty Results'!$A$79:$CM$90,3+$A$311,FALSE)*((cubicm/gal)*(day/yr))</f>
        <v>7.7229989481378228E-2</v>
      </c>
      <c r="P332">
        <f>VLOOKUP(N327,'8. Uncertainty Results'!$A$79:$CM$90,4+$A$311,FALSE)*((cubicm/gal)*(day/yr))</f>
        <v>8.1345935786920245E-2</v>
      </c>
      <c r="Q332">
        <f>VLOOKUP(Q327,'8. Uncertainty Results'!$A$79:$CM$90,2+$A$311,FALSE)*((cubicm/gal)*(day/yr))</f>
        <v>0.1088769064325249</v>
      </c>
      <c r="R332">
        <f>VLOOKUP(Q327,'8. Uncertainty Results'!$A$79:$CM$90,3+$A$311,FALSE)*((cubicm/gal)*(day/yr))</f>
        <v>0.11580273589819129</v>
      </c>
      <c r="S332">
        <f>VLOOKUP(Q327,'8. Uncertainty Results'!$A$79:$CM$90,4+$A$311,FALSE)*((cubicm/gal)*(day/yr))</f>
        <v>0.12209329695229656</v>
      </c>
      <c r="T332">
        <f>VLOOKUP(T327,'8. Uncertainty Results'!$A$79:$CM$90,2+$A$311,FALSE)*((cubicm/gal)*(day/yr))</f>
        <v>17.798350370741268</v>
      </c>
      <c r="U332">
        <f>VLOOKUP(T327,'8. Uncertainty Results'!$A$79:$CM$90,3+$A$311,FALSE)*((cubicm/gal)*(day/yr))</f>
        <v>18.572062135588187</v>
      </c>
      <c r="V332">
        <f>VLOOKUP(T327,'8. Uncertainty Results'!$A$79:$CM$90,4+$A$311,FALSE)*((cubicm/gal)*(day/yr))</f>
        <v>19.252577043988016</v>
      </c>
      <c r="W332">
        <f>VLOOKUP(W327,'8. Uncertainty Results'!$A$79:$CM$90,2+$A$311,FALSE)*((cubicm/gal)*(day/yr))</f>
        <v>27.139759510561653</v>
      </c>
      <c r="X332">
        <f>VLOOKUP(W327,'8. Uncertainty Results'!$A$79:$CM$90,3+$A$311,FALSE)*((cubicm/gal)*(day/yr))</f>
        <v>28.826024723087873</v>
      </c>
      <c r="Y332">
        <f>VLOOKUP(W327,'8. Uncertainty Results'!$A$79:$CM$90,4+$A$311,FALSE)*((cubicm/gal)*(day/yr))</f>
        <v>30.403960324330679</v>
      </c>
    </row>
    <row r="333" spans="1:25" x14ac:dyDescent="0.2">
      <c r="A333" t="s">
        <v>400</v>
      </c>
      <c r="B333">
        <f>VLOOKUP(B327,'8. Uncertainty Results'!$A$79:$CM$90,17+$A$311,FALSE)*((cubicm/gal)*(day/yr))</f>
        <v>29.716743787131726</v>
      </c>
      <c r="C333">
        <f>VLOOKUP(B327,'8. Uncertainty Results'!$A$79:$CM$90,18+$A$311+$A$311,FALSE)*((cubicm/gal)*(day/yr))</f>
        <v>0</v>
      </c>
      <c r="D333">
        <f>VLOOKUP(B327,'8. Uncertainty Results'!$A$79:$CM$90,19+$A$311,FALSE)*((cubicm/gal)*(day/yr))</f>
        <v>35.10873034209078</v>
      </c>
      <c r="E333">
        <f>VLOOKUP(E327,'8. Uncertainty Results'!$A$79:$CM$90,17+$A$311,FALSE)*((cubicm/gal)*(day/yr))</f>
        <v>4.0569782594692052</v>
      </c>
      <c r="F333">
        <f>VLOOKUP(E327,'8. Uncertainty Results'!$A$79:$CM$90,18+$A$311,FALSE)*((cubicm/gal)*(day/yr))</f>
        <v>4.2278479102326925</v>
      </c>
      <c r="G333">
        <f>VLOOKUP(E327,'8. Uncertainty Results'!$A$79:$CM$90,19+$A$311,FALSE)*((cubicm/gal)*(day/yr))</f>
        <v>4.4220424153391038</v>
      </c>
      <c r="H333">
        <f>VLOOKUP(H327,'8. Uncertainty Results'!$A$79:$CM$90,17+$A$311,FALSE)*((cubicm/gal)*(day/yr))</f>
        <v>54.653089272491513</v>
      </c>
      <c r="I333">
        <f>VLOOKUP(H327,'8. Uncertainty Results'!$A$79:$CM$90,18+$A$311,FALSE)*((cubicm/gal)*(day/yr))</f>
        <v>60.701530439018228</v>
      </c>
      <c r="J333">
        <f>VLOOKUP(H327,'8. Uncertainty Results'!$A$79:$CM$90,19+$A$311,FALSE)*((cubicm/gal)*(day/yr))</f>
        <v>67.287921530365139</v>
      </c>
      <c r="K333">
        <f>VLOOKUP(K327,'8. Uncertainty Results'!$A$79:$CM$90,17+$A$311,FALSE)*((cubicm/gal)*(day/yr))</f>
        <v>7.660617940810452</v>
      </c>
      <c r="L333">
        <f>VLOOKUP(K327,'8. Uncertainty Results'!$A$79:$CM$90,18+$A$311,FALSE)*((cubicm/gal)*(day/yr))</f>
        <v>8.4501490994561159</v>
      </c>
      <c r="M333">
        <f>VLOOKUP(K327,'8. Uncertainty Results'!$A$79:$CM$90,19+$A$311,FALSE)*((cubicm/gal)*(day/yr))</f>
        <v>9.281726145438336</v>
      </c>
      <c r="N333">
        <f>VLOOKUP(N327,'8. Uncertainty Results'!$A$79:$CM$90,17+$A$311,FALSE)*((cubicm/gal)*(day/yr))</f>
        <v>5.3296772298446022</v>
      </c>
      <c r="O333">
        <f>VLOOKUP(N327,'8. Uncertainty Results'!$A$79:$CM$90,18+$A$311,FALSE)*((cubicm/gal)*(day/yr))</f>
        <v>5.8653550703370003</v>
      </c>
      <c r="P333">
        <f>VLOOKUP(N327,'8. Uncertainty Results'!$A$79:$CM$90,19+$A$311,FALSE)*((cubicm/gal)*(day/yr))</f>
        <v>6.4244489184539146</v>
      </c>
      <c r="Q333">
        <f>VLOOKUP(Q327,'8. Uncertainty Results'!$A$79:$CM$90,17+$A$311,FALSE)*((cubicm/gal)*(day/yr))</f>
        <v>7.6464321929414147</v>
      </c>
      <c r="R333">
        <f>VLOOKUP(Q327,'8. Uncertainty Results'!$A$79:$CM$90,18+$A$311,FALSE)*((cubicm/gal)*(day/yr))</f>
        <v>8.4517356731534203</v>
      </c>
      <c r="S333">
        <f>VLOOKUP(Q327,'8. Uncertainty Results'!$A$79:$CM$90,19+$A$311,FALSE)*((cubicm/gal)*(day/yr))</f>
        <v>9.2763778149062333</v>
      </c>
      <c r="T333">
        <f>VLOOKUP(T327,'8. Uncertainty Results'!$A$79:$CM$90,17+$A$311,FALSE)*((cubicm/gal)*(day/yr))</f>
        <v>1.106396045946936</v>
      </c>
      <c r="U333">
        <f>VLOOKUP(T327,'8. Uncertainty Results'!$A$79:$CM$90,18+$A$311,FALSE)*((cubicm/gal)*(day/yr))</f>
        <v>1.2164054245979476</v>
      </c>
      <c r="V333">
        <f>VLOOKUP(T327,'8. Uncertainty Results'!$A$79:$CM$90,19+$A$311,FALSE)*((cubicm/gal)*(day/yr))</f>
        <v>1.3100042114342483</v>
      </c>
      <c r="W333">
        <f>VLOOKUP(W327,'8. Uncertainty Results'!$A$79:$CM$90,17+$A$311,FALSE)*((cubicm/gal)*(day/yr))</f>
        <v>54.740850568300019</v>
      </c>
      <c r="X333">
        <f>VLOOKUP(W327,'8. Uncertainty Results'!$A$79:$CM$90,18+$A$311,FALSE)*((cubicm/gal)*(day/yr))</f>
        <v>60.65124461736665</v>
      </c>
      <c r="Y333">
        <f>VLOOKUP(W327,'8. Uncertainty Results'!$A$79:$CM$90,19+$A$311,FALSE)*((cubicm/gal)*(day/yr))</f>
        <v>67.271617825195094</v>
      </c>
    </row>
    <row r="334" spans="1:25" x14ac:dyDescent="0.2">
      <c r="A334" t="s">
        <v>401</v>
      </c>
      <c r="B334">
        <f>VLOOKUP(B327,'8. Uncertainty Results'!$A$79:$CM$90,32+$A$311,FALSE)*((cubicm/gal)*(day/yr))</f>
        <v>0</v>
      </c>
      <c r="C334">
        <f>VLOOKUP(B327,'8. Uncertainty Results'!$A$79:$CM$90,33+$A$311,FALSE)*((cubicm/gal)*(day/yr))</f>
        <v>0</v>
      </c>
      <c r="D334">
        <f>VLOOKUP(B327,'8. Uncertainty Results'!$A$79:$CM$90,34+$A$311,FALSE)*((cubicm/gal)*(day/yr))</f>
        <v>0</v>
      </c>
      <c r="E334">
        <f>VLOOKUP(E327,'8. Uncertainty Results'!$A$79:$CM$90,32+$A$311,FALSE)*((cubicm/gal)*(day/yr))</f>
        <v>0</v>
      </c>
      <c r="F334">
        <f>VLOOKUP(E327,'8. Uncertainty Results'!$A$79:$CM$90,33+$A$311,FALSE)*((cubicm/gal)*(day/yr))</f>
        <v>0</v>
      </c>
      <c r="G334">
        <f>VLOOKUP(E327,'8. Uncertainty Results'!$A$79:$CM$90,34+$A$311,FALSE)*((cubicm/gal)*(day/yr))</f>
        <v>0</v>
      </c>
      <c r="H334">
        <f>VLOOKUP(H327,'8. Uncertainty Results'!$A$79:$CM$90,32+$A$311,FALSE)*((cubicm/gal)*(day/yr))</f>
        <v>0</v>
      </c>
      <c r="I334">
        <f>VLOOKUP(H327,'8. Uncertainty Results'!$A$79:$CM$90,33+$A$311,FALSE)*((cubicm/gal)*(day/yr))</f>
        <v>0</v>
      </c>
      <c r="J334">
        <f>VLOOKUP(H327,'8. Uncertainty Results'!$A$79:$CM$90,34+$A$311,FALSE)*((cubicm/gal)*(day/yr))</f>
        <v>0</v>
      </c>
      <c r="K334">
        <f>VLOOKUP(K327,'8. Uncertainty Results'!$A$79:$CM$90,32+$A$311,FALSE)*((cubicm/gal)*(day/yr))</f>
        <v>0</v>
      </c>
      <c r="L334">
        <f>VLOOKUP(K327,'8. Uncertainty Results'!$A$79:$CM$90,33+$A$311,FALSE)*((cubicm/gal)*(day/yr))</f>
        <v>0</v>
      </c>
      <c r="M334">
        <f>VLOOKUP(K327,'8. Uncertainty Results'!$A$79:$CM$90,34+$A$311,FALSE)*((cubicm/gal)*(day/yr))</f>
        <v>0</v>
      </c>
      <c r="N334">
        <f>VLOOKUP(N327,'8. Uncertainty Results'!$A$79:$CM$90,32+$A$311,FALSE)*((cubicm/gal)*(day/yr))</f>
        <v>0</v>
      </c>
      <c r="O334">
        <f>VLOOKUP(N327,'8. Uncertainty Results'!$A$79:$CM$90,33+$A$311,FALSE)*((cubicm/gal)*(day/yr))</f>
        <v>0</v>
      </c>
      <c r="P334">
        <f>VLOOKUP(N327,'8. Uncertainty Results'!$A$79:$CM$90,34+$A$311,FALSE)*((cubicm/gal)*(day/yr))</f>
        <v>0</v>
      </c>
      <c r="Q334">
        <f>VLOOKUP(Q327,'8. Uncertainty Results'!$A$79:$CM$90,32+$A$311,FALSE)*((cubicm/gal)*(day/yr))</f>
        <v>0</v>
      </c>
      <c r="R334">
        <f>VLOOKUP(Q327,'8. Uncertainty Results'!$A$79:$CM$90,33+$A$311,FALSE)*((cubicm/gal)*(day/yr))</f>
        <v>0</v>
      </c>
      <c r="S334">
        <f>VLOOKUP(Q327,'8. Uncertainty Results'!$A$79:$CM$90,34+$A$311,FALSE)*((cubicm/gal)*(day/yr))</f>
        <v>0</v>
      </c>
      <c r="T334">
        <f>VLOOKUP(T327,'8. Uncertainty Results'!$A$79:$CM$90,32+$A$311,FALSE)*((cubicm/gal)*(day/yr))</f>
        <v>0</v>
      </c>
      <c r="U334">
        <f>VLOOKUP(T327,'8. Uncertainty Results'!$A$79:$CM$90,33+$A$311,FALSE)*((cubicm/gal)*(day/yr))</f>
        <v>0</v>
      </c>
      <c r="V334">
        <f>VLOOKUP(T327,'8. Uncertainty Results'!$A$79:$CM$90,34+$A$311,FALSE)*((cubicm/gal)*(day/yr))</f>
        <v>0</v>
      </c>
      <c r="W334">
        <f>VLOOKUP(W327,'8. Uncertainty Results'!$A$79:$CM$90,32+$A$311,FALSE)*((cubicm/gal)*(day/yr))</f>
        <v>0</v>
      </c>
      <c r="X334">
        <f>VLOOKUP(W327,'8. Uncertainty Results'!$A$79:$CM$90,33+$A$311,FALSE)*((cubicm/gal)*(day/yr))</f>
        <v>0</v>
      </c>
      <c r="Y334">
        <f>VLOOKUP(W327,'8. Uncertainty Results'!$A$79:$CM$90,34+$A$311,FALSE)*((cubicm/gal)*(day/yr))</f>
        <v>0</v>
      </c>
    </row>
    <row r="335" spans="1:25" x14ac:dyDescent="0.2">
      <c r="A335" t="s">
        <v>402</v>
      </c>
      <c r="B335">
        <f>VLOOKUP(B327,'8. Uncertainty Results'!$A$79:$CM$91,47+$A$311,FALSE)*((cubicm/gal)*(day/yr))</f>
        <v>963.36334857040572</v>
      </c>
      <c r="C335">
        <f>VLOOKUP(B327,'8. Uncertainty Results'!$A$79:$CM$91,48+$A$311,FALSE)*((cubicm/gal)*(day/yr))</f>
        <v>2105.9499206701998</v>
      </c>
      <c r="D335">
        <f>VLOOKUP(B327,'8. Uncertainty Results'!$A$79:$CM$91,49+$A$311,FALSE)*((cubicm/gal)*(day/yr))</f>
        <v>3680.7350785861854</v>
      </c>
      <c r="E335">
        <f>VLOOKUP(E327,'8. Uncertainty Results'!$A$79:$CM$90,47+$A$311,FALSE)*((cubicm/gal)*(day/yr))</f>
        <v>372.42186087726481</v>
      </c>
      <c r="F335">
        <f>VLOOKUP(E327,'8. Uncertainty Results'!$A$79:$CM$90,48+$A$311,FALSE)*((cubicm/gal)*(day/yr))</f>
        <v>505.83282000252979</v>
      </c>
      <c r="G335">
        <f>VLOOKUP(E327,'8. Uncertainty Results'!$A$79:$CM$90,49+$A$311,FALSE)*((cubicm/gal)*(day/yr))</f>
        <v>660.96136509633016</v>
      </c>
      <c r="H335">
        <f>VLOOKUP(H327,'8. Uncertainty Results'!$A$79:$CM$90,47+$A$311,FALSE)*((cubicm/gal)*(day/yr))</f>
        <v>21.849614448820542</v>
      </c>
      <c r="I335">
        <f>VLOOKUP(H327,'8. Uncertainty Results'!$A$79:$CM$90,48+$A$311,FALSE)*((cubicm/gal)*(day/yr))</f>
        <v>39.177942718722015</v>
      </c>
      <c r="J335">
        <f>VLOOKUP(H327,'8. Uncertainty Results'!$A$79:$CM$90,49+$A$311,FALSE)*((cubicm/gal)*(day/yr))</f>
        <v>60.908743430992963</v>
      </c>
      <c r="K335">
        <f>VLOOKUP(K327,'8. Uncertainty Results'!$A$79:$CM$90,47+$A$311,FALSE)*((cubicm/gal)*(day/yr))</f>
        <v>17.702838420713178</v>
      </c>
      <c r="L335">
        <f>VLOOKUP(K327,'8. Uncertainty Results'!$A$79:$CM$90,48+$A$311,FALSE)*((cubicm/gal)*(day/yr))</f>
        <v>35.291249345418848</v>
      </c>
      <c r="M335">
        <f>VLOOKUP(K327,'8. Uncertainty Results'!$A$79:$CM$90,49+$A$311,FALSE)*((cubicm/gal)*(day/yr))</f>
        <v>61.594824240607586</v>
      </c>
      <c r="N335">
        <f>VLOOKUP(N327,'8. Uncertainty Results'!$A$79:$CM$90,47+$A$311,FALSE)*((cubicm/gal)*(day/yr))</f>
        <v>12.735175571238171</v>
      </c>
      <c r="O335">
        <f>VLOOKUP(N327,'8. Uncertainty Results'!$A$79:$CM$90,48+$A$311,FALSE)*((cubicm/gal)*(day/yr))</f>
        <v>25.913214738203614</v>
      </c>
      <c r="P335">
        <f>VLOOKUP(N327,'8. Uncertainty Results'!$A$79:$CM$90,49+$A$311,FALSE)*((cubicm/gal)*(day/yr))</f>
        <v>44.526375978493931</v>
      </c>
      <c r="Q335">
        <f>VLOOKUP(Q327,'8. Uncertainty Results'!$A$79:$CM$90,47+$A$311,FALSE)*((cubicm/gal)*(day/yr))</f>
        <v>17.443112035156012</v>
      </c>
      <c r="R335">
        <f>VLOOKUP(Q327,'8. Uncertainty Results'!$A$79:$CM$90,48+$A$311,FALSE)*((cubicm/gal)*(day/yr))</f>
        <v>35.398703148592269</v>
      </c>
      <c r="S335">
        <f>VLOOKUP(Q327,'8. Uncertainty Results'!$A$79:$CM$90,49+$A$311,FALSE)*((cubicm/gal)*(day/yr))</f>
        <v>61.14191466044791</v>
      </c>
      <c r="T335">
        <f>VLOOKUP(T327,'8. Uncertainty Results'!$A$79:$CM$90,47+$A$311,FALSE)*((cubicm/gal)*(day/yr))</f>
        <v>12.086573969360318</v>
      </c>
      <c r="U335">
        <f>VLOOKUP(T327,'8. Uncertainty Results'!$A$79:$CM$90,48+$A$311,FALSE)*((cubicm/gal)*(day/yr))</f>
        <v>23.654972481010986</v>
      </c>
      <c r="V335">
        <f>VLOOKUP(T327,'8. Uncertainty Results'!$A$79:$CM$90,49+$A$311,FALSE)*((cubicm/gal)*(day/yr))</f>
        <v>41.308870455008318</v>
      </c>
      <c r="W335">
        <f>VLOOKUP(W327,'8. Uncertainty Results'!$A$79:$CM$90,47+$A$311,FALSE)*((cubicm/gal)*(day/yr))</f>
        <v>21.428049148943</v>
      </c>
      <c r="X335">
        <f>VLOOKUP(W327,'8. Uncertainty Results'!$A$79:$CM$90,48+$A$311,FALSE)*((cubicm/gal)*(day/yr))</f>
        <v>38.48028769199167</v>
      </c>
      <c r="Y335">
        <f>VLOOKUP(W327,'8. Uncertainty Results'!$A$79:$CM$90,49+$A$311,FALSE)*((cubicm/gal)*(day/yr))</f>
        <v>60.551493304108369</v>
      </c>
    </row>
    <row r="336" spans="1:25" x14ac:dyDescent="0.2">
      <c r="A336" t="s">
        <v>403</v>
      </c>
      <c r="B336">
        <f>VLOOKUP(B327,'8. Uncertainty Results'!$A$79:$CM$90,62+$A$311,FALSE)*((cubicm/gal)*(day/yr))</f>
        <v>5.0216374707994653</v>
      </c>
      <c r="C336">
        <f>VLOOKUP(B327,'8. Uncertainty Results'!$A$79:$CM$90,63+$A$311,FALSE)*((cubicm/gal)*(day/yr))</f>
        <v>5.0312190046352416</v>
      </c>
      <c r="D336">
        <f>VLOOKUP(B327,'8. Uncertainty Results'!$A$79:$CM$90,64+$A$311,FALSE)*((cubicm/gal)*(day/yr))</f>
        <v>5.0390842261287903</v>
      </c>
      <c r="E336">
        <f>VLOOKUP(E327,'8. Uncertainty Results'!$A$79:$CM$90,62+$A$311,FALSE)*((cubicm/gal)*(day/yr))</f>
        <v>1.0729297217131419</v>
      </c>
      <c r="F336">
        <f>VLOOKUP(E327,'8. Uncertainty Results'!$A$79:$CM$90,63+$A$311,FALSE)*((cubicm/gal)*(day/yr))</f>
        <v>1.0845016777858478</v>
      </c>
      <c r="G336">
        <f>VLOOKUP(E327,'8. Uncertainty Results'!$A$79:$CM$90,64+$A$311,FALSE)*((cubicm/gal)*(day/yr))</f>
        <v>1.0957987175379473</v>
      </c>
      <c r="H336">
        <f>VLOOKUP(H327,'8. Uncertainty Results'!$A$79:$CM$90,62+$A$311,FALSE)*((cubicm/gal)*(day/yr))</f>
        <v>0.50315226923284251</v>
      </c>
      <c r="I336">
        <f>VLOOKUP(H327,'8. Uncertainty Results'!$A$79:$CM$90,63+$A$311,FALSE)*((cubicm/gal)*(day/yr))</f>
        <v>0.51418457472240364</v>
      </c>
      <c r="J336">
        <f>VLOOKUP(H327,'8. Uncertainty Results'!$A$79:$CM$90,64+$A$311,FALSE)*((cubicm/gal)*(day/yr))</f>
        <v>0.52412242426743239</v>
      </c>
      <c r="K336">
        <f>VLOOKUP(K327,'8. Uncertainty Results'!$A$79:$CM$90,62+$A$311,FALSE)*((cubicm/gal)*(day/yr))</f>
        <v>0.27957846228916755</v>
      </c>
      <c r="L336">
        <f>VLOOKUP(K327,'8. Uncertainty Results'!$A$79:$CM$90,63+$A$311,FALSE)*((cubicm/gal)*(day/yr))</f>
        <v>0.28537724475229082</v>
      </c>
      <c r="M336">
        <f>VLOOKUP(K327,'8. Uncertainty Results'!$A$79:$CM$90,64+$A$311,FALSE)*((cubicm/gal)*(day/yr))</f>
        <v>0.29102140099294205</v>
      </c>
      <c r="N336">
        <f>VLOOKUP(N327,'8. Uncertainty Results'!$A$79:$CM$90,62+$A$311,FALSE)*((cubicm/gal)*(day/yr))</f>
        <v>0.19695888778011009</v>
      </c>
      <c r="O336">
        <f>VLOOKUP(N327,'8. Uncertainty Results'!$A$79:$CM$90,63+$A$311,FALSE)*((cubicm/gal)*(day/yr))</f>
        <v>0.20112488006789883</v>
      </c>
      <c r="P336">
        <f>VLOOKUP(N327,'8. Uncertainty Results'!$A$79:$CM$90,64+$A$311,FALSE)*((cubicm/gal)*(day/yr))</f>
        <v>0.20505775629864709</v>
      </c>
      <c r="Q336">
        <f>VLOOKUP(Q327,'8. Uncertainty Results'!$A$79:$CM$90,62+$A$311,FALSE)*((cubicm/gal)*(day/yr))</f>
        <v>0.27951016044167204</v>
      </c>
      <c r="R336">
        <f>VLOOKUP(Q327,'8. Uncertainty Results'!$A$79:$CM$90,63+$A$311,FALSE)*((cubicm/gal)*(day/yr))</f>
        <v>0.28540347392977411</v>
      </c>
      <c r="S336">
        <f>VLOOKUP(Q327,'8. Uncertainty Results'!$A$79:$CM$90,64+$A$311,FALSE)*((cubicm/gal)*(day/yr))</f>
        <v>0.29090618576336275</v>
      </c>
      <c r="T336">
        <f>VLOOKUP(T327,'8. Uncertainty Results'!$A$79:$CM$90,62+$A$311,FALSE)*((cubicm/gal)*(day/yr))</f>
        <v>0.1014821810962046</v>
      </c>
      <c r="U336">
        <f>VLOOKUP(T327,'8. Uncertainty Results'!$A$79:$CM$90,63+$A$311,FALSE)*((cubicm/gal)*(day/yr))</f>
        <v>0.10194435288347611</v>
      </c>
      <c r="V336">
        <f>VLOOKUP(T327,'8. Uncertainty Results'!$A$79:$CM$90,64+$A$311,FALSE)*((cubicm/gal)*(day/yr))</f>
        <v>0.10237129436644019</v>
      </c>
      <c r="W336">
        <f>VLOOKUP(W327,'8. Uncertainty Results'!$A$79:$CM$90,62+$A$311,FALSE)*((cubicm/gal)*(day/yr))</f>
        <v>0.50294836686548916</v>
      </c>
      <c r="X336">
        <f>VLOOKUP(W327,'8. Uncertainty Results'!$A$79:$CM$90,63+$A$311,FALSE)*((cubicm/gal)*(day/yr))</f>
        <v>0.51397265374551471</v>
      </c>
      <c r="Y336">
        <f>VLOOKUP(W327,'8. Uncertainty Results'!$A$79:$CM$90,64+$A$311,FALSE)*((cubicm/gal)*(day/yr))</f>
        <v>0.5240388922579694</v>
      </c>
    </row>
    <row r="337" spans="1:25" x14ac:dyDescent="0.2">
      <c r="A337" t="s">
        <v>439</v>
      </c>
      <c r="B337">
        <f>VLOOKUP(B327,'8. Uncertainty Results'!$A$79:$CM$90,77+$A$311,FALSE)*((cubicm/gal)*(day/yr))</f>
        <v>0</v>
      </c>
      <c r="C337">
        <f>VLOOKUP(B327,'8. Uncertainty Results'!$A$79:$CM$90,78+$A$311,FALSE)*((cubicm/gal)*(day/yr))</f>
        <v>0</v>
      </c>
      <c r="D337">
        <f>VLOOKUP(B327,'8. Uncertainty Results'!$A$79:$CM$90,79+$A$311,FALSE)*((cubicm/gal)*(day/yr))</f>
        <v>0</v>
      </c>
      <c r="E337">
        <f>VLOOKUP(E327,'8. Uncertainty Results'!$A$79:$CM$90,77+$A$311,FALSE)*((cubicm/gal)*(day/yr))</f>
        <v>1.0876716720060069</v>
      </c>
      <c r="F337">
        <f>VLOOKUP(E327,'8. Uncertainty Results'!$A$79:$CM$90,78+$A$311,FALSE)*((cubicm/gal)*(day/yr))</f>
        <v>1.2081882208158046</v>
      </c>
      <c r="G337">
        <f>VLOOKUP(E327,'8. Uncertainty Results'!$A$79:$CM$90,79+$A$311,FALSE)*((cubicm/gal)*(day/yr))</f>
        <v>1.3314006070272497</v>
      </c>
      <c r="H337">
        <f>VLOOKUP(H327,'8. Uncertainty Results'!$A$79:$CM$90,77+$A$311,FALSE)*((cubicm/gal)*(day/yr))</f>
        <v>2.2293261415036354</v>
      </c>
      <c r="I337">
        <f>VLOOKUP(H327,'8. Uncertainty Results'!$A$79:$CM$90,78+$A$311,FALSE)*((cubicm/gal)*(day/yr))</f>
        <v>2.5370672061736532</v>
      </c>
      <c r="J337">
        <f>VLOOKUP(H327,'8. Uncertainty Results'!$A$79:$CM$90,79+$A$311,FALSE)*((cubicm/gal)*(day/yr))</f>
        <v>2.9012325207818606</v>
      </c>
      <c r="K337">
        <f>VLOOKUP(K327,'8. Uncertainty Results'!$A$79:$CM$90,77+$A$311,FALSE)*((cubicm/gal)*(day/yr))</f>
        <v>0</v>
      </c>
      <c r="L337">
        <f>VLOOKUP(K327,'8. Uncertainty Results'!$A$79:$CM$90,78+$A$311,FALSE)*((cubicm/gal)*(day/yr))</f>
        <v>0</v>
      </c>
      <c r="M337">
        <f>VLOOKUP(K327,'8. Uncertainty Results'!$A$79:$CM$90,79+$A$311,FALSE)*((cubicm/gal)*(day/yr))</f>
        <v>0</v>
      </c>
      <c r="N337">
        <f>VLOOKUP(N327,'8. Uncertainty Results'!$A$79:$CM$90,77+$A$311,FALSE)*((cubicm/gal)*(day/yr))</f>
        <v>0</v>
      </c>
      <c r="O337">
        <f>VLOOKUP(N327,'8. Uncertainty Results'!$A$79:$CM$90,78+$A$311,FALSE)*((cubicm/gal)*(day/yr))</f>
        <v>0</v>
      </c>
      <c r="P337">
        <f>VLOOKUP(N327,'8. Uncertainty Results'!$A$79:$CM$90,79+$A$311,FALSE)*((cubicm/gal)*(day/yr))</f>
        <v>0</v>
      </c>
      <c r="Q337">
        <f>VLOOKUP(Q327,'8. Uncertainty Results'!$A$79:$CM$90,77+$A$311,FALSE)*((cubicm/gal)*(day/yr))</f>
        <v>0</v>
      </c>
      <c r="R337">
        <f>VLOOKUP(Q327,'8. Uncertainty Results'!$A$79:$CM$90,78+$A$311,FALSE)*((cubicm/gal)*(day/yr))</f>
        <v>0</v>
      </c>
      <c r="S337">
        <f>VLOOKUP(Q327,'8. Uncertainty Results'!$A$79:$CM$90,79+$A$311,FALSE)*((cubicm/gal)*(day/yr))</f>
        <v>0</v>
      </c>
      <c r="T337">
        <f>VLOOKUP(T327,'8. Uncertainty Results'!$A$79:$CM$90,77+$A$311,FALSE)*((cubicm/gal)*(day/yr))</f>
        <v>0</v>
      </c>
      <c r="U337">
        <f>VLOOKUP(T327,'8. Uncertainty Results'!$A$79:$CM$90,78+$A$311,FALSE)*((cubicm/gal)*(day/yr))</f>
        <v>0</v>
      </c>
      <c r="V337">
        <f>VLOOKUP(T327,'8. Uncertainty Results'!$A$79:$CM$90,79+$A$311,FALSE)*((cubicm/gal)*(day/yr))</f>
        <v>0</v>
      </c>
      <c r="W337">
        <f>VLOOKUP(W327,'8. Uncertainty Results'!$A$79:$CM$90,77+$A$311,FALSE)*((cubicm/gal)*(day/yr))</f>
        <v>2.2276961315709061</v>
      </c>
      <c r="X337">
        <f>VLOOKUP(W327,'8. Uncertainty Results'!$A$79:$CM$90,78+$A$311,FALSE)*((cubicm/gal)*(day/yr))</f>
        <v>2.5313573977308206</v>
      </c>
      <c r="Y337">
        <f>VLOOKUP(W327,'8. Uncertainty Results'!$A$79:$CM$90,79+$A$311,FALSE)*((cubicm/gal)*(day/yr))</f>
        <v>2.8980871094003717</v>
      </c>
    </row>
    <row r="338" spans="1:25" x14ac:dyDescent="0.2">
      <c r="A338" t="s">
        <v>492</v>
      </c>
      <c r="B338">
        <f>VLOOKUP(B327,'8. Uncertainty Results'!$A$203:$D$215,2,FALSE)/1000000</f>
        <v>22.19928637592842</v>
      </c>
      <c r="C338">
        <f>VLOOKUP(B327,'8. Uncertainty Results'!$A$203:$D$215,3,FALSE)/1000000</f>
        <v>24.2754169819958</v>
      </c>
      <c r="D338">
        <f>VLOOKUP(B327,'8. Uncertainty Results'!$A$203:$D$215,4,FALSE)/1000000</f>
        <v>26.300815250844281</v>
      </c>
      <c r="E338">
        <f>VLOOKUP(E327,'8. Uncertainty Results'!$A$203:$D$215,2,FALSE)/1000000</f>
        <v>30.329777237026992</v>
      </c>
      <c r="F338">
        <f>VLOOKUP(E327,'8. Uncertainty Results'!$A$203:$D$215,3,FALSE)/1000000</f>
        <v>34.810209497471384</v>
      </c>
      <c r="G338">
        <f>VLOOKUP(E327,'8. Uncertainty Results'!$A$203:$D$215,4,FALSE)/1000000</f>
        <v>39.804593895523155</v>
      </c>
      <c r="H338">
        <f>VLOOKUP(H327,'8. Uncertainty Results'!$A$203:$D$215,2,FALSE)/1000000</f>
        <v>0.36684257135850085</v>
      </c>
      <c r="I338">
        <f>VLOOKUP(H327,'8. Uncertainty Results'!$A$203:$D$215,3,FALSE)/1000000</f>
        <v>1.9272387365708405</v>
      </c>
      <c r="J338">
        <f>VLOOKUP(H327,'8. Uncertainty Results'!$A$203:$D$215,4,FALSE)/1000000</f>
        <v>9.7366119085476832</v>
      </c>
      <c r="K338">
        <f>VLOOKUP(K327,'8. Uncertainty Results'!$A$203:$D$215,2,FALSE)/1000000</f>
        <v>28.572915147869598</v>
      </c>
      <c r="L338">
        <f>VLOOKUP(K327,'8. Uncertainty Results'!$A$203:$D$215,3,FALSE)/1000000</f>
        <v>36.784589510791825</v>
      </c>
      <c r="M338">
        <f>VLOOKUP(K327,'8. Uncertainty Results'!$A$203:$D$215,4,FALSE)/1000000</f>
        <v>63.986855731934547</v>
      </c>
      <c r="N338">
        <f>VLOOKUP(N327,'8. Uncertainty Results'!$A$203:$D$215,2,FALSE)/1000000</f>
        <v>12.60217290105447</v>
      </c>
      <c r="O338">
        <f>VLOOKUP(N327,'8. Uncertainty Results'!$A$203:$D$215,3,FALSE)/1000000</f>
        <v>19.226978004610444</v>
      </c>
      <c r="P338">
        <f>VLOOKUP(N327,'8. Uncertainty Results'!$A$203:$D$215,4,FALSE)/1000000</f>
        <v>49.036167912910365</v>
      </c>
      <c r="Q338">
        <f>VLOOKUP(Q327,'8. Uncertainty Results'!$A$203:$D$215,2,FALSE)/1000000</f>
        <v>4.9234855062215894</v>
      </c>
      <c r="R338">
        <f>VLOOKUP(Q327,'8. Uncertainty Results'!$A$203:$D$215,3,FALSE)/1000000</f>
        <v>5.37106142092306</v>
      </c>
      <c r="S338">
        <f>VLOOKUP(Q327,'8. Uncertainty Results'!$A$203:$D$215,4,FALSE)/1000000</f>
        <v>5.8389653933930203</v>
      </c>
      <c r="T338">
        <f>VLOOKUP(T327,'8. Uncertainty Results'!$A$203:$D$215,2,FALSE)/1000000</f>
        <v>3.9079818470785299</v>
      </c>
      <c r="U338">
        <f>VLOOKUP(T327,'8. Uncertainty Results'!$A$203:$D$215,3,FALSE)/1000000</f>
        <v>4.2843021047777894</v>
      </c>
      <c r="V338">
        <f>VLOOKUP(T327,'8. Uncertainty Results'!$A$203:$D$215,4,FALSE)/1000000</f>
        <v>4.6474321803099699</v>
      </c>
      <c r="W338">
        <f>VLOOKUP(W327,'8. Uncertainty Results'!$A$203:$D$215,2,FALSE)/1000000</f>
        <v>0.23425673678805656</v>
      </c>
      <c r="X338">
        <f>VLOOKUP(W327,'8. Uncertainty Results'!$A$203:$D$215,3,FALSE)/1000000</f>
        <v>1.1548930353673985</v>
      </c>
      <c r="Y338">
        <f>VLOOKUP(W327,'8. Uncertainty Results'!$A$203:$D$215,4,FALSE)/1000000</f>
        <v>5.5129749020288967</v>
      </c>
    </row>
    <row r="340" spans="1:25" x14ac:dyDescent="0.2">
      <c r="A340" t="s">
        <v>563</v>
      </c>
      <c r="B340" s="474">
        <f>B327</f>
        <v>18100204</v>
      </c>
      <c r="C340" s="474"/>
      <c r="D340" s="474"/>
      <c r="E340" s="474">
        <f t="shared" ref="E340:E341" si="167">E327</f>
        <v>16040201</v>
      </c>
      <c r="F340" s="474"/>
      <c r="G340" s="474"/>
      <c r="H340" s="474">
        <f t="shared" ref="H340:H341" si="168">H327</f>
        <v>15030202</v>
      </c>
      <c r="I340" s="474"/>
      <c r="J340" s="474"/>
      <c r="K340" s="474">
        <f t="shared" ref="K340:K341" si="169">K327</f>
        <v>16060011</v>
      </c>
      <c r="L340" s="474"/>
      <c r="M340" s="474"/>
      <c r="N340" s="474">
        <f t="shared" ref="N340:N341" si="170">N327</f>
        <v>16060003</v>
      </c>
      <c r="O340" s="474"/>
      <c r="P340" s="474"/>
      <c r="Q340" s="474">
        <f t="shared" ref="Q340:Q341" si="171">Q327</f>
        <v>16060013</v>
      </c>
      <c r="R340" s="474"/>
      <c r="S340" s="474"/>
      <c r="T340" s="474">
        <f t="shared" ref="T340:T341" si="172">T327</f>
        <v>16060010</v>
      </c>
      <c r="U340" s="474"/>
      <c r="V340" s="474"/>
      <c r="W340" s="474">
        <f t="shared" ref="W340:W341" si="173">W327</f>
        <v>15030201</v>
      </c>
      <c r="X340" s="474"/>
      <c r="Y340" s="474"/>
    </row>
    <row r="341" spans="1:25" x14ac:dyDescent="0.2">
      <c r="B341" s="474" t="str">
        <f>B328</f>
        <v>SS</v>
      </c>
      <c r="C341" s="474"/>
      <c r="D341" s="474"/>
      <c r="E341" s="474" t="str">
        <f t="shared" si="167"/>
        <v>UQ</v>
      </c>
      <c r="F341" s="474"/>
      <c r="G341" s="474"/>
      <c r="H341" s="474" t="str">
        <f t="shared" si="168"/>
        <v>BUR</v>
      </c>
      <c r="I341" s="474"/>
      <c r="J341" s="474"/>
      <c r="K341" s="474" t="str">
        <f t="shared" si="169"/>
        <v>RSCV</v>
      </c>
      <c r="L341" s="474"/>
      <c r="M341" s="474"/>
      <c r="N341" s="474" t="str">
        <f t="shared" si="170"/>
        <v>SBSV</v>
      </c>
      <c r="O341" s="474"/>
      <c r="P341" s="474"/>
      <c r="Q341" s="474" t="str">
        <f t="shared" si="171"/>
        <v>CSF</v>
      </c>
      <c r="R341" s="474"/>
      <c r="S341" s="474"/>
      <c r="T341" s="474" t="str">
        <f t="shared" si="172"/>
        <v>FLSSV</v>
      </c>
      <c r="U341" s="474"/>
      <c r="V341" s="474"/>
      <c r="W341" s="474" t="str">
        <f t="shared" si="173"/>
        <v>BS</v>
      </c>
      <c r="X341" s="474"/>
      <c r="Y341" s="474"/>
    </row>
    <row r="342" spans="1:25" x14ac:dyDescent="0.2">
      <c r="B342" t="s">
        <v>440</v>
      </c>
      <c r="C342" t="s">
        <v>441</v>
      </c>
      <c r="D342" t="s">
        <v>442</v>
      </c>
      <c r="E342" t="s">
        <v>440</v>
      </c>
      <c r="F342" t="s">
        <v>441</v>
      </c>
      <c r="G342" t="s">
        <v>442</v>
      </c>
      <c r="H342" t="s">
        <v>440</v>
      </c>
      <c r="I342" t="s">
        <v>441</v>
      </c>
      <c r="J342" t="s">
        <v>442</v>
      </c>
      <c r="K342" t="s">
        <v>440</v>
      </c>
      <c r="L342" t="s">
        <v>441</v>
      </c>
      <c r="M342" t="s">
        <v>442</v>
      </c>
      <c r="N342" t="s">
        <v>440</v>
      </c>
      <c r="O342" t="s">
        <v>441</v>
      </c>
      <c r="P342" t="s">
        <v>442</v>
      </c>
      <c r="Q342" t="s">
        <v>440</v>
      </c>
      <c r="R342" t="s">
        <v>441</v>
      </c>
      <c r="S342" t="s">
        <v>442</v>
      </c>
      <c r="T342" t="s">
        <v>440</v>
      </c>
      <c r="U342" t="s">
        <v>441</v>
      </c>
      <c r="V342" t="s">
        <v>442</v>
      </c>
      <c r="W342" t="s">
        <v>440</v>
      </c>
      <c r="X342" t="s">
        <v>441</v>
      </c>
      <c r="Y342" t="s">
        <v>442</v>
      </c>
    </row>
    <row r="343" spans="1:25" x14ac:dyDescent="0.2">
      <c r="A343" t="s">
        <v>436</v>
      </c>
      <c r="B343">
        <f>VLOOKUP(B340,'8. Uncertainty Results'!$B$345:$E$357,2,FALSE)*(cubicm/gal)*(day/yr)</f>
        <v>618.9713608837377</v>
      </c>
      <c r="C343">
        <f>B343</f>
        <v>618.9713608837377</v>
      </c>
      <c r="D343">
        <f>B343</f>
        <v>618.9713608837377</v>
      </c>
      <c r="E343">
        <f>VLOOKUP(E340,'8. Uncertainty Results'!$B$345:$E$357,2,FALSE)*(cubicm/gal)*(day/yr)</f>
        <v>104.71432153442625</v>
      </c>
      <c r="F343">
        <f>E343</f>
        <v>104.71432153442625</v>
      </c>
      <c r="G343">
        <f>E343</f>
        <v>104.71432153442625</v>
      </c>
      <c r="H343">
        <f>VLOOKUP(H340,'8. Uncertainty Results'!$B$345:$E$357,2,FALSE)*(cubicm/gal)*(day/yr)</f>
        <v>57.09257707415945</v>
      </c>
      <c r="I343">
        <f>H343</f>
        <v>57.09257707415945</v>
      </c>
      <c r="J343">
        <f>H343</f>
        <v>57.09257707415945</v>
      </c>
      <c r="K343">
        <f>VLOOKUP(K340,'8. Uncertainty Results'!$B$345:$E$357,2,FALSE)*(cubicm/gal)*(day/yr)</f>
        <v>60.493213342698439</v>
      </c>
      <c r="L343">
        <f>K343</f>
        <v>60.493213342698439</v>
      </c>
      <c r="M343">
        <f>K343</f>
        <v>60.493213342698439</v>
      </c>
      <c r="N343">
        <f>VLOOKUP(N340,'8. Uncertainty Results'!$B$345:$E$357,2,FALSE)*(cubicm/gal)*(day/yr)</f>
        <v>48.531278970669902</v>
      </c>
      <c r="O343">
        <f>N343</f>
        <v>48.531278970669902</v>
      </c>
      <c r="P343">
        <f>N343</f>
        <v>48.531278970669902</v>
      </c>
      <c r="Q343">
        <f>VLOOKUP(Q340,'8. Uncertainty Results'!$B$345:$E$357,2,FALSE)*(cubicm/gal)*(day/yr)</f>
        <v>45.174800514685394</v>
      </c>
      <c r="R343">
        <f>Q343</f>
        <v>45.174800514685394</v>
      </c>
      <c r="S343">
        <f>Q343</f>
        <v>45.174800514685394</v>
      </c>
      <c r="T343">
        <f>VLOOKUP(T340,'8. Uncertainty Results'!$B$345:$E$357,2,FALSE)*(cubicm/gal)*(day/yr)</f>
        <v>54.531022901124814</v>
      </c>
      <c r="U343">
        <f>T343</f>
        <v>54.531022901124814</v>
      </c>
      <c r="V343">
        <f>T343</f>
        <v>54.531022901124814</v>
      </c>
      <c r="W343">
        <f>VLOOKUP(W340,'8. Uncertainty Results'!$B$345:$E$357,2,FALSE)*(cubicm/gal)*(day/yr)</f>
        <v>108.75954578608642</v>
      </c>
      <c r="X343">
        <f>W343</f>
        <v>108.75954578608642</v>
      </c>
      <c r="Y343">
        <f>W343</f>
        <v>108.75954578608642</v>
      </c>
    </row>
    <row r="344" spans="1:25" x14ac:dyDescent="0.2">
      <c r="A344" t="s">
        <v>437</v>
      </c>
      <c r="B344">
        <f>VLOOKUP(B340,'8. Uncertainty Results'!$B$345:$E$357,4,FALSE)*(cubicm/gal)*(day/yr)</f>
        <v>622.52687222170437</v>
      </c>
      <c r="C344">
        <f>B344</f>
        <v>622.52687222170437</v>
      </c>
      <c r="D344">
        <f>B344</f>
        <v>622.52687222170437</v>
      </c>
      <c r="E344">
        <f>VLOOKUP(E340,'8. Uncertainty Results'!$B$345:$E$357,4,FALSE)*(cubicm/gal)*(day/yr)</f>
        <v>412.14939154559391</v>
      </c>
      <c r="F344">
        <f>E344</f>
        <v>412.14939154559391</v>
      </c>
      <c r="G344">
        <f>E344</f>
        <v>412.14939154559391</v>
      </c>
      <c r="H344">
        <f>VLOOKUP(H340,'8. Uncertainty Results'!$B$345:$E$357,4,FALSE)*(cubicm/gal)*(day/yr)</f>
        <v>201.45351464332091</v>
      </c>
      <c r="I344">
        <f>H344</f>
        <v>201.45351464332091</v>
      </c>
      <c r="J344">
        <f>H344</f>
        <v>201.45351464332091</v>
      </c>
      <c r="K344">
        <f>VLOOKUP(K340,'8. Uncertainty Results'!$B$345:$E$357,4,FALSE)*(cubicm/gal)*(day/yr)</f>
        <v>208.28563550916417</v>
      </c>
      <c r="L344">
        <f>K344</f>
        <v>208.28563550916417</v>
      </c>
      <c r="M344">
        <f>K344</f>
        <v>208.28563550916417</v>
      </c>
      <c r="N344">
        <f>VLOOKUP(N340,'8. Uncertainty Results'!$B$345:$E$357,4,FALSE)*(cubicm/gal)*(day/yr)</f>
        <v>269.64816823643315</v>
      </c>
      <c r="O344">
        <f>N344</f>
        <v>269.64816823643315</v>
      </c>
      <c r="P344">
        <f>N344</f>
        <v>269.64816823643315</v>
      </c>
      <c r="Q344">
        <f>VLOOKUP(Q340,'8. Uncertainty Results'!$B$345:$E$357,4,FALSE)*(cubicm/gal)*(day/yr)</f>
        <v>203.81281906641709</v>
      </c>
      <c r="R344">
        <f>Q344</f>
        <v>203.81281906641709</v>
      </c>
      <c r="S344">
        <f>Q344</f>
        <v>203.81281906641709</v>
      </c>
      <c r="T344">
        <f>VLOOKUP(T340,'8. Uncertainty Results'!$B$345:$E$357,4,FALSE)*(cubicm/gal)*(day/yr)</f>
        <v>151.32036690431366</v>
      </c>
      <c r="U344">
        <f>T344</f>
        <v>151.32036690431366</v>
      </c>
      <c r="V344">
        <f>T344</f>
        <v>151.32036690431366</v>
      </c>
      <c r="W344">
        <f>VLOOKUP(W340,'8. Uncertainty Results'!$B$345:$E$357,4,FALSE)*(cubicm/gal)*(day/yr)</f>
        <v>462.54532147581159</v>
      </c>
      <c r="X344">
        <f>W344</f>
        <v>462.54532147581159</v>
      </c>
      <c r="Y344">
        <f>W344</f>
        <v>462.54532147581159</v>
      </c>
    </row>
    <row r="345" spans="1:25" x14ac:dyDescent="0.2">
      <c r="A345" t="s">
        <v>438</v>
      </c>
      <c r="B345">
        <f>VLOOKUP(B340,'8. Uncertainty Results'!$A$79:$CM$90,2+$A$311,FALSE)*((cubicm/gal)*(day/yr))/B353</f>
        <v>16.457823117586621</v>
      </c>
      <c r="C345">
        <f>VLOOKUP(B340,'8. Uncertainty Results'!$A$79:$CM$90,3+$A$311,FALSE)*((cubicm/gal)*(day/yr))/C353</f>
        <v>10.983081675785058</v>
      </c>
      <c r="D345">
        <f>VLOOKUP(B340,'8. Uncertainty Results'!$A$79:$CM$90,4+$A$311,FALSE)*((cubicm/gal)*(day/yr))/D353</f>
        <v>7.9912204617592124</v>
      </c>
      <c r="E345">
        <f>VLOOKUP(E340,'8. Uncertainty Results'!$A$79:$CM$90,2+$A$311,FALSE)*((cubicm/gal)*(day/yr))</f>
        <v>0</v>
      </c>
      <c r="F345">
        <f>VLOOKUP(E340,'8. Uncertainty Results'!$A$79:$CM$90,3+$A$311,FALSE)*((cubicm/gal)*(day/yr))</f>
        <v>0</v>
      </c>
      <c r="G345">
        <f>VLOOKUP(E340,'8. Uncertainty Results'!$A$79:$CM$90,4+$A$311,FALSE)*((cubicm/gal)*(day/yr))</f>
        <v>0</v>
      </c>
      <c r="H345">
        <f>VLOOKUP(H340,'8. Uncertainty Results'!$A$79:$CM$90,2+$A$311,FALSE)*((cubicm/gal)*(day/yr))</f>
        <v>27.085524778202551</v>
      </c>
      <c r="I345">
        <f>VLOOKUP(H340,'8. Uncertainty Results'!$A$79:$CM$90,3+$A$311,FALSE)*((cubicm/gal)*(day/yr))</f>
        <v>28.816676404627149</v>
      </c>
      <c r="J345">
        <f>VLOOKUP(H340,'8. Uncertainty Results'!$A$79:$CM$90,4+$A$311,FALSE)*((cubicm/gal)*(day/yr))</f>
        <v>30.410269243782963</v>
      </c>
      <c r="K345">
        <f>VLOOKUP(K340,'8. Uncertainty Results'!$A$79:$CM$90,2+$A$311,FALSE)*((cubicm/gal)*(day/yr))</f>
        <v>0.10892356864243727</v>
      </c>
      <c r="L345">
        <f>VLOOKUP(K340,'8. Uncertainty Results'!$A$79:$CM$90,3+$A$311,FALSE)*((cubicm/gal)*(day/yr))</f>
        <v>0.11583964564133878</v>
      </c>
      <c r="M345">
        <f>VLOOKUP(K340,'8. Uncertainty Results'!$A$79:$CM$90,4+$A$311,FALSE)*((cubicm/gal)*(day/yr))</f>
        <v>0.12212957024933144</v>
      </c>
      <c r="N345">
        <f>VLOOKUP(N340,'8. Uncertainty Results'!$A$79:$CM$90,2+$A$311,FALSE)*((cubicm/gal)*(day/yr))</f>
        <v>7.2642822116849193E-2</v>
      </c>
      <c r="O345">
        <f>VLOOKUP(N340,'8. Uncertainty Results'!$A$79:$CM$90,3+$A$311,FALSE)*((cubicm/gal)*(day/yr))</f>
        <v>7.7229989481378228E-2</v>
      </c>
      <c r="P345">
        <f>VLOOKUP(N340,'8. Uncertainty Results'!$A$79:$CM$90,4+$A$311,FALSE)*((cubicm/gal)*(day/yr))</f>
        <v>8.1345935786920245E-2</v>
      </c>
      <c r="Q345">
        <f>VLOOKUP(Q340,'8. Uncertainty Results'!$A$79:$CM$90,2+$A$311,FALSE)*((cubicm/gal)*(day/yr))</f>
        <v>0.1088769064325249</v>
      </c>
      <c r="R345">
        <f>VLOOKUP(Q340,'8. Uncertainty Results'!$A$79:$CM$90,3+$A$311,FALSE)*((cubicm/gal)*(day/yr))</f>
        <v>0.11580273589819129</v>
      </c>
      <c r="S345">
        <f>VLOOKUP(Q340,'8. Uncertainty Results'!$A$79:$CM$90,4+$A$311,FALSE)*((cubicm/gal)*(day/yr))</f>
        <v>0.12209329695229656</v>
      </c>
      <c r="T345">
        <f>VLOOKUP(T340,'8. Uncertainty Results'!$A$79:$CM$90,2+$A$311,FALSE)*((cubicm/gal)*(day/yr))</f>
        <v>17.798350370741268</v>
      </c>
      <c r="U345">
        <f>VLOOKUP(T340,'8. Uncertainty Results'!$A$79:$CM$90,3+$A$311,FALSE)*((cubicm/gal)*(day/yr))</f>
        <v>18.572062135588187</v>
      </c>
      <c r="V345">
        <f>VLOOKUP(T340,'8. Uncertainty Results'!$A$79:$CM$90,4+$A$311,FALSE)*((cubicm/gal)*(day/yr))</f>
        <v>19.252577043988016</v>
      </c>
      <c r="W345">
        <f>VLOOKUP(W340,'8. Uncertainty Results'!$A$79:$CM$90,2+$A$311,FALSE)*((cubicm/gal)*(day/yr))</f>
        <v>27.139759510561653</v>
      </c>
      <c r="X345">
        <f>VLOOKUP(W340,'8. Uncertainty Results'!$A$79:$CM$90,3+$A$311,FALSE)*((cubicm/gal)*(day/yr))</f>
        <v>28.826024723087873</v>
      </c>
      <c r="Y345">
        <f>VLOOKUP(W340,'8. Uncertainty Results'!$A$79:$CM$90,4+$A$311,FALSE)*((cubicm/gal)*(day/yr))</f>
        <v>30.403960324330679</v>
      </c>
    </row>
    <row r="346" spans="1:25" x14ac:dyDescent="0.2">
      <c r="A346" t="s">
        <v>400</v>
      </c>
      <c r="B346">
        <f>VLOOKUP(B340,'8. Uncertainty Results'!$A$79:$CM$90,17+$A$311,FALSE)*((cubicm/gal)*(day/yr))</f>
        <v>29.716743787131726</v>
      </c>
      <c r="C346">
        <f>VLOOKUP(B340,'8. Uncertainty Results'!$A$79:$CM$90,18+$A$311,FALSE)*((cubicm/gal)*(day/yr))/C353</f>
        <v>18.695189195787826</v>
      </c>
      <c r="D346">
        <f>VLOOKUP(B340,'8. Uncertainty Results'!$A$79:$CM$90,19+$A$311,FALSE)*((cubicm/gal)*(day/yr))/D353</f>
        <v>14.124007154061658</v>
      </c>
      <c r="E346">
        <f>VLOOKUP(E340,'8. Uncertainty Results'!$A$79:$CM$90,17+$A$311,FALSE)*((cubicm/gal)*(day/yr))</f>
        <v>4.0569782594692052</v>
      </c>
      <c r="F346">
        <f>VLOOKUP(E340,'8. Uncertainty Results'!$A$79:$CM$90,18+$A$311,FALSE)*((cubicm/gal)*(day/yr))</f>
        <v>4.2278479102326925</v>
      </c>
      <c r="G346">
        <f>VLOOKUP(E340,'8. Uncertainty Results'!$A$79:$CM$90,19+$A$311,FALSE)*((cubicm/gal)*(day/yr))</f>
        <v>4.4220424153391038</v>
      </c>
      <c r="H346">
        <f>VLOOKUP(H340,'8. Uncertainty Results'!$A$79:$CM$90,17+$A$311,FALSE)*((cubicm/gal)*(day/yr))</f>
        <v>54.653089272491513</v>
      </c>
      <c r="I346">
        <f>VLOOKUP(H340,'8. Uncertainty Results'!$A$79:$CM$90,18+$A$311,FALSE)*((cubicm/gal)*(day/yr))</f>
        <v>60.701530439018228</v>
      </c>
      <c r="J346">
        <f>VLOOKUP(H340,'8. Uncertainty Results'!$A$79:$CM$90,19+$A$311,FALSE)*((cubicm/gal)*(day/yr))</f>
        <v>67.287921530365139</v>
      </c>
      <c r="K346">
        <f>VLOOKUP(K340,'8. Uncertainty Results'!$A$79:$CM$90,17+$A$311,FALSE)*((cubicm/gal)*(day/yr))</f>
        <v>7.660617940810452</v>
      </c>
      <c r="L346">
        <f>VLOOKUP(K340,'8. Uncertainty Results'!$A$79:$CM$90,18+$A$311,FALSE)*((cubicm/gal)*(day/yr))</f>
        <v>8.4501490994561159</v>
      </c>
      <c r="M346">
        <f>VLOOKUP(K340,'8. Uncertainty Results'!$A$79:$CM$90,19+$A$311,FALSE)*((cubicm/gal)*(day/yr))</f>
        <v>9.281726145438336</v>
      </c>
      <c r="N346">
        <f>VLOOKUP(N340,'8. Uncertainty Results'!$A$79:$CM$90,17+$A$311,FALSE)*((cubicm/gal)*(day/yr))</f>
        <v>5.3296772298446022</v>
      </c>
      <c r="O346">
        <f>VLOOKUP(N340,'8. Uncertainty Results'!$A$79:$CM$90,18+$A$311,FALSE)*((cubicm/gal)*(day/yr))</f>
        <v>5.8653550703370003</v>
      </c>
      <c r="P346">
        <f>VLOOKUP(N340,'8. Uncertainty Results'!$A$79:$CM$90,19+$A$311,FALSE)*((cubicm/gal)*(day/yr))</f>
        <v>6.4244489184539146</v>
      </c>
      <c r="Q346">
        <f>VLOOKUP(Q340,'8. Uncertainty Results'!$A$79:$CM$90,17+$A$311,FALSE)*((cubicm/gal)*(day/yr))</f>
        <v>7.6464321929414147</v>
      </c>
      <c r="R346">
        <f>VLOOKUP(Q340,'8. Uncertainty Results'!$A$79:$CM$90,18+$A$311,FALSE)*((cubicm/gal)*(day/yr))</f>
        <v>8.4517356731534203</v>
      </c>
      <c r="S346">
        <f>VLOOKUP(Q340,'8. Uncertainty Results'!$A$79:$CM$90,19+$A$311,FALSE)*((cubicm/gal)*(day/yr))</f>
        <v>9.2763778149062333</v>
      </c>
      <c r="T346">
        <f>VLOOKUP(T340,'8. Uncertainty Results'!$A$79:$CM$90,17+$A$311,FALSE)*((cubicm/gal)*(day/yr))</f>
        <v>1.106396045946936</v>
      </c>
      <c r="U346">
        <f>VLOOKUP(T340,'8. Uncertainty Results'!$A$79:$CM$90,18+$A$311,FALSE)*((cubicm/gal)*(day/yr))</f>
        <v>1.2164054245979476</v>
      </c>
      <c r="V346">
        <f>VLOOKUP(T340,'8. Uncertainty Results'!$A$79:$CM$90,19+$A$311,FALSE)*((cubicm/gal)*(day/yr))</f>
        <v>1.3100042114342483</v>
      </c>
      <c r="W346">
        <f>VLOOKUP(W340,'8. Uncertainty Results'!$A$79:$CM$90,17+$A$311,FALSE)*((cubicm/gal)*(day/yr))</f>
        <v>54.740850568300019</v>
      </c>
      <c r="X346">
        <f>VLOOKUP(W340,'8. Uncertainty Results'!$A$79:$CM$90,18+$A$311,FALSE)*((cubicm/gal)*(day/yr))</f>
        <v>60.65124461736665</v>
      </c>
      <c r="Y346">
        <f>VLOOKUP(W340,'8. Uncertainty Results'!$A$79:$CM$90,19+$A$311,FALSE)*((cubicm/gal)*(day/yr))</f>
        <v>67.271617825195094</v>
      </c>
    </row>
    <row r="347" spans="1:25" x14ac:dyDescent="0.2">
      <c r="A347" t="s">
        <v>401</v>
      </c>
      <c r="B347">
        <f>VLOOKUP(B340,'8. Uncertainty Results'!$A$79:$CM$90,32+$A$311,FALSE)*((cubicm/gal)*(day/yr))/B353</f>
        <v>0</v>
      </c>
      <c r="C347">
        <f>VLOOKUP(B340,'8. Uncertainty Results'!$A$79:$CM$90,33+$A$311,FALSE)*((cubicm/gal)*(day/yr))/C353</f>
        <v>0</v>
      </c>
      <c r="D347">
        <f>VLOOKUP(B340,'8. Uncertainty Results'!$A$79:$CM$90,34+$A$311,FALSE)*((cubicm/gal)*(day/yr))/D353</f>
        <v>0</v>
      </c>
      <c r="E347">
        <f>VLOOKUP(E340,'8. Uncertainty Results'!$A$79:$CM$90,32+$A$311,FALSE)*((cubicm/gal)*(day/yr))</f>
        <v>0</v>
      </c>
      <c r="F347">
        <f>VLOOKUP(E340,'8. Uncertainty Results'!$A$79:$CM$90,33+$A$311,FALSE)*((cubicm/gal)*(day/yr))</f>
        <v>0</v>
      </c>
      <c r="G347">
        <f>VLOOKUP(E340,'8. Uncertainty Results'!$A$79:$CM$90,34+$A$311,FALSE)*((cubicm/gal)*(day/yr))</f>
        <v>0</v>
      </c>
      <c r="H347">
        <f>VLOOKUP(H340,'8. Uncertainty Results'!$A$79:$CM$90,32+$A$311,FALSE)*((cubicm/gal)*(day/yr))</f>
        <v>0</v>
      </c>
      <c r="I347">
        <f>VLOOKUP(H340,'8. Uncertainty Results'!$A$79:$CM$90,33+$A$311,FALSE)*((cubicm/gal)*(day/yr))</f>
        <v>0</v>
      </c>
      <c r="J347">
        <f>VLOOKUP(H340,'8. Uncertainty Results'!$A$79:$CM$90,34+$A$311,FALSE)*((cubicm/gal)*(day/yr))</f>
        <v>0</v>
      </c>
      <c r="K347">
        <f>VLOOKUP(K340,'8. Uncertainty Results'!$A$79:$CM$90,32+$A$311,FALSE)*((cubicm/gal)*(day/yr))</f>
        <v>0</v>
      </c>
      <c r="L347">
        <f>VLOOKUP(K340,'8. Uncertainty Results'!$A$79:$CM$90,33+$A$311,FALSE)*((cubicm/gal)*(day/yr))</f>
        <v>0</v>
      </c>
      <c r="M347">
        <f>VLOOKUP(K340,'8. Uncertainty Results'!$A$79:$CM$90,34+$A$311,FALSE)*((cubicm/gal)*(day/yr))</f>
        <v>0</v>
      </c>
      <c r="N347">
        <f>VLOOKUP(N340,'8. Uncertainty Results'!$A$79:$CM$90,32+$A$311,FALSE)*((cubicm/gal)*(day/yr))</f>
        <v>0</v>
      </c>
      <c r="O347">
        <f>VLOOKUP(N340,'8. Uncertainty Results'!$A$79:$CM$90,33+$A$311,FALSE)*((cubicm/gal)*(day/yr))</f>
        <v>0</v>
      </c>
      <c r="P347">
        <f>VLOOKUP(N340,'8. Uncertainty Results'!$A$79:$CM$90,34+$A$311,FALSE)*((cubicm/gal)*(day/yr))</f>
        <v>0</v>
      </c>
      <c r="Q347">
        <f>VLOOKUP(Q340,'8. Uncertainty Results'!$A$79:$CM$90,32+$A$311,FALSE)*((cubicm/gal)*(day/yr))</f>
        <v>0</v>
      </c>
      <c r="R347">
        <f>VLOOKUP(Q340,'8. Uncertainty Results'!$A$79:$CM$90,33+$A$311,FALSE)*((cubicm/gal)*(day/yr))</f>
        <v>0</v>
      </c>
      <c r="S347">
        <f>VLOOKUP(Q340,'8. Uncertainty Results'!$A$79:$CM$90,34+$A$311,FALSE)*((cubicm/gal)*(day/yr))</f>
        <v>0</v>
      </c>
      <c r="T347">
        <f>VLOOKUP(T340,'8. Uncertainty Results'!$A$79:$CM$90,32+$A$311,FALSE)*((cubicm/gal)*(day/yr))</f>
        <v>0</v>
      </c>
      <c r="U347">
        <f>VLOOKUP(T340,'8. Uncertainty Results'!$A$79:$CM$90,33+$A$311,FALSE)*((cubicm/gal)*(day/yr))</f>
        <v>0</v>
      </c>
      <c r="V347">
        <f>VLOOKUP(T340,'8. Uncertainty Results'!$A$79:$CM$90,34+$A$311,FALSE)*((cubicm/gal)*(day/yr))</f>
        <v>0</v>
      </c>
      <c r="W347">
        <f>VLOOKUP(W340,'8. Uncertainty Results'!$A$79:$CM$90,32+$A$311,FALSE)*((cubicm/gal)*(day/yr))</f>
        <v>0</v>
      </c>
      <c r="X347">
        <f>VLOOKUP(W340,'8. Uncertainty Results'!$A$79:$CM$90,33+$A$311,FALSE)*((cubicm/gal)*(day/yr))</f>
        <v>0</v>
      </c>
      <c r="Y347">
        <f>VLOOKUP(W340,'8. Uncertainty Results'!$A$79:$CM$90,34+$A$311,FALSE)*((cubicm/gal)*(day/yr))</f>
        <v>0</v>
      </c>
    </row>
    <row r="348" spans="1:25" x14ac:dyDescent="0.2">
      <c r="A348" t="s">
        <v>402</v>
      </c>
      <c r="B348">
        <f>VLOOKUP(B340,'8. Uncertainty Results'!$A$79:$CM$91,47+$A$311,FALSE)*((cubicm/gal)*(day/yr))-100</f>
        <v>863.36334857040572</v>
      </c>
      <c r="C348">
        <f>VLOOKUP(B340,'8. Uncertainty Results'!$A$79:$CM$91,48+$A$311,FALSE)*((cubicm/gal)*(day/yr))-900</f>
        <v>1205.9499206701998</v>
      </c>
      <c r="D348">
        <f>VLOOKUP(B340,'8. Uncertainty Results'!$A$79:$CM$91,49+$A$311,FALSE)*((cubicm/gal)*(day/yr))-2200</f>
        <v>1480.7350785861854</v>
      </c>
      <c r="E348">
        <f>VLOOKUP(E340,'8. Uncertainty Results'!$A$79:$CM$90,47+$A$311,FALSE)*((cubicm/gal)*(day/yr))</f>
        <v>372.42186087726481</v>
      </c>
      <c r="F348">
        <f>VLOOKUP(E340,'8. Uncertainty Results'!$A$79:$CM$90,48+$A$311,FALSE)*((cubicm/gal)*(day/yr))</f>
        <v>505.83282000252979</v>
      </c>
      <c r="G348">
        <f>VLOOKUP(E340,'8. Uncertainty Results'!$A$79:$CM$90,49+$A$311,FALSE)*((cubicm/gal)*(day/yr))</f>
        <v>660.96136509633016</v>
      </c>
      <c r="H348">
        <f>VLOOKUP(H340,'8. Uncertainty Results'!$A$79:$CM$90,47+$A$311,FALSE)*((cubicm/gal)*(day/yr))</f>
        <v>21.849614448820542</v>
      </c>
      <c r="I348">
        <f>VLOOKUP(H340,'8. Uncertainty Results'!$A$79:$CM$90,48+$A$311,FALSE)*((cubicm/gal)*(day/yr))</f>
        <v>39.177942718722015</v>
      </c>
      <c r="J348">
        <f>VLOOKUP(H340,'8. Uncertainty Results'!$A$79:$CM$90,49+$A$311,FALSE)*((cubicm/gal)*(day/yr))</f>
        <v>60.908743430992963</v>
      </c>
      <c r="K348">
        <f>VLOOKUP(K340,'8. Uncertainty Results'!$A$79:$CM$90,47+$A$311,FALSE)*((cubicm/gal)*(day/yr))</f>
        <v>17.702838420713178</v>
      </c>
      <c r="L348">
        <f>VLOOKUP(K340,'8. Uncertainty Results'!$A$79:$CM$90,48+$A$311,FALSE)*((cubicm/gal)*(day/yr))</f>
        <v>35.291249345418848</v>
      </c>
      <c r="M348">
        <f>VLOOKUP(K340,'8. Uncertainty Results'!$A$79:$CM$90,49+$A$311,FALSE)*((cubicm/gal)*(day/yr))</f>
        <v>61.594824240607586</v>
      </c>
      <c r="N348">
        <f>VLOOKUP(N340,'8. Uncertainty Results'!$A$79:$CM$90,47+$A$311,FALSE)*((cubicm/gal)*(day/yr))</f>
        <v>12.735175571238171</v>
      </c>
      <c r="O348">
        <f>VLOOKUP(N340,'8. Uncertainty Results'!$A$79:$CM$90,48+$A$311,FALSE)*((cubicm/gal)*(day/yr))</f>
        <v>25.913214738203614</v>
      </c>
      <c r="P348">
        <f>VLOOKUP(N340,'8. Uncertainty Results'!$A$79:$CM$90,49+$A$311,FALSE)*((cubicm/gal)*(day/yr))</f>
        <v>44.526375978493931</v>
      </c>
      <c r="Q348">
        <f>VLOOKUP(Q340,'8. Uncertainty Results'!$A$79:$CM$90,47+$A$311,FALSE)*((cubicm/gal)*(day/yr))</f>
        <v>17.443112035156012</v>
      </c>
      <c r="R348">
        <f>VLOOKUP(Q340,'8. Uncertainty Results'!$A$79:$CM$90,48+$A$311,FALSE)*((cubicm/gal)*(day/yr))</f>
        <v>35.398703148592269</v>
      </c>
      <c r="S348">
        <f>VLOOKUP(Q340,'8. Uncertainty Results'!$A$79:$CM$90,49+$A$311,FALSE)*((cubicm/gal)*(day/yr))</f>
        <v>61.14191466044791</v>
      </c>
      <c r="T348">
        <f>VLOOKUP(T340,'8. Uncertainty Results'!$A$79:$CM$90,47+$A$311,FALSE)*((cubicm/gal)*(day/yr))</f>
        <v>12.086573969360318</v>
      </c>
      <c r="U348">
        <f>VLOOKUP(T340,'8. Uncertainty Results'!$A$79:$CM$90,48+$A$311,FALSE)*((cubicm/gal)*(day/yr))</f>
        <v>23.654972481010986</v>
      </c>
      <c r="V348">
        <f>VLOOKUP(T340,'8. Uncertainty Results'!$A$79:$CM$90,49+$A$311,FALSE)*((cubicm/gal)*(day/yr))</f>
        <v>41.308870455008318</v>
      </c>
      <c r="W348">
        <f>VLOOKUP(W340,'8. Uncertainty Results'!$A$79:$CM$90,47+$A$311,FALSE)*((cubicm/gal)*(day/yr))</f>
        <v>21.428049148943</v>
      </c>
      <c r="X348">
        <f>VLOOKUP(W340,'8. Uncertainty Results'!$A$79:$CM$90,48+$A$311,FALSE)*((cubicm/gal)*(day/yr))</f>
        <v>38.48028769199167</v>
      </c>
      <c r="Y348">
        <f>VLOOKUP(W340,'8. Uncertainty Results'!$A$79:$CM$90,49+$A$311,FALSE)*((cubicm/gal)*(day/yr))</f>
        <v>60.551493304108369</v>
      </c>
    </row>
    <row r="349" spans="1:25" x14ac:dyDescent="0.2">
      <c r="A349" t="s">
        <v>403</v>
      </c>
      <c r="B349">
        <f>VLOOKUP(B340,'8. Uncertainty Results'!$A$79:$CM$90,62+$A$311,FALSE)*((cubicm/gal)*(day/yr))/B353</f>
        <v>4.5003764659821881</v>
      </c>
      <c r="C349">
        <f>VLOOKUP(B340,'8. Uncertainty Results'!$A$79:$CM$90,63+$A$311,FALSE)*((cubicm/gal)*(day/yr))</f>
        <v>5.0312190046352416</v>
      </c>
      <c r="D349">
        <f>VLOOKUP(B340,'8. Uncertainty Results'!$A$79:$CM$90,64+$A$311,FALSE)*((cubicm/gal)*(day/yr))/D353</f>
        <v>2.0271898461231532</v>
      </c>
      <c r="E349">
        <f>VLOOKUP(E340,'8. Uncertainty Results'!$A$79:$CM$90,62+$A$311,FALSE)*((cubicm/gal)*(day/yr))</f>
        <v>1.0729297217131419</v>
      </c>
      <c r="F349">
        <f>VLOOKUP(E340,'8. Uncertainty Results'!$A$79:$CM$90,63+$A$311,FALSE)*((cubicm/gal)*(day/yr))</f>
        <v>1.0845016777858478</v>
      </c>
      <c r="G349">
        <f>VLOOKUP(E340,'8. Uncertainty Results'!$A$79:$CM$90,64+$A$311,FALSE)*((cubicm/gal)*(day/yr))</f>
        <v>1.0957987175379473</v>
      </c>
      <c r="H349">
        <f>VLOOKUP(H340,'8. Uncertainty Results'!$A$79:$CM$90,62+$A$311,FALSE)*((cubicm/gal)*(day/yr))</f>
        <v>0.50315226923284251</v>
      </c>
      <c r="I349">
        <f>VLOOKUP(H340,'8. Uncertainty Results'!$A$79:$CM$90,63+$A$311,FALSE)*((cubicm/gal)*(day/yr))</f>
        <v>0.51418457472240364</v>
      </c>
      <c r="J349">
        <f>VLOOKUP(H340,'8. Uncertainty Results'!$A$79:$CM$90,64+$A$311,FALSE)*((cubicm/gal)*(day/yr))</f>
        <v>0.52412242426743239</v>
      </c>
      <c r="K349">
        <f>VLOOKUP(K340,'8. Uncertainty Results'!$A$79:$CM$90,62+$A$311,FALSE)*((cubicm/gal)*(day/yr))</f>
        <v>0.27957846228916755</v>
      </c>
      <c r="L349">
        <f>VLOOKUP(K340,'8. Uncertainty Results'!$A$79:$CM$90,63+$A$311,FALSE)*((cubicm/gal)*(day/yr))</f>
        <v>0.28537724475229082</v>
      </c>
      <c r="M349">
        <f>VLOOKUP(K340,'8. Uncertainty Results'!$A$79:$CM$90,64+$A$311,FALSE)*((cubicm/gal)*(day/yr))</f>
        <v>0.29102140099294205</v>
      </c>
      <c r="N349">
        <f>VLOOKUP(N340,'8. Uncertainty Results'!$A$79:$CM$90,62+$A$311,FALSE)*((cubicm/gal)*(day/yr))</f>
        <v>0.19695888778011009</v>
      </c>
      <c r="O349">
        <f>VLOOKUP(N340,'8. Uncertainty Results'!$A$79:$CM$90,63+$A$311,FALSE)*((cubicm/gal)*(day/yr))</f>
        <v>0.20112488006789883</v>
      </c>
      <c r="P349">
        <f>VLOOKUP(N340,'8. Uncertainty Results'!$A$79:$CM$90,64+$A$311,FALSE)*((cubicm/gal)*(day/yr))</f>
        <v>0.20505775629864709</v>
      </c>
      <c r="Q349">
        <f>VLOOKUP(Q340,'8. Uncertainty Results'!$A$79:$CM$90,62+$A$311,FALSE)*((cubicm/gal)*(day/yr))</f>
        <v>0.27951016044167204</v>
      </c>
      <c r="R349">
        <f>VLOOKUP(Q340,'8. Uncertainty Results'!$A$79:$CM$90,63+$A$311,FALSE)*((cubicm/gal)*(day/yr))</f>
        <v>0.28540347392977411</v>
      </c>
      <c r="S349">
        <f>VLOOKUP(Q340,'8. Uncertainty Results'!$A$79:$CM$90,64+$A$311,FALSE)*((cubicm/gal)*(day/yr))</f>
        <v>0.29090618576336275</v>
      </c>
      <c r="T349">
        <f>VLOOKUP(T340,'8. Uncertainty Results'!$A$79:$CM$90,62+$A$311,FALSE)*((cubicm/gal)*(day/yr))</f>
        <v>0.1014821810962046</v>
      </c>
      <c r="U349">
        <f>VLOOKUP(T340,'8. Uncertainty Results'!$A$79:$CM$90,63+$A$311,FALSE)*((cubicm/gal)*(day/yr))</f>
        <v>0.10194435288347611</v>
      </c>
      <c r="V349">
        <f>VLOOKUP(T340,'8. Uncertainty Results'!$A$79:$CM$90,64+$A$311,FALSE)*((cubicm/gal)*(day/yr))</f>
        <v>0.10237129436644019</v>
      </c>
      <c r="W349">
        <f>VLOOKUP(W340,'8. Uncertainty Results'!$A$79:$CM$90,62+$A$311,FALSE)*((cubicm/gal)*(day/yr))</f>
        <v>0.50294836686548916</v>
      </c>
      <c r="X349">
        <f>VLOOKUP(W340,'8. Uncertainty Results'!$A$79:$CM$90,63+$A$311,FALSE)*((cubicm/gal)*(day/yr))</f>
        <v>0.51397265374551471</v>
      </c>
      <c r="Y349">
        <f>VLOOKUP(W340,'8. Uncertainty Results'!$A$79:$CM$90,64+$A$311,FALSE)*((cubicm/gal)*(day/yr))</f>
        <v>0.5240388922579694</v>
      </c>
    </row>
    <row r="350" spans="1:25" x14ac:dyDescent="0.2">
      <c r="A350" t="s">
        <v>439</v>
      </c>
      <c r="B350">
        <f>VLOOKUP(B340,'8. Uncertainty Results'!$A$79:$CM$90,77+$A$311,FALSE)*((cubicm/gal)*(day/yr))/B353</f>
        <v>0</v>
      </c>
      <c r="C350">
        <f>VLOOKUP(B340,'8. Uncertainty Results'!$A$79:$CM$90,78+$A$311,FALSE)*((cubicm/gal)*(day/yr))/C353</f>
        <v>0</v>
      </c>
      <c r="D350">
        <f>VLOOKUP(B340,'8. Uncertainty Results'!$A$79:$CM$90,79+$A$311,FALSE)*((cubicm/gal)*(day/yr))/D353</f>
        <v>0</v>
      </c>
      <c r="E350">
        <f>VLOOKUP(E340,'8. Uncertainty Results'!$A$79:$CM$90,77+$A$311,FALSE)*((cubicm/gal)*(day/yr))</f>
        <v>1.0876716720060069</v>
      </c>
      <c r="F350">
        <f>VLOOKUP(E340,'8. Uncertainty Results'!$A$79:$CM$90,78+$A$311,FALSE)*((cubicm/gal)*(day/yr))</f>
        <v>1.2081882208158046</v>
      </c>
      <c r="G350">
        <f>VLOOKUP(E340,'8. Uncertainty Results'!$A$79:$CM$90,79+$A$311,FALSE)*((cubicm/gal)*(day/yr))</f>
        <v>1.3314006070272497</v>
      </c>
      <c r="H350">
        <f>VLOOKUP(H340,'8. Uncertainty Results'!$A$79:$CM$90,77+$A$311,FALSE)*((cubicm/gal)*(day/yr))</f>
        <v>2.2293261415036354</v>
      </c>
      <c r="I350">
        <f>VLOOKUP(H340,'8. Uncertainty Results'!$A$79:$CM$90,78+$A$311,FALSE)*((cubicm/gal)*(day/yr))</f>
        <v>2.5370672061736532</v>
      </c>
      <c r="J350">
        <f>VLOOKUP(H340,'8. Uncertainty Results'!$A$79:$CM$90,79+$A$311,FALSE)*((cubicm/gal)*(day/yr))</f>
        <v>2.9012325207818606</v>
      </c>
      <c r="K350">
        <f>VLOOKUP(K340,'8. Uncertainty Results'!$A$79:$CM$90,77+$A$311,FALSE)*((cubicm/gal)*(day/yr))</f>
        <v>0</v>
      </c>
      <c r="L350">
        <f>VLOOKUP(K340,'8. Uncertainty Results'!$A$79:$CM$90,78+$A$311,FALSE)*((cubicm/gal)*(day/yr))</f>
        <v>0</v>
      </c>
      <c r="M350">
        <f>VLOOKUP(K340,'8. Uncertainty Results'!$A$79:$CM$90,79+$A$311,FALSE)*((cubicm/gal)*(day/yr))</f>
        <v>0</v>
      </c>
      <c r="N350">
        <f>VLOOKUP(N340,'8. Uncertainty Results'!$A$79:$CM$90,77+$A$311,FALSE)*((cubicm/gal)*(day/yr))</f>
        <v>0</v>
      </c>
      <c r="O350">
        <f>VLOOKUP(N340,'8. Uncertainty Results'!$A$79:$CM$90,78+$A$311,FALSE)*((cubicm/gal)*(day/yr))</f>
        <v>0</v>
      </c>
      <c r="P350">
        <f>VLOOKUP(N340,'8. Uncertainty Results'!$A$79:$CM$90,79+$A$311,FALSE)*((cubicm/gal)*(day/yr))</f>
        <v>0</v>
      </c>
      <c r="Q350">
        <f>VLOOKUP(Q340,'8. Uncertainty Results'!$A$79:$CM$90,77+$A$311,FALSE)*((cubicm/gal)*(day/yr))</f>
        <v>0</v>
      </c>
      <c r="R350">
        <f>VLOOKUP(Q340,'8. Uncertainty Results'!$A$79:$CM$90,78+$A$311,FALSE)*((cubicm/gal)*(day/yr))</f>
        <v>0</v>
      </c>
      <c r="S350">
        <f>VLOOKUP(Q340,'8. Uncertainty Results'!$A$79:$CM$90,79+$A$311,FALSE)*((cubicm/gal)*(day/yr))</f>
        <v>0</v>
      </c>
      <c r="T350">
        <f>VLOOKUP(T340,'8. Uncertainty Results'!$A$79:$CM$90,77+$A$311,FALSE)*((cubicm/gal)*(day/yr))</f>
        <v>0</v>
      </c>
      <c r="U350">
        <f>VLOOKUP(T340,'8. Uncertainty Results'!$A$79:$CM$90,78+$A$311,FALSE)*((cubicm/gal)*(day/yr))</f>
        <v>0</v>
      </c>
      <c r="V350">
        <f>VLOOKUP(T340,'8. Uncertainty Results'!$A$79:$CM$90,79+$A$311,FALSE)*((cubicm/gal)*(day/yr))</f>
        <v>0</v>
      </c>
      <c r="W350">
        <f>VLOOKUP(W340,'8. Uncertainty Results'!$A$79:$CM$90,77+$A$311,FALSE)*((cubicm/gal)*(day/yr))</f>
        <v>2.2276961315709061</v>
      </c>
      <c r="X350">
        <f>VLOOKUP(W340,'8. Uncertainty Results'!$A$79:$CM$90,78+$A$311,FALSE)*((cubicm/gal)*(day/yr))</f>
        <v>2.5313573977308206</v>
      </c>
      <c r="Y350">
        <f>VLOOKUP(W340,'8. Uncertainty Results'!$A$79:$CM$90,79+$A$311,FALSE)*((cubicm/gal)*(day/yr))</f>
        <v>2.8980871094003717</v>
      </c>
    </row>
    <row r="351" spans="1:25" x14ac:dyDescent="0.2">
      <c r="A351" t="s">
        <v>492</v>
      </c>
      <c r="B351">
        <f>VLOOKUP(B340,'8. Uncertainty Results'!$A$203:$D$215,2,FALSE)/1000000/B353</f>
        <v>19.894933982942813</v>
      </c>
      <c r="C351">
        <f>VLOOKUP(B340,'8. Uncertainty Results'!$A$203:$D$215,3,FALSE)/1000000/C353</f>
        <v>13.901060465083315</v>
      </c>
      <c r="D351">
        <f>VLOOKUP(B340,'8. Uncertainty Results'!$A$203:$D$215,4,FALSE)/1000000/D353</f>
        <v>10.580641884256098</v>
      </c>
      <c r="E351">
        <f>VLOOKUP(E340,'8. Uncertainty Results'!$A$203:$D$215,2,FALSE)/1000000</f>
        <v>30.329777237026992</v>
      </c>
      <c r="F351">
        <f>VLOOKUP(E340,'8. Uncertainty Results'!$A$203:$D$215,3,FALSE)/1000000</f>
        <v>34.810209497471384</v>
      </c>
      <c r="G351">
        <f>VLOOKUP(E340,'8. Uncertainty Results'!$A$203:$D$215,4,FALSE)/1000000</f>
        <v>39.804593895523155</v>
      </c>
      <c r="H351">
        <f>VLOOKUP(H340,'8. Uncertainty Results'!$A$203:$D$215,2,FALSE)/1000000</f>
        <v>0.36684257135850085</v>
      </c>
      <c r="I351">
        <f>VLOOKUP(H340,'8. Uncertainty Results'!$A$203:$D$215,3,FALSE)/1000000</f>
        <v>1.9272387365708405</v>
      </c>
      <c r="J351">
        <f>VLOOKUP(H340,'8. Uncertainty Results'!$A$203:$D$215,4,FALSE)/1000000</f>
        <v>9.7366119085476832</v>
      </c>
      <c r="K351">
        <f>VLOOKUP(K340,'8. Uncertainty Results'!$A$203:$D$215,2,FALSE)/1000000</f>
        <v>28.572915147869598</v>
      </c>
      <c r="L351">
        <f>VLOOKUP(K340,'8. Uncertainty Results'!$A$203:$D$215,3,FALSE)/1000000</f>
        <v>36.784589510791825</v>
      </c>
      <c r="M351">
        <f>VLOOKUP(K340,'8. Uncertainty Results'!$A$203:$D$215,4,FALSE)/1000000</f>
        <v>63.986855731934547</v>
      </c>
      <c r="N351">
        <f>VLOOKUP(N340,'8. Uncertainty Results'!$A$203:$D$215,2,FALSE)/1000000</f>
        <v>12.60217290105447</v>
      </c>
      <c r="O351">
        <f>VLOOKUP(N340,'8. Uncertainty Results'!$A$203:$D$215,3,FALSE)/1000000</f>
        <v>19.226978004610444</v>
      </c>
      <c r="P351">
        <f>VLOOKUP(N340,'8. Uncertainty Results'!$A$203:$D$215,4,FALSE)/1000000</f>
        <v>49.036167912910365</v>
      </c>
      <c r="Q351">
        <f>VLOOKUP(Q340,'8. Uncertainty Results'!$A$203:$D$215,2,FALSE)/1000000</f>
        <v>4.9234855062215894</v>
      </c>
      <c r="R351">
        <f>VLOOKUP(Q340,'8. Uncertainty Results'!$A$203:$D$215,3,FALSE)/1000000</f>
        <v>5.37106142092306</v>
      </c>
      <c r="S351">
        <f>VLOOKUP(Q340,'8. Uncertainty Results'!$A$203:$D$215,4,FALSE)/1000000</f>
        <v>5.8389653933930203</v>
      </c>
      <c r="T351">
        <f>VLOOKUP(T340,'8. Uncertainty Results'!$A$203:$D$215,2,FALSE)/1000000</f>
        <v>3.9079818470785299</v>
      </c>
      <c r="U351">
        <f>VLOOKUP(T340,'8. Uncertainty Results'!$A$203:$D$215,3,FALSE)/1000000</f>
        <v>4.2843021047777894</v>
      </c>
      <c r="V351">
        <f>VLOOKUP(T340,'8. Uncertainty Results'!$A$203:$D$215,4,FALSE)/1000000</f>
        <v>4.6474321803099699</v>
      </c>
      <c r="W351">
        <f>VLOOKUP(W340,'8. Uncertainty Results'!$A$203:$D$215,2,FALSE)/1000000</f>
        <v>0.23425673678805656</v>
      </c>
      <c r="X351">
        <f>VLOOKUP(W340,'8. Uncertainty Results'!$A$203:$D$215,3,FALSE)/1000000</f>
        <v>1.1548930353673985</v>
      </c>
      <c r="Y351">
        <f>VLOOKUP(W340,'8. Uncertainty Results'!$A$203:$D$215,4,FALSE)/1000000</f>
        <v>5.5129749020288967</v>
      </c>
    </row>
    <row r="353" spans="1:25" x14ac:dyDescent="0.2">
      <c r="A353" t="s">
        <v>564</v>
      </c>
      <c r="B353">
        <f>B335/B348</f>
        <v>1.115826088941098</v>
      </c>
      <c r="C353">
        <f t="shared" ref="C353:D353" si="174">C335/C348</f>
        <v>1.7462996469205205</v>
      </c>
      <c r="D353">
        <f t="shared" si="174"/>
        <v>2.4857485527394765</v>
      </c>
    </row>
    <row r="356" spans="1:25" x14ac:dyDescent="0.2">
      <c r="A356" s="36" t="s">
        <v>565</v>
      </c>
      <c r="B356" s="481">
        <v>18100204</v>
      </c>
      <c r="C356" s="481"/>
      <c r="D356" s="481"/>
      <c r="E356" s="481">
        <v>16040201</v>
      </c>
      <c r="F356" s="481"/>
      <c r="G356" s="481"/>
      <c r="H356" s="481">
        <v>15030202</v>
      </c>
      <c r="I356" s="481"/>
      <c r="J356" s="481"/>
      <c r="K356" s="481">
        <v>16060011</v>
      </c>
      <c r="L356" s="481"/>
      <c r="M356" s="481"/>
      <c r="N356" s="481">
        <v>16060003</v>
      </c>
      <c r="O356" s="481"/>
      <c r="P356" s="481"/>
      <c r="Q356" s="481">
        <v>16060013</v>
      </c>
      <c r="R356" s="481"/>
      <c r="S356" s="481"/>
      <c r="T356" s="481">
        <v>16060010</v>
      </c>
      <c r="U356" s="481"/>
      <c r="V356" s="481"/>
      <c r="W356" s="481">
        <v>15030201</v>
      </c>
      <c r="X356" s="481"/>
      <c r="Y356" s="481"/>
    </row>
    <row r="357" spans="1:25" x14ac:dyDescent="0.2">
      <c r="A357" s="36"/>
      <c r="B357" s="481" t="s">
        <v>539</v>
      </c>
      <c r="C357" s="481"/>
      <c r="D357" s="481"/>
      <c r="E357" s="481" t="s">
        <v>417</v>
      </c>
      <c r="F357" s="481"/>
      <c r="G357" s="481"/>
      <c r="H357" s="481" t="s">
        <v>418</v>
      </c>
      <c r="I357" s="481"/>
      <c r="J357" s="481"/>
      <c r="K357" s="481" t="s">
        <v>419</v>
      </c>
      <c r="L357" s="481"/>
      <c r="M357" s="481"/>
      <c r="N357" s="481" t="s">
        <v>420</v>
      </c>
      <c r="O357" s="481"/>
      <c r="P357" s="481"/>
      <c r="Q357" s="481" t="s">
        <v>421</v>
      </c>
      <c r="R357" s="481"/>
      <c r="S357" s="481"/>
      <c r="T357" s="481" t="s">
        <v>422</v>
      </c>
      <c r="U357" s="481"/>
      <c r="V357" s="481"/>
      <c r="W357" s="481" t="s">
        <v>423</v>
      </c>
      <c r="X357" s="481"/>
      <c r="Y357" s="481"/>
    </row>
    <row r="358" spans="1:25" x14ac:dyDescent="0.2">
      <c r="A358" s="36"/>
      <c r="B358" s="36" t="s">
        <v>440</v>
      </c>
      <c r="C358" s="36" t="s">
        <v>441</v>
      </c>
      <c r="D358" s="36" t="s">
        <v>442</v>
      </c>
      <c r="E358" s="36" t="s">
        <v>440</v>
      </c>
      <c r="F358" s="36" t="s">
        <v>441</v>
      </c>
      <c r="G358" s="36" t="s">
        <v>442</v>
      </c>
      <c r="H358" s="36" t="s">
        <v>440</v>
      </c>
      <c r="I358" s="36" t="s">
        <v>441</v>
      </c>
      <c r="J358" s="36" t="s">
        <v>442</v>
      </c>
      <c r="K358" s="36" t="s">
        <v>440</v>
      </c>
      <c r="L358" s="36" t="s">
        <v>441</v>
      </c>
      <c r="M358" s="36" t="s">
        <v>442</v>
      </c>
      <c r="N358" s="36" t="s">
        <v>440</v>
      </c>
      <c r="O358" s="36" t="s">
        <v>441</v>
      </c>
      <c r="P358" s="36" t="s">
        <v>442</v>
      </c>
      <c r="Q358" s="36" t="s">
        <v>440</v>
      </c>
      <c r="R358" s="36" t="s">
        <v>441</v>
      </c>
      <c r="S358" s="36" t="s">
        <v>442</v>
      </c>
      <c r="T358" s="36" t="s">
        <v>440</v>
      </c>
      <c r="U358" s="36" t="s">
        <v>441</v>
      </c>
      <c r="V358" s="36" t="s">
        <v>442</v>
      </c>
      <c r="W358" s="36" t="s">
        <v>440</v>
      </c>
      <c r="X358" s="36" t="s">
        <v>441</v>
      </c>
      <c r="Y358" s="36" t="s">
        <v>442</v>
      </c>
    </row>
    <row r="359" spans="1:25" x14ac:dyDescent="0.2">
      <c r="A359" s="36" t="s">
        <v>436</v>
      </c>
      <c r="B359">
        <f>VLOOKUP(B356,'8. Uncertainty Results'!$B$416:$E$428,2,FALSE)*(cubicm/gal)*(day/yr)</f>
        <v>618.9713608837377</v>
      </c>
      <c r="C359">
        <f>B359</f>
        <v>618.9713608837377</v>
      </c>
      <c r="D359">
        <f>B359</f>
        <v>618.9713608837377</v>
      </c>
      <c r="E359">
        <f>VLOOKUP(E356,'8. Uncertainty Results'!$B$416:$E$428,2,FALSE)*(cubicm/gal)*(day/yr)</f>
        <v>104.71432153442625</v>
      </c>
      <c r="F359">
        <f>E359</f>
        <v>104.71432153442625</v>
      </c>
      <c r="G359">
        <f>E359</f>
        <v>104.71432153442625</v>
      </c>
      <c r="H359">
        <f>VLOOKUP(H356,'8. Uncertainty Results'!$B$416:$E$428,2,FALSE)*(cubicm/gal)*(day/yr)</f>
        <v>57.09257707415945</v>
      </c>
      <c r="I359">
        <f>H359</f>
        <v>57.09257707415945</v>
      </c>
      <c r="J359">
        <f>H359</f>
        <v>57.09257707415945</v>
      </c>
      <c r="K359">
        <f>VLOOKUP(K356,'8. Uncertainty Results'!$B$416:$E$428,2,FALSE)*(cubicm/gal)*(day/yr)</f>
        <v>60.493213342698439</v>
      </c>
      <c r="L359">
        <f>K359</f>
        <v>60.493213342698439</v>
      </c>
      <c r="M359">
        <f>K359</f>
        <v>60.493213342698439</v>
      </c>
      <c r="N359">
        <f>VLOOKUP(N356,'8. Uncertainty Results'!$B$416:$E$428,2,FALSE)*(cubicm/gal)*(day/yr)</f>
        <v>48.531278970669902</v>
      </c>
      <c r="O359">
        <f>N359</f>
        <v>48.531278970669902</v>
      </c>
      <c r="P359">
        <f>N359</f>
        <v>48.531278970669902</v>
      </c>
      <c r="Q359">
        <f>VLOOKUP(Q356,'8. Uncertainty Results'!$B$416:$E$428,2,FALSE)*(cubicm/gal)*(day/yr)</f>
        <v>45.174800514685394</v>
      </c>
      <c r="R359">
        <f>Q359</f>
        <v>45.174800514685394</v>
      </c>
      <c r="S359">
        <f>Q359</f>
        <v>45.174800514685394</v>
      </c>
      <c r="T359">
        <f>VLOOKUP(T356,'8. Uncertainty Results'!$B$416:$E$428,2,FALSE)*(cubicm/gal)*(day/yr)</f>
        <v>54.531022901124814</v>
      </c>
      <c r="U359">
        <f>T359</f>
        <v>54.531022901124814</v>
      </c>
      <c r="V359">
        <f>T359</f>
        <v>54.531022901124814</v>
      </c>
      <c r="W359">
        <f>VLOOKUP(W356,'8. Uncertainty Results'!$B$416:$E$428,2,FALSE)*(cubicm/gal)*(day/yr)</f>
        <v>108.75954578608642</v>
      </c>
      <c r="X359">
        <f>W359</f>
        <v>108.75954578608642</v>
      </c>
      <c r="Y359">
        <f>W359</f>
        <v>108.75954578608642</v>
      </c>
    </row>
    <row r="360" spans="1:25" x14ac:dyDescent="0.2">
      <c r="A360" s="36" t="s">
        <v>437</v>
      </c>
      <c r="B360">
        <f>VLOOKUP(B356,'8. Uncertainty Results'!$B$416:$E$428,4,FALSE)*(cubicm/gal)*(day/yr)</f>
        <v>622.52687222170437</v>
      </c>
      <c r="C360">
        <f>B360</f>
        <v>622.52687222170437</v>
      </c>
      <c r="D360">
        <f>B360</f>
        <v>622.52687222170437</v>
      </c>
      <c r="E360">
        <f>VLOOKUP(E356,'8. Uncertainty Results'!$B$416:$E$428,4,FALSE)*(cubicm/gal)*(day/yr)</f>
        <v>412.14939154559391</v>
      </c>
      <c r="F360">
        <f>E360</f>
        <v>412.14939154559391</v>
      </c>
      <c r="G360">
        <f>E360</f>
        <v>412.14939154559391</v>
      </c>
      <c r="H360">
        <f>VLOOKUP(H356,'8. Uncertainty Results'!$B$416:$E$428,4,FALSE)*(cubicm/gal)*(day/yr)</f>
        <v>201.45351464332091</v>
      </c>
      <c r="I360">
        <f>H360</f>
        <v>201.45351464332091</v>
      </c>
      <c r="J360">
        <f>H360</f>
        <v>201.45351464332091</v>
      </c>
      <c r="K360">
        <f>VLOOKUP(K356,'8. Uncertainty Results'!$B$416:$E$428,4,FALSE)*(cubicm/gal)*(day/yr)</f>
        <v>208.28563550916417</v>
      </c>
      <c r="L360">
        <f>K360</f>
        <v>208.28563550916417</v>
      </c>
      <c r="M360">
        <f>K360</f>
        <v>208.28563550916417</v>
      </c>
      <c r="N360">
        <f>VLOOKUP(N356,'8. Uncertainty Results'!$B$416:$E$428,4,FALSE)*(cubicm/gal)*(day/yr)</f>
        <v>269.64816823643315</v>
      </c>
      <c r="O360">
        <f>N360</f>
        <v>269.64816823643315</v>
      </c>
      <c r="P360">
        <f>N360</f>
        <v>269.64816823643315</v>
      </c>
      <c r="Q360">
        <f>VLOOKUP(Q356,'8. Uncertainty Results'!$B$416:$E$428,4,FALSE)*(cubicm/gal)*(day/yr)</f>
        <v>203.81281906641709</v>
      </c>
      <c r="R360">
        <f>Q360</f>
        <v>203.81281906641709</v>
      </c>
      <c r="S360">
        <f>Q360</f>
        <v>203.81281906641709</v>
      </c>
      <c r="T360">
        <f>VLOOKUP(T356,'8. Uncertainty Results'!$B$416:$E$428,4,FALSE)*(cubicm/gal)*(day/yr)</f>
        <v>151.32036690431366</v>
      </c>
      <c r="U360">
        <f>T360</f>
        <v>151.32036690431366</v>
      </c>
      <c r="V360">
        <f>T360</f>
        <v>151.32036690431366</v>
      </c>
      <c r="W360">
        <f>VLOOKUP(W356,'8. Uncertainty Results'!$B$416:$E$428,4,FALSE)*(cubicm/gal)*(day/yr)</f>
        <v>462.54532147581159</v>
      </c>
      <c r="X360">
        <f>W360</f>
        <v>462.54532147581159</v>
      </c>
      <c r="Y360">
        <f>W360</f>
        <v>462.54532147581159</v>
      </c>
    </row>
    <row r="361" spans="1:25" x14ac:dyDescent="0.2">
      <c r="A361" s="36" t="s">
        <v>438</v>
      </c>
      <c r="B361">
        <f>VLOOKUP(B356,'8. Uncertainty Results'!$A$97:$CM$109,2+$A$311,FALSE)*((cubicm/gal)*(day/yr))/B353</f>
        <v>14.609915534405104</v>
      </c>
      <c r="C361">
        <f>VLOOKUP(B356,'8. Uncertainty Results'!$A$97:$CM$109,3+$A$311,FALSE)*((cubicm/gal)*(day/yr))/C353</f>
        <v>9.4115731669282265</v>
      </c>
      <c r="D361">
        <f>VLOOKUP(B356,'8. Uncertainty Results'!$A$97:$CM$109,4+$A$311,FALSE)*((cubicm/gal)*(day/yr))/D353</f>
        <v>6.6571270803719598</v>
      </c>
      <c r="E361">
        <f>VLOOKUP(E356,'8. Uncertainty Results'!$A$97:$CM$109,2+$A$311,FALSE)*((cubicm/gal)*(day/yr))</f>
        <v>0</v>
      </c>
      <c r="F361">
        <f>VLOOKUP(E356,'8. Uncertainty Results'!$A$97:$CM$109,3+$A$311,FALSE)*((cubicm/gal)*(day/yr))</f>
        <v>0</v>
      </c>
      <c r="G361">
        <f>VLOOKUP(E356,'8. Uncertainty Results'!$A$97:$CM$109,4+$A$311,FALSE)*((cubicm/gal)*(day/yr))</f>
        <v>0</v>
      </c>
      <c r="H361">
        <f>VLOOKUP(H356,'8. Uncertainty Results'!$A$97:$CM$109,2+$A$311,FALSE)*((cubicm/gal)*(day/yr))</f>
        <v>23.88078693392244</v>
      </c>
      <c r="I361">
        <f>VLOOKUP(H356,'8. Uncertainty Results'!$A$97:$CM$109,3+$A$311,FALSE)*((cubicm/gal)*(day/yr))</f>
        <v>24.486320200457481</v>
      </c>
      <c r="J361">
        <f>VLOOKUP(H356,'8. Uncertainty Results'!$A$97:$CM$109,4+$A$311,FALSE)*((cubicm/gal)*(day/yr))</f>
        <v>24.966108685316687</v>
      </c>
      <c r="K361">
        <f>VLOOKUP(K356,'8. Uncertainty Results'!$A$97:$CM$109,2+$A$311,FALSE)*((cubicm/gal)*(day/yr))</f>
        <v>9.589944430437275E-2</v>
      </c>
      <c r="L361">
        <f>VLOOKUP(K356,'8. Uncertainty Results'!$A$97:$CM$109,3+$A$311,FALSE)*((cubicm/gal)*(day/yr))</f>
        <v>9.8251542326300553E-2</v>
      </c>
      <c r="M361">
        <f>VLOOKUP(K356,'8. Uncertainty Results'!$A$97:$CM$109,4+$A$311,FALSE)*((cubicm/gal)*(day/yr))</f>
        <v>0.10007926224772526</v>
      </c>
      <c r="N361">
        <f>VLOOKUP(N356,'8. Uncertainty Results'!$A$97:$CM$109,2+$A$311,FALSE)*((cubicm/gal)*(day/yr))</f>
        <v>6.3911303161678298E-2</v>
      </c>
      <c r="O361">
        <f>VLOOKUP(N356,'8. Uncertainty Results'!$A$97:$CM$109,3+$A$311,FALSE)*((cubicm/gal)*(day/yr))</f>
        <v>6.5476476638223979E-2</v>
      </c>
      <c r="P361">
        <f>VLOOKUP(N356,'8. Uncertainty Results'!$A$97:$CM$109,4+$A$311,FALSE)*((cubicm/gal)*(day/yr))</f>
        <v>6.6728808509570262E-2</v>
      </c>
      <c r="Q361">
        <f>VLOOKUP(Q356,'8. Uncertainty Results'!$A$97:$CM$109,2+$A$311,FALSE)*((cubicm/gal)*(day/yr))</f>
        <v>9.5909972863659043E-2</v>
      </c>
      <c r="R361">
        <f>VLOOKUP(Q356,'8. Uncertainty Results'!$A$97:$CM$109,3+$A$311,FALSE)*((cubicm/gal)*(day/yr))</f>
        <v>9.8231786761579759E-2</v>
      </c>
      <c r="S361">
        <f>VLOOKUP(Q356,'8. Uncertainty Results'!$A$97:$CM$109,4+$A$311,FALSE)*((cubicm/gal)*(day/yr))</f>
        <v>0.10009424945241567</v>
      </c>
      <c r="T361">
        <f>VLOOKUP(T356,'8. Uncertainty Results'!$A$97:$CM$109,2+$A$311,FALSE)*((cubicm/gal)*(day/yr))</f>
        <v>15.796258610041919</v>
      </c>
      <c r="U361">
        <f>VLOOKUP(T356,'8. Uncertainty Results'!$A$97:$CM$109,3+$A$311,FALSE)*((cubicm/gal)*(day/yr))</f>
        <v>15.923789713535774</v>
      </c>
      <c r="V361">
        <f>VLOOKUP(T356,'8. Uncertainty Results'!$A$97:$CM$109,4+$A$311,FALSE)*((cubicm/gal)*(day/yr))</f>
        <v>16.032660306682864</v>
      </c>
      <c r="W361">
        <f>VLOOKUP(W356,'8. Uncertainty Results'!$A$97:$CM$109,2+$A$311,FALSE)*((cubicm/gal)*(day/yr))</f>
        <v>23.889758925902271</v>
      </c>
      <c r="X361">
        <f>VLOOKUP(W356,'8. Uncertainty Results'!$A$97:$CM$109,3+$A$311,FALSE)*((cubicm/gal)*(day/yr))</f>
        <v>24.480645411509837</v>
      </c>
      <c r="Y361">
        <f>VLOOKUP(W356,'8. Uncertainty Results'!$A$97:$CM$109,4+$A$311,FALSE)*((cubicm/gal)*(day/yr))</f>
        <v>24.959594518315036</v>
      </c>
    </row>
    <row r="362" spans="1:25" x14ac:dyDescent="0.2">
      <c r="A362" s="36" t="s">
        <v>400</v>
      </c>
      <c r="B362">
        <f>VLOOKUP(B356,'8. Uncertainty Results'!$A$97:$CM$109,17+$A$311,FALSE)*((cubicm/gal)*(day/yr))/B353</f>
        <v>22.528136524382894</v>
      </c>
      <c r="C362">
        <f>VLOOKUP(B356,'8. Uncertainty Results'!$A$97:$CM$109,18+$A$311,FALSE)*((cubicm/gal)*(day/yr))/C353</f>
        <v>15.568394051252577</v>
      </c>
      <c r="D362">
        <f>VLOOKUP(B356,'8. Uncertainty Results'!$A$97:$CM$109,19+$A$311,FALSE)*((cubicm/gal)*(day/yr))/D353</f>
        <v>11.573760081325254</v>
      </c>
      <c r="E362">
        <f>VLOOKUP(E356,'8. Uncertainty Results'!$A$97:$CM$109,17+$A$311,FALSE)*((cubicm/gal)*(day/yr))</f>
        <v>3.3461852367669862</v>
      </c>
      <c r="F362">
        <f>VLOOKUP(E356,'8. Uncertainty Results'!$A$97:$CM$109,18+$A$311,FALSE)*((cubicm/gal)*(day/yr))</f>
        <v>3.4967589854171566</v>
      </c>
      <c r="G362">
        <f>VLOOKUP(E356,'8. Uncertainty Results'!$A$97:$CM$109,19+$A$311,FALSE)*((cubicm/gal)*(day/yr))</f>
        <v>3.6501404876745176</v>
      </c>
      <c r="H362">
        <f>VLOOKUP(H356,'8. Uncertainty Results'!$A$97:$CM$109,17+$A$311,FALSE)*((cubicm/gal)*(day/yr))</f>
        <v>45.657566891876925</v>
      </c>
      <c r="I362">
        <f>VLOOKUP(H356,'8. Uncertainty Results'!$A$97:$CM$109,18+$A$311,FALSE)*((cubicm/gal)*(day/yr))</f>
        <v>50.149552261423175</v>
      </c>
      <c r="J362">
        <f>VLOOKUP(H356,'8. Uncertainty Results'!$A$97:$CM$109,19+$A$311,FALSE)*((cubicm/gal)*(day/yr))</f>
        <v>54.65598318681603</v>
      </c>
      <c r="K362">
        <f>VLOOKUP(K356,'8. Uncertainty Results'!$A$97:$CM$109,17+$A$311,FALSE)*((cubicm/gal)*(day/yr))</f>
        <v>6.3314091797778653</v>
      </c>
      <c r="L362">
        <f>VLOOKUP(K356,'8. Uncertainty Results'!$A$97:$CM$109,18+$A$311,FALSE)*((cubicm/gal)*(day/yr))</f>
        <v>6.9320390524975197</v>
      </c>
      <c r="M362">
        <f>VLOOKUP(K356,'8. Uncertainty Results'!$A$97:$CM$109,19+$A$311,FALSE)*((cubicm/gal)*(day/yr))</f>
        <v>7.4621671010225219</v>
      </c>
      <c r="N362">
        <f>VLOOKUP(N356,'8. Uncertainty Results'!$A$97:$CM$109,17+$A$311,FALSE)*((cubicm/gal)*(day/yr))</f>
        <v>4.4052908998708329</v>
      </c>
      <c r="O362">
        <f>VLOOKUP(N356,'8. Uncertainty Results'!$A$97:$CM$109,18+$A$311,FALSE)*((cubicm/gal)*(day/yr))</f>
        <v>4.8166576866631221</v>
      </c>
      <c r="P362">
        <f>VLOOKUP(N356,'8. Uncertainty Results'!$A$97:$CM$109,19+$A$311,FALSE)*((cubicm/gal)*(day/yr))</f>
        <v>5.1827504036549126</v>
      </c>
      <c r="Q362">
        <f>VLOOKUP(Q356,'8. Uncertainty Results'!$A$97:$CM$109,17+$A$311,FALSE)*((cubicm/gal)*(day/yr))</f>
        <v>6.335978067541876</v>
      </c>
      <c r="R362">
        <f>VLOOKUP(Q356,'8. Uncertainty Results'!$A$97:$CM$109,18+$A$311,FALSE)*((cubicm/gal)*(day/yr))</f>
        <v>6.9428028561062298</v>
      </c>
      <c r="S362">
        <f>VLOOKUP(Q356,'8. Uncertainty Results'!$A$97:$CM$109,19+$A$311,FALSE)*((cubicm/gal)*(day/yr))</f>
        <v>7.4817188558059451</v>
      </c>
      <c r="T362">
        <f>VLOOKUP(T356,'8. Uncertainty Results'!$A$97:$CM$109,17+$A$311,FALSE)*((cubicm/gal)*(day/yr))</f>
        <v>0.91689860587965621</v>
      </c>
      <c r="U362">
        <f>VLOOKUP(T356,'8. Uncertainty Results'!$A$97:$CM$109,18+$A$311,FALSE)*((cubicm/gal)*(day/yr))</f>
        <v>1.0124007521313148</v>
      </c>
      <c r="V362">
        <f>VLOOKUP(T356,'8. Uncertainty Results'!$A$97:$CM$109,19+$A$311,FALSE)*((cubicm/gal)*(day/yr))</f>
        <v>1.087991404569145</v>
      </c>
      <c r="W362">
        <f>VLOOKUP(W356,'8. Uncertainty Results'!$A$97:$CM$109,17+$A$311,FALSE)*((cubicm/gal)*(day/yr))</f>
        <v>45.580076138386161</v>
      </c>
      <c r="X362">
        <f>VLOOKUP(W356,'8. Uncertainty Results'!$A$97:$CM$109,18+$A$311,FALSE)*((cubicm/gal)*(day/yr))</f>
        <v>50.043248176947067</v>
      </c>
      <c r="Y362">
        <f>VLOOKUP(W356,'8. Uncertainty Results'!$A$97:$CM$109,19+$A$311,FALSE)*((cubicm/gal)*(day/yr))</f>
        <v>54.578617534571535</v>
      </c>
    </row>
    <row r="363" spans="1:25" x14ac:dyDescent="0.2">
      <c r="A363" s="36" t="s">
        <v>401</v>
      </c>
      <c r="B363">
        <f>VLOOKUP(B356,'8. Uncertainty Results'!$A$97:$CM$109,32+$A$311,FALSE)*((cubicm/gal)*(day/yr))/B353</f>
        <v>0</v>
      </c>
      <c r="C363">
        <f>VLOOKUP(B356,'8. Uncertainty Results'!$A$97:$CM$109,33+$A$311,FALSE)*((cubicm/gal)*(day/yr))/C353</f>
        <v>0</v>
      </c>
      <c r="D363">
        <f>VLOOKUP(B356,'8. Uncertainty Results'!$A$97:$CM$109,34+$A$311,FALSE)*((cubicm/gal)*(day/yr))/D353</f>
        <v>0</v>
      </c>
      <c r="E363">
        <f>VLOOKUP(E356,'8. Uncertainty Results'!$A$97:$CM$109,32+$A$311,FALSE)*((cubicm/gal)*(day/yr))</f>
        <v>0</v>
      </c>
      <c r="F363">
        <f>VLOOKUP(E356,'8. Uncertainty Results'!$A$97:$CM$109,33+$A$311,FALSE)*((cubicm/gal)*(day/yr))</f>
        <v>0</v>
      </c>
      <c r="G363">
        <f>VLOOKUP(E356,'8. Uncertainty Results'!$A$97:$CM$109,34+$A$311,FALSE)*((cubicm/gal)*(day/yr))</f>
        <v>0</v>
      </c>
      <c r="H363">
        <f>VLOOKUP(H356,'8. Uncertainty Results'!$A$97:$CM$109,32+$A$311,FALSE)*((cubicm/gal)*(day/yr))</f>
        <v>0</v>
      </c>
      <c r="I363">
        <f>VLOOKUP(H356,'8. Uncertainty Results'!$A$97:$CM$109,33+$A$311,FALSE)*((cubicm/gal)*(day/yr))</f>
        <v>0</v>
      </c>
      <c r="J363">
        <f>VLOOKUP(H356,'8. Uncertainty Results'!$A$97:$CM$109,34+$A$311,FALSE)*((cubicm/gal)*(day/yr))</f>
        <v>0</v>
      </c>
      <c r="K363">
        <f>VLOOKUP(K356,'8. Uncertainty Results'!$A$97:$CM$109,32+$A$311,FALSE)*((cubicm/gal)*(day/yr))</f>
        <v>0</v>
      </c>
      <c r="L363">
        <f>VLOOKUP(K356,'8. Uncertainty Results'!$A$97:$CM$109,33+$A$311,FALSE)*((cubicm/gal)*(day/yr))</f>
        <v>0</v>
      </c>
      <c r="M363">
        <f>VLOOKUP(K356,'8. Uncertainty Results'!$A$97:$CM$109,34+$A$311,FALSE)*((cubicm/gal)*(day/yr))</f>
        <v>0</v>
      </c>
      <c r="N363">
        <f>VLOOKUP(N356,'8. Uncertainty Results'!$A$97:$CM$109,32+$A$311,FALSE)*((cubicm/gal)*(day/yr))</f>
        <v>0</v>
      </c>
      <c r="O363">
        <f>VLOOKUP(N356,'8. Uncertainty Results'!$A$97:$CM$109,33+$A$311,FALSE)*((cubicm/gal)*(day/yr))</f>
        <v>0</v>
      </c>
      <c r="P363">
        <f>VLOOKUP(N356,'8. Uncertainty Results'!$A$97:$CM$109,34+$A$311,FALSE)*((cubicm/gal)*(day/yr))</f>
        <v>0</v>
      </c>
      <c r="Q363">
        <f>VLOOKUP(Q356,'8. Uncertainty Results'!$A$97:$CM$109,32+$A$311,FALSE)*((cubicm/gal)*(day/yr))</f>
        <v>0</v>
      </c>
      <c r="R363">
        <f>VLOOKUP(Q356,'8. Uncertainty Results'!$A$97:$CM$109,33+$A$311,FALSE)*((cubicm/gal)*(day/yr))</f>
        <v>0</v>
      </c>
      <c r="S363">
        <f>VLOOKUP(Q356,'8. Uncertainty Results'!$A$97:$CM$109,34+$A$311,FALSE)*((cubicm/gal)*(day/yr))</f>
        <v>0</v>
      </c>
      <c r="T363">
        <f>VLOOKUP(T356,'8. Uncertainty Results'!$A$97:$CM$109,32+$A$311,FALSE)*((cubicm/gal)*(day/yr))</f>
        <v>0</v>
      </c>
      <c r="U363">
        <f>VLOOKUP(T356,'8. Uncertainty Results'!$A$97:$CM$109,33+$A$311,FALSE)*((cubicm/gal)*(day/yr))</f>
        <v>0</v>
      </c>
      <c r="V363">
        <f>VLOOKUP(T356,'8. Uncertainty Results'!$A$97:$CM$109,34+$A$311,FALSE)*((cubicm/gal)*(day/yr))</f>
        <v>0</v>
      </c>
      <c r="W363">
        <f>VLOOKUP(W356,'8. Uncertainty Results'!$A$97:$CM$109,32+$A$311,FALSE)*((cubicm/gal)*(day/yr))</f>
        <v>0</v>
      </c>
      <c r="X363">
        <f>VLOOKUP(W356,'8. Uncertainty Results'!$A$97:$CM$109,33+$A$311,FALSE)*((cubicm/gal)*(day/yr))</f>
        <v>0</v>
      </c>
      <c r="Y363">
        <f>VLOOKUP(W356,'8. Uncertainty Results'!$A$97:$CM$109,34+$A$311,FALSE)*((cubicm/gal)*(day/yr))</f>
        <v>0</v>
      </c>
    </row>
    <row r="364" spans="1:25" x14ac:dyDescent="0.2">
      <c r="A364" s="36" t="s">
        <v>402</v>
      </c>
      <c r="B364">
        <f>VLOOKUP(B356,'8. Uncertainty Results'!$A$97:$CM$109,47+$A$311,FALSE)*((cubicm/gal)*(day/yr))/B353</f>
        <v>853.4073331757761</v>
      </c>
      <c r="C364">
        <f>VLOOKUP(B356,'8. Uncertainty Results'!$A$97:$CM$109,48+$A$311,FALSE)*((cubicm/gal)*(day/yr))/C353</f>
        <v>1182.0342767165719</v>
      </c>
      <c r="D364">
        <f>VLOOKUP(B356,'8. Uncertainty Results'!$A$97:$CM$109,49+$A$311,FALSE)*((cubicm/gal)*(day/yr))/D353</f>
        <v>1465.4415861478628</v>
      </c>
      <c r="E364">
        <f>VLOOKUP(E356,'8. Uncertainty Results'!$A$97:$CM$109,47+$A$311,FALSE)*((cubicm/gal)*(day/yr))</f>
        <v>369.21951106633372</v>
      </c>
      <c r="F364">
        <f>VLOOKUP(E356,'8. Uncertainty Results'!$A$97:$CM$109,48+$A$311,FALSE)*((cubicm/gal)*(day/yr))</f>
        <v>506.26669534910161</v>
      </c>
      <c r="G364">
        <f>VLOOKUP(E356,'8. Uncertainty Results'!$A$97:$CM$109,49+$A$311,FALSE)*((cubicm/gal)*(day/yr))</f>
        <v>663.70380935730532</v>
      </c>
      <c r="H364">
        <f>VLOOKUP(H356,'8. Uncertainty Results'!$A$97:$CM$109,47+$A$311,FALSE)*((cubicm/gal)*(day/yr))</f>
        <v>21.548498713792846</v>
      </c>
      <c r="I364">
        <f>VLOOKUP(H356,'8. Uncertainty Results'!$A$97:$CM$109,48+$A$311,FALSE)*((cubicm/gal)*(day/yr))</f>
        <v>38.223842638734823</v>
      </c>
      <c r="J364">
        <f>VLOOKUP(H356,'8. Uncertainty Results'!$A$97:$CM$109,49+$A$311,FALSE)*((cubicm/gal)*(day/yr))</f>
        <v>60.820128971943227</v>
      </c>
      <c r="K364">
        <f>VLOOKUP(K356,'8. Uncertainty Results'!$A$97:$CM$109,47+$A$311,FALSE)*((cubicm/gal)*(day/yr))</f>
        <v>17.407010780629484</v>
      </c>
      <c r="L364">
        <f>VLOOKUP(K356,'8. Uncertainty Results'!$A$97:$CM$109,48+$A$311,FALSE)*((cubicm/gal)*(day/yr))</f>
        <v>35.327924788510572</v>
      </c>
      <c r="M364">
        <f>VLOOKUP(K356,'8. Uncertainty Results'!$A$97:$CM$109,49+$A$311,FALSE)*((cubicm/gal)*(day/yr))</f>
        <v>60.601911616875519</v>
      </c>
      <c r="N364">
        <f>VLOOKUP(N356,'8. Uncertainty Results'!$A$97:$CM$109,47+$A$311,FALSE)*((cubicm/gal)*(day/yr))</f>
        <v>12.853325187793001</v>
      </c>
      <c r="O364">
        <f>VLOOKUP(N356,'8. Uncertainty Results'!$A$97:$CM$109,48+$A$311,FALSE)*((cubicm/gal)*(day/yr))</f>
        <v>26.254393667346864</v>
      </c>
      <c r="P364">
        <f>VLOOKUP(N356,'8. Uncertainty Results'!$A$97:$CM$109,49+$A$311,FALSE)*((cubicm/gal)*(day/yr))</f>
        <v>45.157853203968443</v>
      </c>
      <c r="Q364">
        <f>VLOOKUP(Q356,'8. Uncertainty Results'!$A$97:$CM$109,47+$A$311,FALSE)*((cubicm/gal)*(day/yr))</f>
        <v>17.39277319260523</v>
      </c>
      <c r="R364">
        <f>VLOOKUP(Q356,'8. Uncertainty Results'!$A$97:$CM$109,48+$A$311,FALSE)*((cubicm/gal)*(day/yr))</f>
        <v>35.066972140181974</v>
      </c>
      <c r="S364">
        <f>VLOOKUP(Q356,'8. Uncertainty Results'!$A$97:$CM$109,49+$A$311,FALSE)*((cubicm/gal)*(day/yr))</f>
        <v>60.749652625537024</v>
      </c>
      <c r="T364">
        <f>VLOOKUP(T356,'8. Uncertainty Results'!$A$97:$CM$109,47+$A$311,FALSE)*((cubicm/gal)*(day/yr))</f>
        <v>11.765950117033931</v>
      </c>
      <c r="U364">
        <f>VLOOKUP(T356,'8. Uncertainty Results'!$A$97:$CM$109,48+$A$311,FALSE)*((cubicm/gal)*(day/yr))</f>
        <v>23.598058405780538</v>
      </c>
      <c r="V364">
        <f>VLOOKUP(T356,'8. Uncertainty Results'!$A$97:$CM$109,49+$A$311,FALSE)*((cubicm/gal)*(day/yr))</f>
        <v>41.248647707962014</v>
      </c>
      <c r="W364">
        <f>VLOOKUP(W356,'8. Uncertainty Results'!$A$97:$CM$109,47+$A$311,FALSE)*((cubicm/gal)*(day/yr))</f>
        <v>22.049806753229916</v>
      </c>
      <c r="X364">
        <f>VLOOKUP(W356,'8. Uncertainty Results'!$A$97:$CM$109,48+$A$311,FALSE)*((cubicm/gal)*(day/yr))</f>
        <v>38.899267685028114</v>
      </c>
      <c r="Y364">
        <f>VLOOKUP(W356,'8. Uncertainty Results'!$A$97:$CM$109,49+$A$311,FALSE)*((cubicm/gal)*(day/yr))</f>
        <v>61.212738371563653</v>
      </c>
    </row>
    <row r="365" spans="1:25" x14ac:dyDescent="0.2">
      <c r="A365" s="36" t="s">
        <v>403</v>
      </c>
      <c r="B365">
        <f>VLOOKUP(B356,'8. Uncertainty Results'!$A$97:$CM$109,62+$A$311,FALSE)*((cubicm/gal)*(day/yr))/B353</f>
        <v>3.7409651271999618</v>
      </c>
      <c r="C365">
        <f>VLOOKUP(B356,'8. Uncertainty Results'!$A$97:$CM$109,63+$A$311,FALSE)*((cubicm/gal)*(day/yr))/C353</f>
        <v>2.4696451128137573</v>
      </c>
      <c r="D365">
        <f>VLOOKUP(B356,'8. Uncertainty Results'!$A$97:$CM$109,64+$A$311,FALSE)*((cubicm/gal)*(day/yr))/D353</f>
        <v>1.7951359441097055</v>
      </c>
      <c r="E365">
        <f>VLOOKUP(E356,'8. Uncertainty Results'!$A$97:$CM$109,62+$A$311,FALSE)*((cubicm/gal)*(day/yr))</f>
        <v>0.9012944568173713</v>
      </c>
      <c r="F365">
        <f>VLOOKUP(E356,'8. Uncertainty Results'!$A$97:$CM$109,63+$A$311,FALSE)*((cubicm/gal)*(day/yr))</f>
        <v>0.92481109893225555</v>
      </c>
      <c r="G365">
        <f>VLOOKUP(E356,'8. Uncertainty Results'!$A$97:$CM$109,64+$A$311,FALSE)*((cubicm/gal)*(day/yr))</f>
        <v>0.94937130150164106</v>
      </c>
      <c r="H365">
        <f>VLOOKUP(H356,'8. Uncertainty Results'!$A$97:$CM$109,62+$A$311,FALSE)*((cubicm/gal)*(day/yr))</f>
        <v>0.43097103478997373</v>
      </c>
      <c r="I365">
        <f>VLOOKUP(H356,'8. Uncertainty Results'!$A$97:$CM$109,63+$A$311,FALSE)*((cubicm/gal)*(day/yr))</f>
        <v>0.4375732447207209</v>
      </c>
      <c r="J365">
        <f>VLOOKUP(H356,'8. Uncertainty Results'!$A$97:$CM$109,64+$A$311,FALSE)*((cubicm/gal)*(day/yr))</f>
        <v>0.44434864302424004</v>
      </c>
      <c r="K365">
        <f>VLOOKUP(K356,'8. Uncertainty Results'!$A$97:$CM$109,62+$A$311,FALSE)*((cubicm/gal)*(day/yr))</f>
        <v>0.23891345380815887</v>
      </c>
      <c r="L365">
        <f>VLOOKUP(K356,'8. Uncertainty Results'!$A$97:$CM$109,63+$A$311,FALSE)*((cubicm/gal)*(day/yr))</f>
        <v>0.24287665699813257</v>
      </c>
      <c r="M365">
        <f>VLOOKUP(K356,'8. Uncertainty Results'!$A$97:$CM$109,64+$A$311,FALSE)*((cubicm/gal)*(day/yr))</f>
        <v>0.24680812371952876</v>
      </c>
      <c r="N365">
        <f>VLOOKUP(N356,'8. Uncertainty Results'!$A$97:$CM$109,62+$A$311,FALSE)*((cubicm/gal)*(day/yr))</f>
        <v>0.16850272394936219</v>
      </c>
      <c r="O365">
        <f>VLOOKUP(N356,'8. Uncertainty Results'!$A$97:$CM$109,63+$A$311,FALSE)*((cubicm/gal)*(day/yr))</f>
        <v>0.17119952797706292</v>
      </c>
      <c r="P365">
        <f>VLOOKUP(N356,'8. Uncertainty Results'!$A$97:$CM$109,64+$A$311,FALSE)*((cubicm/gal)*(day/yr))</f>
        <v>0.17404622499396766</v>
      </c>
      <c r="Q365">
        <f>VLOOKUP(Q356,'8. Uncertainty Results'!$A$97:$CM$109,62+$A$311,FALSE)*((cubicm/gal)*(day/yr))</f>
        <v>0.23903345659279868</v>
      </c>
      <c r="R365">
        <f>VLOOKUP(Q356,'8. Uncertainty Results'!$A$97:$CM$109,63+$A$311,FALSE)*((cubicm/gal)*(day/yr))</f>
        <v>0.24287944078406953</v>
      </c>
      <c r="S365">
        <f>VLOOKUP(Q356,'8. Uncertainty Results'!$A$97:$CM$109,64+$A$311,FALSE)*((cubicm/gal)*(day/yr))</f>
        <v>0.2469053254463352</v>
      </c>
      <c r="T365">
        <f>VLOOKUP(T356,'8. Uncertainty Results'!$A$97:$CM$109,62+$A$311,FALSE)*((cubicm/gal)*(day/yr))</f>
        <v>8.4653106192296934E-2</v>
      </c>
      <c r="U365">
        <f>VLOOKUP(T356,'8. Uncertainty Results'!$A$97:$CM$109,63+$A$311,FALSE)*((cubicm/gal)*(day/yr))</f>
        <v>8.7229866577314075E-2</v>
      </c>
      <c r="V365">
        <f>VLOOKUP(T356,'8. Uncertainty Results'!$A$97:$CM$109,64+$A$311,FALSE)*((cubicm/gal)*(day/yr))</f>
        <v>9.0004394400089491E-2</v>
      </c>
      <c r="W365">
        <f>VLOOKUP(W356,'8. Uncertainty Results'!$A$97:$CM$109,62+$A$311,FALSE)*((cubicm/gal)*(day/yr))</f>
        <v>0.43096972010524853</v>
      </c>
      <c r="X365">
        <f>VLOOKUP(W356,'8. Uncertainty Results'!$A$97:$CM$109,63+$A$311,FALSE)*((cubicm/gal)*(day/yr))</f>
        <v>0.43756085938994832</v>
      </c>
      <c r="Y365">
        <f>VLOOKUP(W356,'8. Uncertainty Results'!$A$97:$CM$109,64+$A$311,FALSE)*((cubicm/gal)*(day/yr))</f>
        <v>0.44442221348205369</v>
      </c>
    </row>
    <row r="366" spans="1:25" x14ac:dyDescent="0.2">
      <c r="A366" s="36" t="s">
        <v>439</v>
      </c>
      <c r="B366">
        <f>VLOOKUP(B356,'8. Uncertainty Results'!$A$97:$CM$109,77+$A$311,FALSE)*((cubicm/gal)*(day/yr))/B353</f>
        <v>0</v>
      </c>
      <c r="C366">
        <f>VLOOKUP(B356,'8. Uncertainty Results'!$A$97:$CM$109,78+$A$311,FALSE)*((cubicm/gal)*(day/yr))/C353</f>
        <v>0</v>
      </c>
      <c r="D366">
        <f>VLOOKUP(B356,'8. Uncertainty Results'!$A$97:$CM$109,79+$A$311,FALSE)*((cubicm/gal)*(day/yr))/D353</f>
        <v>0</v>
      </c>
      <c r="E366">
        <f>VLOOKUP(E356,'8. Uncertainty Results'!$A$97:$CM$109,77+$A$311,FALSE)*((cubicm/gal)*(day/yr))</f>
        <v>0.89320964797404956</v>
      </c>
      <c r="F366">
        <f>VLOOKUP(E356,'8. Uncertainty Results'!$A$97:$CM$109,78+$A$311,FALSE)*((cubicm/gal)*(day/yr))</f>
        <v>0.94980020271362531</v>
      </c>
      <c r="G366">
        <f>VLOOKUP(E356,'8. Uncertainty Results'!$A$97:$CM$109,79+$A$311,FALSE)*((cubicm/gal)*(day/yr))</f>
        <v>1.0114139206312562</v>
      </c>
      <c r="H366">
        <f>VLOOKUP(H356,'8. Uncertainty Results'!$A$97:$CM$109,77+$A$311,FALSE)*((cubicm/gal)*(day/yr))</f>
        <v>1.7983291203127676</v>
      </c>
      <c r="I366">
        <f>VLOOKUP(H356,'8. Uncertainty Results'!$A$97:$CM$109,78+$A$311,FALSE)*((cubicm/gal)*(day/yr))</f>
        <v>1.9814862205833266</v>
      </c>
      <c r="J366">
        <f>VLOOKUP(H356,'8. Uncertainty Results'!$A$97:$CM$109,79+$A$311,FALSE)*((cubicm/gal)*(day/yr))</f>
        <v>2.2049706737349917</v>
      </c>
      <c r="K366">
        <f>VLOOKUP(K356,'8. Uncertainty Results'!$A$97:$CM$109,77+$A$311,FALSE)*((cubicm/gal)*(day/yr))</f>
        <v>0</v>
      </c>
      <c r="L366">
        <f>VLOOKUP(K356,'8. Uncertainty Results'!$A$97:$CM$109,78+$A$311,FALSE)*((cubicm/gal)*(day/yr))</f>
        <v>0</v>
      </c>
      <c r="M366">
        <f>VLOOKUP(K356,'8. Uncertainty Results'!$A$97:$CM$109,79+$A$311,FALSE)*((cubicm/gal)*(day/yr))</f>
        <v>0</v>
      </c>
      <c r="N366">
        <f>VLOOKUP(N356,'8. Uncertainty Results'!$A$97:$CM$109,77+$A$311,FALSE)*((cubicm/gal)*(day/yr))</f>
        <v>0</v>
      </c>
      <c r="O366">
        <f>VLOOKUP(N356,'8. Uncertainty Results'!$A$97:$CM$109,78+$A$311,FALSE)*((cubicm/gal)*(day/yr))</f>
        <v>0</v>
      </c>
      <c r="P366">
        <f>VLOOKUP(N356,'8. Uncertainty Results'!$A$97:$CM$109,79+$A$311,FALSE)*((cubicm/gal)*(day/yr))</f>
        <v>0</v>
      </c>
      <c r="Q366">
        <f>VLOOKUP(Q356,'8. Uncertainty Results'!$A$97:$CM$109,77+$A$311,FALSE)*((cubicm/gal)*(day/yr))</f>
        <v>0</v>
      </c>
      <c r="R366">
        <f>VLOOKUP(Q356,'8. Uncertainty Results'!$A$97:$CM$109,78+$A$311,FALSE)*((cubicm/gal)*(day/yr))</f>
        <v>0</v>
      </c>
      <c r="S366">
        <f>VLOOKUP(Q356,'8. Uncertainty Results'!$A$97:$CM$109,79+$A$311,FALSE)*((cubicm/gal)*(day/yr))</f>
        <v>0</v>
      </c>
      <c r="T366">
        <f>VLOOKUP(T356,'8. Uncertainty Results'!$A$97:$CM$109,77+$A$311,FALSE)*((cubicm/gal)*(day/yr))</f>
        <v>0</v>
      </c>
      <c r="U366">
        <f>VLOOKUP(T356,'8. Uncertainty Results'!$A$97:$CM$109,78+$A$311,FALSE)*((cubicm/gal)*(day/yr))</f>
        <v>0</v>
      </c>
      <c r="V366">
        <f>VLOOKUP(T356,'8. Uncertainty Results'!$A$97:$CM$109,79+$A$311,FALSE)*((cubicm/gal)*(day/yr))</f>
        <v>0</v>
      </c>
      <c r="W366">
        <f>VLOOKUP(W356,'8. Uncertainty Results'!$A$97:$CM$109,77+$A$311,FALSE)*((cubicm/gal)*(day/yr))</f>
        <v>1.8006077893163344</v>
      </c>
      <c r="X366">
        <f>VLOOKUP(W356,'8. Uncertainty Results'!$A$97:$CM$109,78+$A$311,FALSE)*((cubicm/gal)*(day/yr))</f>
        <v>1.9833297323963681</v>
      </c>
      <c r="Y366">
        <f>VLOOKUP(W356,'8. Uncertainty Results'!$A$97:$CM$109,79+$A$311,FALSE)*((cubicm/gal)*(day/yr))</f>
        <v>2.2091146755510245</v>
      </c>
    </row>
    <row r="367" spans="1:25" x14ac:dyDescent="0.2">
      <c r="A367" s="36" t="s">
        <v>492</v>
      </c>
      <c r="B367">
        <f>VLOOKUP(B356,'8. Uncertainty Results'!$A$203:$D$215,2,FALSE)/1000000/B353</f>
        <v>19.894933982942813</v>
      </c>
      <c r="C367">
        <f>VLOOKUP(B356,'8. Uncertainty Results'!$A$203:$D$215,3,FALSE)/1000000/C353</f>
        <v>13.901060465083315</v>
      </c>
      <c r="D367">
        <f>VLOOKUP(B356,'8. Uncertainty Results'!$A$203:$D$215,4,FALSE)/1000000/D353</f>
        <v>10.580641884256098</v>
      </c>
      <c r="E367">
        <f>VLOOKUP(E356,'8. Uncertainty Results'!$A$203:$D$215,2,FALSE)/1000000</f>
        <v>30.329777237026992</v>
      </c>
      <c r="F367">
        <f>VLOOKUP(E356,'8. Uncertainty Results'!$A$203:$D$215,3,FALSE)/1000000</f>
        <v>34.810209497471384</v>
      </c>
      <c r="G367">
        <f>VLOOKUP(E356,'8. Uncertainty Results'!$A$203:$D$215,4,FALSE)/1000000</f>
        <v>39.804593895523155</v>
      </c>
      <c r="H367">
        <f>VLOOKUP(H356,'8. Uncertainty Results'!$A$203:$D$215,2,FALSE)/1000000</f>
        <v>0.36684257135850085</v>
      </c>
      <c r="I367">
        <f>VLOOKUP(H356,'8. Uncertainty Results'!$A$203:$D$215,3,FALSE)/1000000</f>
        <v>1.9272387365708405</v>
      </c>
      <c r="J367">
        <f>VLOOKUP(H356,'8. Uncertainty Results'!$A$203:$D$215,4,FALSE)/1000000</f>
        <v>9.7366119085476832</v>
      </c>
      <c r="K367">
        <f>VLOOKUP(K356,'8. Uncertainty Results'!$A$203:$D$215,2,FALSE)/1000000</f>
        <v>28.572915147869598</v>
      </c>
      <c r="L367">
        <f>VLOOKUP(K356,'8. Uncertainty Results'!$A$203:$D$215,3,FALSE)/1000000</f>
        <v>36.784589510791825</v>
      </c>
      <c r="M367">
        <f>VLOOKUP(K356,'8. Uncertainty Results'!$A$203:$D$215,4,FALSE)/1000000</f>
        <v>63.986855731934547</v>
      </c>
      <c r="N367">
        <f>VLOOKUP(N356,'8. Uncertainty Results'!$A$203:$D$215,2,FALSE)/1000000</f>
        <v>12.60217290105447</v>
      </c>
      <c r="O367">
        <f>VLOOKUP(N356,'8. Uncertainty Results'!$A$203:$D$215,3,FALSE)/1000000</f>
        <v>19.226978004610444</v>
      </c>
      <c r="P367">
        <f>VLOOKUP(N356,'8. Uncertainty Results'!$A$203:$D$215,4,FALSE)/1000000</f>
        <v>49.036167912910365</v>
      </c>
      <c r="Q367">
        <f>VLOOKUP(Q356,'8. Uncertainty Results'!$A$203:$D$215,2,FALSE)/1000000</f>
        <v>4.9234855062215894</v>
      </c>
      <c r="R367">
        <f>VLOOKUP(Q356,'8. Uncertainty Results'!$A$203:$D$215,3,FALSE)/1000000</f>
        <v>5.37106142092306</v>
      </c>
      <c r="S367">
        <f>VLOOKUP(Q356,'8. Uncertainty Results'!$A$203:$D$215,4,FALSE)/1000000</f>
        <v>5.8389653933930203</v>
      </c>
      <c r="T367">
        <f>VLOOKUP(T356,'8. Uncertainty Results'!$A$203:$D$215,2,FALSE)/1000000</f>
        <v>3.9079818470785299</v>
      </c>
      <c r="U367">
        <f>VLOOKUP(T356,'8. Uncertainty Results'!$A$203:$D$215,3,FALSE)/1000000</f>
        <v>4.2843021047777894</v>
      </c>
      <c r="V367">
        <f>VLOOKUP(T356,'8. Uncertainty Results'!$A$203:$D$215,4,FALSE)/1000000</f>
        <v>4.6474321803099699</v>
      </c>
      <c r="W367">
        <f>VLOOKUP(W356,'8. Uncertainty Results'!$A$203:$D$215,2,FALSE)/1000000</f>
        <v>0.23425673678805656</v>
      </c>
      <c r="X367">
        <f>VLOOKUP(W356,'8. Uncertainty Results'!$A$203:$D$215,3,FALSE)/1000000</f>
        <v>1.1548930353673985</v>
      </c>
      <c r="Y367">
        <f>VLOOKUP(W356,'8. Uncertainty Results'!$A$203:$D$215,4,FALSE)/1000000</f>
        <v>5.5129749020288967</v>
      </c>
    </row>
    <row r="368" spans="1:25" x14ac:dyDescent="0.2">
      <c r="A368" s="36"/>
    </row>
    <row r="370" spans="1:25" x14ac:dyDescent="0.2">
      <c r="A370" s="36" t="s">
        <v>566</v>
      </c>
      <c r="B370" s="481">
        <v>18100204</v>
      </c>
      <c r="C370" s="481"/>
      <c r="D370" s="481"/>
      <c r="E370" s="481">
        <v>16040201</v>
      </c>
      <c r="F370" s="481"/>
      <c r="G370" s="481"/>
      <c r="H370" s="481">
        <v>15030202</v>
      </c>
      <c r="I370" s="481"/>
      <c r="J370" s="481"/>
      <c r="K370" s="481">
        <v>16060011</v>
      </c>
      <c r="L370" s="481"/>
      <c r="M370" s="481"/>
      <c r="N370" s="481">
        <v>16060003</v>
      </c>
      <c r="O370" s="481"/>
      <c r="P370" s="481"/>
      <c r="Q370" s="481">
        <v>16060013</v>
      </c>
      <c r="R370" s="481"/>
      <c r="S370" s="481"/>
      <c r="T370" s="481">
        <v>16060010</v>
      </c>
      <c r="U370" s="481"/>
      <c r="V370" s="481"/>
      <c r="W370" s="481">
        <v>15030201</v>
      </c>
      <c r="X370" s="481"/>
      <c r="Y370" s="481"/>
    </row>
    <row r="371" spans="1:25" x14ac:dyDescent="0.2">
      <c r="A371" s="36"/>
      <c r="B371" s="481" t="s">
        <v>539</v>
      </c>
      <c r="C371" s="481"/>
      <c r="D371" s="481"/>
      <c r="E371" s="481" t="s">
        <v>417</v>
      </c>
      <c r="F371" s="481"/>
      <c r="G371" s="481"/>
      <c r="H371" s="481" t="s">
        <v>418</v>
      </c>
      <c r="I371" s="481"/>
      <c r="J371" s="481"/>
      <c r="K371" s="481" t="s">
        <v>419</v>
      </c>
      <c r="L371" s="481"/>
      <c r="M371" s="481"/>
      <c r="N371" s="481" t="s">
        <v>420</v>
      </c>
      <c r="O371" s="481"/>
      <c r="P371" s="481"/>
      <c r="Q371" s="481" t="s">
        <v>421</v>
      </c>
      <c r="R371" s="481"/>
      <c r="S371" s="481"/>
      <c r="T371" s="481" t="s">
        <v>422</v>
      </c>
      <c r="U371" s="481"/>
      <c r="V371" s="481"/>
      <c r="W371" s="481" t="s">
        <v>423</v>
      </c>
      <c r="X371" s="481"/>
      <c r="Y371" s="481"/>
    </row>
    <row r="372" spans="1:25" x14ac:dyDescent="0.2">
      <c r="A372" s="36"/>
      <c r="B372" s="36" t="s">
        <v>440</v>
      </c>
      <c r="C372" s="36" t="s">
        <v>441</v>
      </c>
      <c r="D372" s="36" t="s">
        <v>442</v>
      </c>
      <c r="E372" s="36" t="s">
        <v>440</v>
      </c>
      <c r="F372" s="36" t="s">
        <v>441</v>
      </c>
      <c r="G372" s="36" t="s">
        <v>442</v>
      </c>
      <c r="H372" s="36" t="s">
        <v>440</v>
      </c>
      <c r="I372" s="36" t="s">
        <v>441</v>
      </c>
      <c r="J372" s="36" t="s">
        <v>442</v>
      </c>
      <c r="K372" s="36" t="s">
        <v>440</v>
      </c>
      <c r="L372" s="36" t="s">
        <v>441</v>
      </c>
      <c r="M372" s="36" t="s">
        <v>442</v>
      </c>
      <c r="N372" s="36" t="s">
        <v>440</v>
      </c>
      <c r="O372" s="36" t="s">
        <v>441</v>
      </c>
      <c r="P372" s="36" t="s">
        <v>442</v>
      </c>
      <c r="Q372" s="36" t="s">
        <v>440</v>
      </c>
      <c r="R372" s="36" t="s">
        <v>441</v>
      </c>
      <c r="S372" s="36" t="s">
        <v>442</v>
      </c>
      <c r="T372" s="36" t="s">
        <v>440</v>
      </c>
      <c r="U372" s="36" t="s">
        <v>441</v>
      </c>
      <c r="V372" s="36" t="s">
        <v>442</v>
      </c>
      <c r="W372" s="36" t="s">
        <v>440</v>
      </c>
      <c r="X372" s="36" t="s">
        <v>441</v>
      </c>
      <c r="Y372" s="36" t="s">
        <v>442</v>
      </c>
    </row>
    <row r="373" spans="1:25" x14ac:dyDescent="0.2">
      <c r="A373" s="36" t="s">
        <v>436</v>
      </c>
      <c r="B373">
        <f>VLOOKUP(B370,'8. Uncertainty Results'!$B$486:$E$498,2,FALSE)*(cubicm/gal)*(day/yr)</f>
        <v>618.9713608837377</v>
      </c>
      <c r="C373">
        <f>B373</f>
        <v>618.9713608837377</v>
      </c>
      <c r="D373">
        <f>B373</f>
        <v>618.9713608837377</v>
      </c>
      <c r="E373">
        <f>VLOOKUP(E370,'8. Uncertainty Results'!$B$486:$E$498,2,FALSE)*(cubicm/gal)*(day/yr)</f>
        <v>104.71432153442625</v>
      </c>
      <c r="F373">
        <f t="shared" ref="F373" si="175">E373</f>
        <v>104.71432153442625</v>
      </c>
      <c r="G373">
        <f t="shared" ref="G373:G374" si="176">E373</f>
        <v>104.71432153442625</v>
      </c>
      <c r="H373">
        <f>VLOOKUP(H370,'8. Uncertainty Results'!$B$486:$E$498,2,FALSE)*(cubicm/gal)*(day/yr)</f>
        <v>57.09257707415945</v>
      </c>
      <c r="I373">
        <f t="shared" ref="I373" si="177">H373</f>
        <v>57.09257707415945</v>
      </c>
      <c r="J373">
        <f t="shared" ref="J373:J374" si="178">H373</f>
        <v>57.09257707415945</v>
      </c>
      <c r="K373">
        <f>VLOOKUP(K370,'8. Uncertainty Results'!$B$486:$E$498,2,FALSE)*(cubicm/gal)*(day/yr)</f>
        <v>60.493213342698439</v>
      </c>
      <c r="L373">
        <f t="shared" ref="L373" si="179">K373</f>
        <v>60.493213342698439</v>
      </c>
      <c r="M373">
        <f t="shared" ref="M373:M374" si="180">K373</f>
        <v>60.493213342698439</v>
      </c>
      <c r="N373">
        <f>VLOOKUP(N370,'8. Uncertainty Results'!$B$486:$E$498,2,FALSE)*(cubicm/gal)*(day/yr)</f>
        <v>48.531278970669902</v>
      </c>
      <c r="O373">
        <f t="shared" ref="O373" si="181">N373</f>
        <v>48.531278970669902</v>
      </c>
      <c r="P373">
        <f t="shared" ref="P373:P374" si="182">N373</f>
        <v>48.531278970669902</v>
      </c>
      <c r="Q373">
        <f>VLOOKUP(Q370,'8. Uncertainty Results'!$B$486:$E$498,2,FALSE)*(cubicm/gal)*(day/yr)</f>
        <v>45.174800514685394</v>
      </c>
      <c r="R373">
        <f t="shared" ref="R373" si="183">Q373</f>
        <v>45.174800514685394</v>
      </c>
      <c r="S373">
        <f t="shared" ref="S373:S374" si="184">Q373</f>
        <v>45.174800514685394</v>
      </c>
      <c r="T373">
        <f>VLOOKUP(T370,'8. Uncertainty Results'!$B$486:$E$498,2,FALSE)*(cubicm/gal)*(day/yr)</f>
        <v>54.531022901124814</v>
      </c>
      <c r="U373">
        <f t="shared" ref="U373" si="185">T373</f>
        <v>54.531022901124814</v>
      </c>
      <c r="V373">
        <f t="shared" ref="V373:V374" si="186">T373</f>
        <v>54.531022901124814</v>
      </c>
      <c r="W373">
        <f>VLOOKUP(W370,'8. Uncertainty Results'!$B$486:$E$498,2,FALSE)*(cubicm/gal)*(day/yr)</f>
        <v>108.75954578608642</v>
      </c>
      <c r="X373">
        <f t="shared" ref="X373" si="187">W373</f>
        <v>108.75954578608642</v>
      </c>
      <c r="Y373">
        <f t="shared" ref="Y373:Y374" si="188">W373</f>
        <v>108.75954578608642</v>
      </c>
    </row>
    <row r="374" spans="1:25" x14ac:dyDescent="0.2">
      <c r="A374" s="36" t="s">
        <v>437</v>
      </c>
      <c r="B374">
        <f>VLOOKUP(B370,'8. Uncertainty Results'!$B$486:$E$498,4,FALSE)*(cubicm/gal)*(day/yr)</f>
        <v>622.52687222170437</v>
      </c>
      <c r="C374">
        <f>B374</f>
        <v>622.52687222170437</v>
      </c>
      <c r="D374">
        <f>B374</f>
        <v>622.52687222170437</v>
      </c>
      <c r="E374">
        <f>VLOOKUP(E370,'8. Uncertainty Results'!$B$486:$E$498,4,FALSE)*(cubicm/gal)*(day/yr)</f>
        <v>412.14939154559391</v>
      </c>
      <c r="F374">
        <f t="shared" ref="F374" si="189">E374</f>
        <v>412.14939154559391</v>
      </c>
      <c r="G374">
        <f t="shared" si="176"/>
        <v>412.14939154559391</v>
      </c>
      <c r="H374">
        <f>VLOOKUP(H370,'8. Uncertainty Results'!$B$486:$E$498,4,FALSE)*(cubicm/gal)*(day/yr)</f>
        <v>201.45351464332091</v>
      </c>
      <c r="I374">
        <f t="shared" ref="I374" si="190">H374</f>
        <v>201.45351464332091</v>
      </c>
      <c r="J374">
        <f t="shared" si="178"/>
        <v>201.45351464332091</v>
      </c>
      <c r="K374">
        <f>VLOOKUP(K370,'8. Uncertainty Results'!$B$486:$E$498,4,FALSE)*(cubicm/gal)*(day/yr)</f>
        <v>208.28563550916417</v>
      </c>
      <c r="L374">
        <f t="shared" ref="L374" si="191">K374</f>
        <v>208.28563550916417</v>
      </c>
      <c r="M374">
        <f t="shared" si="180"/>
        <v>208.28563550916417</v>
      </c>
      <c r="N374">
        <f>VLOOKUP(N370,'8. Uncertainty Results'!$B$486:$E$498,4,FALSE)*(cubicm/gal)*(day/yr)</f>
        <v>269.64816823643315</v>
      </c>
      <c r="O374">
        <f t="shared" ref="O374" si="192">N374</f>
        <v>269.64816823643315</v>
      </c>
      <c r="P374">
        <f t="shared" si="182"/>
        <v>269.64816823643315</v>
      </c>
      <c r="Q374">
        <f>VLOOKUP(Q370,'8. Uncertainty Results'!$B$486:$E$498,4,FALSE)*(cubicm/gal)*(day/yr)</f>
        <v>203.81281906641709</v>
      </c>
      <c r="R374">
        <f t="shared" ref="R374" si="193">Q374</f>
        <v>203.81281906641709</v>
      </c>
      <c r="S374">
        <f t="shared" si="184"/>
        <v>203.81281906641709</v>
      </c>
      <c r="T374">
        <f>VLOOKUP(T370,'8. Uncertainty Results'!$B$486:$E$498,4,FALSE)*(cubicm/gal)*(day/yr)</f>
        <v>151.32036690431366</v>
      </c>
      <c r="U374">
        <f t="shared" ref="U374" si="194">T374</f>
        <v>151.32036690431366</v>
      </c>
      <c r="V374">
        <f t="shared" si="186"/>
        <v>151.32036690431366</v>
      </c>
      <c r="W374">
        <f>VLOOKUP(W370,'8. Uncertainty Results'!$B$486:$E$498,4,FALSE)*(cubicm/gal)*(day/yr)</f>
        <v>462.54532147581159</v>
      </c>
      <c r="X374">
        <f t="shared" ref="X374" si="195">W374</f>
        <v>462.54532147581159</v>
      </c>
      <c r="Y374">
        <f t="shared" si="188"/>
        <v>462.54532147581159</v>
      </c>
    </row>
    <row r="375" spans="1:25" x14ac:dyDescent="0.2">
      <c r="A375" s="36" t="s">
        <v>438</v>
      </c>
      <c r="B375">
        <f>VLOOKUP(B370,'8. Uncertainty Results'!$A$115:$CM$126,2+$A$311,FALSE)*((cubicm/gal)*(day/yr))/B353</f>
        <v>18.729597343912861</v>
      </c>
      <c r="C375">
        <f>VLOOKUP(B370,'8. Uncertainty Results'!$A$115:$CM$126,3+$A$311,FALSE)*((cubicm/gal)*(day/yr))/C353</f>
        <v>12.835004668633813</v>
      </c>
      <c r="D375">
        <f>VLOOKUP(B370,'8. Uncertainty Results'!$A$115:$CM$126,4+$A$311,FALSE)*((cubicm/gal)*(day/yr))/D353</f>
        <v>9.6264707955181663</v>
      </c>
      <c r="E375">
        <f>VLOOKUP(E370,'8. Uncertainty Results'!$A$115:$CM$126,2+$A$311,FALSE)*((cubicm/gal)*(day/yr))</f>
        <v>0</v>
      </c>
      <c r="F375">
        <f>VLOOKUP(E370,'8. Uncertainty Results'!$A$115:$CM$126,3+$A$311,FALSE)*((cubicm/gal)*(day/yr))</f>
        <v>0</v>
      </c>
      <c r="G375">
        <f>VLOOKUP(E370,'8. Uncertainty Results'!$A$115:$CM$126,4+$A$311,FALSE)*((cubicm/gal)*(day/yr))</f>
        <v>0</v>
      </c>
      <c r="H375">
        <f>VLOOKUP(H370,'8. Uncertainty Results'!$A$115:$CM$126,2+$A$311,FALSE)*((cubicm/gal)*(day/yr))</f>
        <v>30.938068618172501</v>
      </c>
      <c r="I375">
        <f>VLOOKUP(H370,'8. Uncertainty Results'!$A$115:$CM$126,3+$A$311,FALSE)*((cubicm/gal)*(day/yr))</f>
        <v>33.937734533055902</v>
      </c>
      <c r="J375">
        <f>VLOOKUP(H370,'8. Uncertainty Results'!$A$115:$CM$126,4+$A$311,FALSE)*((cubicm/gal)*(day/yr))</f>
        <v>36.994172505263215</v>
      </c>
      <c r="K375">
        <f>VLOOKUP(K370,'8. Uncertainty Results'!$A$115:$CM$126,2+$A$311,FALSE)*((cubicm/gal)*(day/yr))</f>
        <v>0.12420842563060767</v>
      </c>
      <c r="L375">
        <f>VLOOKUP(K370,'8. Uncertainty Results'!$A$115:$CM$126,3+$A$311,FALSE)*((cubicm/gal)*(day/yr))</f>
        <v>0.13633830645256464</v>
      </c>
      <c r="M375">
        <f>VLOOKUP(K370,'8. Uncertainty Results'!$A$115:$CM$126,4+$A$311,FALSE)*((cubicm/gal)*(day/yr))</f>
        <v>0.14860256131338284</v>
      </c>
      <c r="N375">
        <f>VLOOKUP(N370,'8. Uncertainty Results'!$A$115:$CM$126,2+$A$311,FALSE)*((cubicm/gal)*(day/yr))</f>
        <v>8.288439141431464E-2</v>
      </c>
      <c r="O375">
        <f>VLOOKUP(N370,'8. Uncertainty Results'!$A$115:$CM$126,3+$A$311,FALSE)*((cubicm/gal)*(day/yr))</f>
        <v>9.1014013144118708E-2</v>
      </c>
      <c r="P375">
        <f>VLOOKUP(N370,'8. Uncertainty Results'!$A$115:$CM$126,4+$A$311,FALSE)*((cubicm/gal)*(day/yr))</f>
        <v>9.8992599797364411E-2</v>
      </c>
      <c r="Q375">
        <f>VLOOKUP(Q370,'8. Uncertainty Results'!$A$115:$CM$126,2+$A$311,FALSE)*((cubicm/gal)*(day/yr))</f>
        <v>0.12404812013718808</v>
      </c>
      <c r="R375">
        <f>VLOOKUP(Q370,'8. Uncertainty Results'!$A$115:$CM$126,3+$A$311,FALSE)*((cubicm/gal)*(day/yr))</f>
        <v>0.13650635956865381</v>
      </c>
      <c r="S375">
        <f>VLOOKUP(Q370,'8. Uncertainty Results'!$A$115:$CM$126,4+$A$311,FALSE)*((cubicm/gal)*(day/yr))</f>
        <v>0.14839848242219503</v>
      </c>
      <c r="T375">
        <f>VLOOKUP(T370,'8. Uncertainty Results'!$A$115:$CM$126,2+$A$311,FALSE)*((cubicm/gal)*(day/yr))</f>
        <v>20.274532988361731</v>
      </c>
      <c r="U375">
        <f>VLOOKUP(T370,'8. Uncertainty Results'!$A$115:$CM$126,3+$A$311,FALSE)*((cubicm/gal)*(day/yr))</f>
        <v>21.757877222802602</v>
      </c>
      <c r="V375">
        <f>VLOOKUP(T370,'8. Uncertainty Results'!$A$115:$CM$126,4+$A$311,FALSE)*((cubicm/gal)*(day/yr))</f>
        <v>23.20647003572881</v>
      </c>
      <c r="W375">
        <f>VLOOKUP(W370,'8. Uncertainty Results'!$A$115:$CM$126,2+$A$311,FALSE)*((cubicm/gal)*(day/yr))</f>
        <v>30.893012430817929</v>
      </c>
      <c r="X375">
        <f>VLOOKUP(W370,'8. Uncertainty Results'!$A$115:$CM$126,3+$A$311,FALSE)*((cubicm/gal)*(day/yr))</f>
        <v>33.965065175236589</v>
      </c>
      <c r="Y375">
        <f>VLOOKUP(W370,'8. Uncertainty Results'!$A$115:$CM$126,4+$A$311,FALSE)*((cubicm/gal)*(day/yr))</f>
        <v>37.004398425472665</v>
      </c>
    </row>
    <row r="376" spans="1:25" x14ac:dyDescent="0.2">
      <c r="A376" s="36" t="s">
        <v>400</v>
      </c>
      <c r="B376">
        <f>VLOOKUP(B370,'8. Uncertainty Results'!$A$115:$CM$126,17+$A$311,FALSE)*((cubicm/gal)*(day/yr))/B353</f>
        <v>31.103838160785163</v>
      </c>
      <c r="C376">
        <f>VLOOKUP(B370,'8. Uncertainty Results'!$A$115:$CM$126,18+$A$311,FALSE)*((cubicm/gal)*(day/yr))/C353</f>
        <v>22.313219411007026</v>
      </c>
      <c r="D376">
        <f>VLOOKUP(B370,'8. Uncertainty Results'!$A$115:$CM$126,19+$A$311,FALSE)*((cubicm/gal)*(day/yr))/D353</f>
        <v>17.135847993428438</v>
      </c>
      <c r="E376">
        <f>VLOOKUP(E370,'8. Uncertainty Results'!$A$115:$CM$126,17+$A$311,FALSE)*((cubicm/gal)*(day/yr))</f>
        <v>4.7714346018566465</v>
      </c>
      <c r="F376">
        <f>VLOOKUP(E370,'8. Uncertainty Results'!$A$115:$CM$126,18+$A$311,FALSE)*((cubicm/gal)*(day/yr))</f>
        <v>5.0802293345354306</v>
      </c>
      <c r="G376">
        <f>VLOOKUP(E370,'8. Uncertainty Results'!$A$115:$CM$126,19+$A$311,FALSE)*((cubicm/gal)*(day/yr))</f>
        <v>5.4673592555369748</v>
      </c>
      <c r="H376">
        <f>VLOOKUP(H370,'8. Uncertainty Results'!$A$115:$CM$126,17+$A$311,FALSE)*((cubicm/gal)*(day/yr))</f>
        <v>63.329254141234308</v>
      </c>
      <c r="I376">
        <f>VLOOKUP(H370,'8. Uncertainty Results'!$A$115:$CM$126,18+$A$311,FALSE)*((cubicm/gal)*(day/yr))</f>
        <v>72.07281938350593</v>
      </c>
      <c r="J376">
        <f>VLOOKUP(H370,'8. Uncertainty Results'!$A$115:$CM$126,19+$A$311,FALSE)*((cubicm/gal)*(day/yr))</f>
        <v>81.738363566558021</v>
      </c>
      <c r="K376">
        <f>VLOOKUP(K370,'8. Uncertainty Results'!$A$115:$CM$126,17+$A$311,FALSE)*((cubicm/gal)*(day/yr))</f>
        <v>9.0798591295076161</v>
      </c>
      <c r="L376">
        <f>VLOOKUP(K370,'8. Uncertainty Results'!$A$115:$CM$126,18+$A$311,FALSE)*((cubicm/gal)*(day/yr))</f>
        <v>10.172764685637215</v>
      </c>
      <c r="M376">
        <f>VLOOKUP(K370,'8. Uncertainty Results'!$A$115:$CM$126,19+$A$311,FALSE)*((cubicm/gal)*(day/yr))</f>
        <v>11.419893763137614</v>
      </c>
      <c r="N376">
        <f>VLOOKUP(N370,'8. Uncertainty Results'!$A$115:$CM$126,17+$A$311,FALSE)*((cubicm/gal)*(day/yr))</f>
        <v>6.3237895578692758</v>
      </c>
      <c r="O376">
        <f>VLOOKUP(N370,'8. Uncertainty Results'!$A$115:$CM$126,18+$A$311,FALSE)*((cubicm/gal)*(day/yr))</f>
        <v>7.0637221722790482</v>
      </c>
      <c r="P376">
        <f>VLOOKUP(N370,'8. Uncertainty Results'!$A$115:$CM$126,19+$A$311,FALSE)*((cubicm/gal)*(day/yr))</f>
        <v>7.9250824310191383</v>
      </c>
      <c r="Q376">
        <f>VLOOKUP(Q370,'8. Uncertainty Results'!$A$115:$CM$126,17+$A$311,FALSE)*((cubicm/gal)*(day/yr))</f>
        <v>9.0779562237573863</v>
      </c>
      <c r="R376">
        <f>VLOOKUP(Q370,'8. Uncertainty Results'!$A$115:$CM$126,18+$A$311,FALSE)*((cubicm/gal)*(day/yr))</f>
        <v>10.174491551259667</v>
      </c>
      <c r="S376">
        <f>VLOOKUP(Q370,'8. Uncertainty Results'!$A$115:$CM$126,19+$A$311,FALSE)*((cubicm/gal)*(day/yr))</f>
        <v>11.469058477714848</v>
      </c>
      <c r="T376">
        <f>VLOOKUP(T370,'8. Uncertainty Results'!$A$115:$CM$126,17+$A$311,FALSE)*((cubicm/gal)*(day/yr))</f>
        <v>1.3142671255679359</v>
      </c>
      <c r="U376">
        <f>VLOOKUP(T370,'8. Uncertainty Results'!$A$115:$CM$126,18+$A$311,FALSE)*((cubicm/gal)*(day/yr))</f>
        <v>1.4643130897815073</v>
      </c>
      <c r="V376">
        <f>VLOOKUP(T370,'8. Uncertainty Results'!$A$115:$CM$126,19+$A$311,FALSE)*((cubicm/gal)*(day/yr))</f>
        <v>1.6082264796097017</v>
      </c>
      <c r="W376">
        <f>VLOOKUP(W370,'8. Uncertainty Results'!$A$115:$CM$126,17+$A$311,FALSE)*((cubicm/gal)*(day/yr))</f>
        <v>63.497140381216099</v>
      </c>
      <c r="X376">
        <f>VLOOKUP(W370,'8. Uncertainty Results'!$A$115:$CM$126,18+$A$311,FALSE)*((cubicm/gal)*(day/yr))</f>
        <v>72.29712515877128</v>
      </c>
      <c r="Y376">
        <f>VLOOKUP(W370,'8. Uncertainty Results'!$A$115:$CM$126,19+$A$311,FALSE)*((cubicm/gal)*(day/yr))</f>
        <v>81.666539316889612</v>
      </c>
    </row>
    <row r="377" spans="1:25" x14ac:dyDescent="0.2">
      <c r="A377" s="36" t="s">
        <v>401</v>
      </c>
      <c r="B377">
        <f>VLOOKUP(B370,'8. Uncertainty Results'!$A$115:$CM$126,32+$A$311,FALSE)*((cubicm/gal)*(day/yr))/B353</f>
        <v>0</v>
      </c>
      <c r="C377">
        <f>VLOOKUP(B370,'8. Uncertainty Results'!$A$115:$CM$126,33+$A$311,FALSE)*((cubicm/gal)*(day/yr))/C353</f>
        <v>0</v>
      </c>
      <c r="D377">
        <f>VLOOKUP(B370,'8. Uncertainty Results'!$A$115:$CM$126,34+$A$311,FALSE)*((cubicm/gal)*(day/yr))/D353</f>
        <v>0</v>
      </c>
      <c r="E377">
        <f>VLOOKUP(E370,'8. Uncertainty Results'!$A$115:$CM$126,32+$A$311,FALSE)*((cubicm/gal)*(day/yr))</f>
        <v>0</v>
      </c>
      <c r="F377">
        <f>VLOOKUP(E370,'8. Uncertainty Results'!$A$115:$CM$126,33+$A$311,FALSE)*((cubicm/gal)*(day/yr))</f>
        <v>0</v>
      </c>
      <c r="G377">
        <f>VLOOKUP(E370,'8. Uncertainty Results'!$A$115:$CM$126,34+$A$311,FALSE)*((cubicm/gal)*(day/yr))</f>
        <v>0</v>
      </c>
      <c r="H377">
        <f>VLOOKUP(H370,'8. Uncertainty Results'!$A$115:$CM$126,32+$A$311,FALSE)*((cubicm/gal)*(day/yr))</f>
        <v>0</v>
      </c>
      <c r="I377">
        <f>VLOOKUP(H370,'8. Uncertainty Results'!$A$115:$CM$126,33+$A$311,FALSE)*((cubicm/gal)*(day/yr))</f>
        <v>0</v>
      </c>
      <c r="J377">
        <f>VLOOKUP(H370,'8. Uncertainty Results'!$A$115:$CM$126,34+$A$311,FALSE)*((cubicm/gal)*(day/yr))</f>
        <v>0</v>
      </c>
      <c r="K377">
        <f>VLOOKUP(K370,'8. Uncertainty Results'!$A$115:$CM$126,32+$A$311,FALSE)*((cubicm/gal)*(day/yr))</f>
        <v>0</v>
      </c>
      <c r="L377">
        <f>VLOOKUP(K370,'8. Uncertainty Results'!$A$115:$CM$126,33+$A$311,FALSE)*((cubicm/gal)*(day/yr))</f>
        <v>0</v>
      </c>
      <c r="M377">
        <f>VLOOKUP(K370,'8. Uncertainty Results'!$A$115:$CM$126,34+$A$311,FALSE)*((cubicm/gal)*(day/yr))</f>
        <v>0</v>
      </c>
      <c r="N377">
        <f>VLOOKUP(N370,'8. Uncertainty Results'!$A$115:$CM$126,32+$A$311,FALSE)*((cubicm/gal)*(day/yr))</f>
        <v>0</v>
      </c>
      <c r="O377">
        <f>VLOOKUP(N370,'8. Uncertainty Results'!$A$115:$CM$126,33+$A$311,FALSE)*((cubicm/gal)*(day/yr))</f>
        <v>0</v>
      </c>
      <c r="P377">
        <f>VLOOKUP(N370,'8. Uncertainty Results'!$A$115:$CM$126,34+$A$311,FALSE)*((cubicm/gal)*(day/yr))</f>
        <v>0</v>
      </c>
      <c r="Q377">
        <f>VLOOKUP(Q370,'8. Uncertainty Results'!$A$115:$CM$126,32+$A$311,FALSE)*((cubicm/gal)*(day/yr))</f>
        <v>0</v>
      </c>
      <c r="R377">
        <f>VLOOKUP(Q370,'8. Uncertainty Results'!$A$115:$CM$126,33+$A$311,FALSE)*((cubicm/gal)*(day/yr))</f>
        <v>0</v>
      </c>
      <c r="S377">
        <f>VLOOKUP(Q370,'8. Uncertainty Results'!$A$115:$CM$126,34+$A$311,FALSE)*((cubicm/gal)*(day/yr))</f>
        <v>0</v>
      </c>
      <c r="T377">
        <f>VLOOKUP(T370,'8. Uncertainty Results'!$A$115:$CM$126,32+$A$311,FALSE)*((cubicm/gal)*(day/yr))</f>
        <v>0</v>
      </c>
      <c r="U377">
        <f>VLOOKUP(T370,'8. Uncertainty Results'!$A$115:$CM$126,33+$A$311,FALSE)*((cubicm/gal)*(day/yr))</f>
        <v>0</v>
      </c>
      <c r="V377">
        <f>VLOOKUP(T370,'8. Uncertainty Results'!$A$115:$CM$126,34+$A$311,FALSE)*((cubicm/gal)*(day/yr))</f>
        <v>0</v>
      </c>
      <c r="W377">
        <f>VLOOKUP(W370,'8. Uncertainty Results'!$A$115:$CM$126,32+$A$311,FALSE)*((cubicm/gal)*(day/yr))</f>
        <v>0</v>
      </c>
      <c r="X377">
        <f>VLOOKUP(W370,'8. Uncertainty Results'!$A$115:$CM$126,33+$A$311,FALSE)*((cubicm/gal)*(day/yr))</f>
        <v>0</v>
      </c>
      <c r="Y377">
        <f>VLOOKUP(W370,'8. Uncertainty Results'!$A$115:$CM$126,34+$A$311,FALSE)*((cubicm/gal)*(day/yr))</f>
        <v>0</v>
      </c>
    </row>
    <row r="378" spans="1:25" x14ac:dyDescent="0.2">
      <c r="A378" s="36" t="s">
        <v>402</v>
      </c>
      <c r="B378">
        <f>VLOOKUP(B370,'8. Uncertainty Results'!$A$115:$CM$126,47+$A$311,FALSE)*((cubicm/gal)*(day/yr))/B353</f>
        <v>839.57534216871818</v>
      </c>
      <c r="C378">
        <f>VLOOKUP(B370,'8. Uncertainty Results'!$A$115:$CM$126,48+$A$311,FALSE)*((cubicm/gal)*(day/yr))/C353</f>
        <v>1199.8619633473438</v>
      </c>
      <c r="D378">
        <f>VLOOKUP(B370,'8. Uncertainty Results'!$A$115:$CM$126,49+$A$311,FALSE)*((cubicm/gal)*(day/yr))/D353</f>
        <v>1465.3800270121851</v>
      </c>
      <c r="E378">
        <f>VLOOKUP(E370,'8. Uncertainty Results'!$A$115:$CM$126,47+$A$311,FALSE)*((cubicm/gal)*(day/yr))</f>
        <v>368.49370130641057</v>
      </c>
      <c r="F378">
        <f>VLOOKUP(E370,'8. Uncertainty Results'!$A$115:$CM$126,48+$A$311,FALSE)*((cubicm/gal)*(day/yr))</f>
        <v>501.94624963517708</v>
      </c>
      <c r="G378">
        <f>VLOOKUP(E370,'8. Uncertainty Results'!$A$115:$CM$126,49+$A$311,FALSE)*((cubicm/gal)*(day/yr))</f>
        <v>666.23371536216848</v>
      </c>
      <c r="H378">
        <f>VLOOKUP(H370,'8. Uncertainty Results'!$A$115:$CM$126,47+$A$311,FALSE)*((cubicm/gal)*(day/yr))</f>
        <v>21.298676940281482</v>
      </c>
      <c r="I378">
        <f>VLOOKUP(H370,'8. Uncertainty Results'!$A$115:$CM$126,48+$A$311,FALSE)*((cubicm/gal)*(day/yr))</f>
        <v>38.87390582958043</v>
      </c>
      <c r="J378">
        <f>VLOOKUP(H370,'8. Uncertainty Results'!$A$115:$CM$126,49+$A$311,FALSE)*((cubicm/gal)*(day/yr))</f>
        <v>61.195284180983094</v>
      </c>
      <c r="K378">
        <f>VLOOKUP(K370,'8. Uncertainty Results'!$A$115:$CM$126,47+$A$311,FALSE)*((cubicm/gal)*(day/yr))</f>
        <v>17.678536866329765</v>
      </c>
      <c r="L378">
        <f>VLOOKUP(K370,'8. Uncertainty Results'!$A$115:$CM$126,48+$A$311,FALSE)*((cubicm/gal)*(day/yr))</f>
        <v>35.567564166053266</v>
      </c>
      <c r="M378">
        <f>VLOOKUP(K370,'8. Uncertainty Results'!$A$115:$CM$126,49+$A$311,FALSE)*((cubicm/gal)*(day/yr))</f>
        <v>61.154321432634219</v>
      </c>
      <c r="N378">
        <f>VLOOKUP(N370,'8. Uncertainty Results'!$A$115:$CM$126,47+$A$311,FALSE)*((cubicm/gal)*(day/yr))</f>
        <v>12.738899070133257</v>
      </c>
      <c r="O378">
        <f>VLOOKUP(N370,'8. Uncertainty Results'!$A$115:$CM$126,48+$A$311,FALSE)*((cubicm/gal)*(day/yr))</f>
        <v>25.549462116095025</v>
      </c>
      <c r="P378">
        <f>VLOOKUP(N370,'8. Uncertainty Results'!$A$115:$CM$126,49+$A$311,FALSE)*((cubicm/gal)*(day/yr))</f>
        <v>44.406979703728631</v>
      </c>
      <c r="Q378">
        <f>VLOOKUP(Q370,'8. Uncertainty Results'!$A$115:$CM$126,47+$A$311,FALSE)*((cubicm/gal)*(day/yr))</f>
        <v>17.443547280953489</v>
      </c>
      <c r="R378">
        <f>VLOOKUP(Q370,'8. Uncertainty Results'!$A$115:$CM$126,48+$A$311,FALSE)*((cubicm/gal)*(day/yr))</f>
        <v>35.23920511620603</v>
      </c>
      <c r="S378">
        <f>VLOOKUP(Q370,'8. Uncertainty Results'!$A$115:$CM$126,49+$A$311,FALSE)*((cubicm/gal)*(day/yr))</f>
        <v>61.126172335620815</v>
      </c>
      <c r="T378">
        <f>VLOOKUP(T370,'8. Uncertainty Results'!$A$115:$CM$126,47+$A$311,FALSE)*((cubicm/gal)*(day/yr))</f>
        <v>11.767735542301978</v>
      </c>
      <c r="U378">
        <f>VLOOKUP(T370,'8. Uncertainty Results'!$A$115:$CM$126,48+$A$311,FALSE)*((cubicm/gal)*(day/yr))</f>
        <v>23.514943566933052</v>
      </c>
      <c r="V378">
        <f>VLOOKUP(T370,'8. Uncertainty Results'!$A$115:$CM$126,49+$A$311,FALSE)*((cubicm/gal)*(day/yr))</f>
        <v>41.129553855894464</v>
      </c>
      <c r="W378">
        <f>VLOOKUP(W370,'8. Uncertainty Results'!$A$115:$CM$126,47+$A$311,FALSE)*((cubicm/gal)*(day/yr))</f>
        <v>21.329174003343045</v>
      </c>
      <c r="X378">
        <f>VLOOKUP(W370,'8. Uncertainty Results'!$A$115:$CM$126,48+$A$311,FALSE)*((cubicm/gal)*(day/yr))</f>
        <v>38.464186267939084</v>
      </c>
      <c r="Y378">
        <f>VLOOKUP(W370,'8. Uncertainty Results'!$A$115:$CM$126,49+$A$311,FALSE)*((cubicm/gal)*(day/yr))</f>
        <v>60.897476642796228</v>
      </c>
    </row>
    <row r="379" spans="1:25" x14ac:dyDescent="0.2">
      <c r="A379" s="36" t="s">
        <v>403</v>
      </c>
      <c r="B379">
        <f>VLOOKUP(B370,'8. Uncertainty Results'!$A$115:$CM$126,62+$A$311,FALSE)*((cubicm/gal)*(day/yr))/B353</f>
        <v>5.1089612979212626</v>
      </c>
      <c r="C379">
        <f>VLOOKUP(B370,'8. Uncertainty Results'!$A$115:$CM$126,63+$A$311,FALSE)*((cubicm/gal)*(day/yr))/C353</f>
        <v>3.3622188108016</v>
      </c>
      <c r="D379">
        <f>VLOOKUP(B370,'8. Uncertainty Results'!$A$115:$CM$126,64+$A$311,FALSE)*((cubicm/gal)*(day/yr))/D353</f>
        <v>2.4411255530281206</v>
      </c>
      <c r="E379">
        <f>VLOOKUP(E370,'8. Uncertainty Results'!$A$115:$CM$126,62+$A$311,FALSE)*((cubicm/gal)*(day/yr))</f>
        <v>1.2217216954584778</v>
      </c>
      <c r="F379">
        <f>VLOOKUP(E370,'8. Uncertainty Results'!$A$115:$CM$126,63+$A$311,FALSE)*((cubicm/gal)*(day/yr))</f>
        <v>1.2727761361305292</v>
      </c>
      <c r="G379">
        <f>VLOOKUP(E370,'8. Uncertainty Results'!$A$115:$CM$126,64+$A$311,FALSE)*((cubicm/gal)*(day/yr))</f>
        <v>1.3284953517343261</v>
      </c>
      <c r="H379">
        <f>VLOOKUP(H370,'8. Uncertainty Results'!$A$115:$CM$126,62+$A$311,FALSE)*((cubicm/gal)*(day/yr))</f>
        <v>0.57348432939318605</v>
      </c>
      <c r="I379">
        <f>VLOOKUP(H370,'8. Uncertainty Results'!$A$115:$CM$126,63+$A$311,FALSE)*((cubicm/gal)*(day/yr))</f>
        <v>0.60371070267214</v>
      </c>
      <c r="J379">
        <f>VLOOKUP(H370,'8. Uncertainty Results'!$A$115:$CM$126,64+$A$311,FALSE)*((cubicm/gal)*(day/yr))</f>
        <v>0.63575260417611723</v>
      </c>
      <c r="K379">
        <f>VLOOKUP(K370,'8. Uncertainty Results'!$A$115:$CM$126,62+$A$311,FALSE)*((cubicm/gal)*(day/yr))</f>
        <v>0.3179797644503547</v>
      </c>
      <c r="L379">
        <f>VLOOKUP(K370,'8. Uncertainty Results'!$A$115:$CM$126,63+$A$311,FALSE)*((cubicm/gal)*(day/yr))</f>
        <v>0.3353724960589719</v>
      </c>
      <c r="M379">
        <f>VLOOKUP(K370,'8. Uncertainty Results'!$A$115:$CM$126,64+$A$311,FALSE)*((cubicm/gal)*(day/yr))</f>
        <v>0.35336212602724448</v>
      </c>
      <c r="N379">
        <f>VLOOKUP(N370,'8. Uncertainty Results'!$A$115:$CM$126,62+$A$311,FALSE)*((cubicm/gal)*(day/yr))</f>
        <v>0.22461303998698559</v>
      </c>
      <c r="O379">
        <f>VLOOKUP(N370,'8. Uncertainty Results'!$A$115:$CM$126,63+$A$311,FALSE)*((cubicm/gal)*(day/yr))</f>
        <v>0.23640075185355652</v>
      </c>
      <c r="P379">
        <f>VLOOKUP(N370,'8. Uncertainty Results'!$A$115:$CM$126,64+$A$311,FALSE)*((cubicm/gal)*(day/yr))</f>
        <v>0.2492557438098299</v>
      </c>
      <c r="Q379">
        <f>VLOOKUP(Q370,'8. Uncertainty Results'!$A$115:$CM$126,62+$A$311,FALSE)*((cubicm/gal)*(day/yr))</f>
        <v>0.31860390617958667</v>
      </c>
      <c r="R379">
        <f>VLOOKUP(Q370,'8. Uncertainty Results'!$A$115:$CM$126,63+$A$311,FALSE)*((cubicm/gal)*(day/yr))</f>
        <v>0.33543253782556887</v>
      </c>
      <c r="S379">
        <f>VLOOKUP(Q370,'8. Uncertainty Results'!$A$115:$CM$126,64+$A$311,FALSE)*((cubicm/gal)*(day/yr))</f>
        <v>0.35346099342576037</v>
      </c>
      <c r="T379">
        <f>VLOOKUP(T370,'8. Uncertainty Results'!$A$115:$CM$126,62+$A$311,FALSE)*((cubicm/gal)*(day/yr))</f>
        <v>0.11512790364485552</v>
      </c>
      <c r="U379">
        <f>VLOOKUP(T370,'8. Uncertainty Results'!$A$115:$CM$126,63+$A$311,FALSE)*((cubicm/gal)*(day/yr))</f>
        <v>0.11904411880417483</v>
      </c>
      <c r="V379">
        <f>VLOOKUP(T370,'8. Uncertainty Results'!$A$115:$CM$126,64+$A$311,FALSE)*((cubicm/gal)*(day/yr))</f>
        <v>0.12348434862899782</v>
      </c>
      <c r="W379">
        <f>VLOOKUP(W370,'8. Uncertainty Results'!$A$115:$CM$126,62+$A$311,FALSE)*((cubicm/gal)*(day/yr))</f>
        <v>0.57314439933832528</v>
      </c>
      <c r="X379">
        <f>VLOOKUP(W370,'8. Uncertainty Results'!$A$115:$CM$126,63+$A$311,FALSE)*((cubicm/gal)*(day/yr))</f>
        <v>0.60326944977412711</v>
      </c>
      <c r="Y379">
        <f>VLOOKUP(W370,'8. Uncertainty Results'!$A$115:$CM$126,64+$A$311,FALSE)*((cubicm/gal)*(day/yr))</f>
        <v>0.63588027500197419</v>
      </c>
    </row>
    <row r="380" spans="1:25" x14ac:dyDescent="0.2">
      <c r="A380" s="36" t="s">
        <v>439</v>
      </c>
      <c r="B380">
        <f>VLOOKUP(B370,'8. Uncertainty Results'!$A$115:$CM$126,77+$A$311,FALSE)*((cubicm/gal)*(day/yr))/B353</f>
        <v>0</v>
      </c>
      <c r="C380">
        <f>VLOOKUP(B370,'8. Uncertainty Results'!$A$115:$CM$126,78+$A$311,FALSE)*((cubicm/gal)*(day/yr))/C353</f>
        <v>0</v>
      </c>
      <c r="D380">
        <f>VLOOKUP(B370,'8. Uncertainty Results'!$A$115:$CM$126,79+$A$311,FALSE)*((cubicm/gal)*(day/yr))/D353</f>
        <v>0</v>
      </c>
      <c r="E380">
        <f>VLOOKUP(E370,'8. Uncertainty Results'!$A$115:$CM$126,77+$A$311,FALSE)*((cubicm/gal)*(day/yr))</f>
        <v>1.3664101153093977</v>
      </c>
      <c r="F380">
        <f>VLOOKUP(E370,'8. Uncertainty Results'!$A$115:$CM$126,78+$A$311,FALSE)*((cubicm/gal)*(day/yr))</f>
        <v>1.6191860507754456</v>
      </c>
      <c r="G380">
        <f>VLOOKUP(E370,'8. Uncertainty Results'!$A$115:$CM$126,79+$A$311,FALSE)*((cubicm/gal)*(day/yr))</f>
        <v>1.8855299841345459</v>
      </c>
      <c r="H380">
        <f>VLOOKUP(H370,'8. Uncertainty Results'!$A$115:$CM$126,77+$A$311,FALSE)*((cubicm/gal)*(day/yr))</f>
        <v>2.8058679365911989</v>
      </c>
      <c r="I380">
        <f>VLOOKUP(H370,'8. Uncertainty Results'!$A$115:$CM$126,78+$A$311,FALSE)*((cubicm/gal)*(day/yr))</f>
        <v>3.3841749680498459</v>
      </c>
      <c r="J380">
        <f>VLOOKUP(H370,'8. Uncertainty Results'!$A$115:$CM$126,79+$A$311,FALSE)*((cubicm/gal)*(day/yr))</f>
        <v>4.0650832999976485</v>
      </c>
      <c r="K380">
        <f>VLOOKUP(K370,'8. Uncertainty Results'!$A$115:$CM$126,77+$A$311,FALSE)*((cubicm/gal)*(day/yr))</f>
        <v>0</v>
      </c>
      <c r="L380">
        <f>VLOOKUP(K370,'8. Uncertainty Results'!$A$115:$CM$126,78+$A$311,FALSE)*((cubicm/gal)*(day/yr))</f>
        <v>0</v>
      </c>
      <c r="M380">
        <f>VLOOKUP(K370,'8. Uncertainty Results'!$A$115:$CM$126,79+$A$311,FALSE)*((cubicm/gal)*(day/yr))</f>
        <v>0</v>
      </c>
      <c r="N380">
        <f>VLOOKUP(N370,'8. Uncertainty Results'!$A$115:$CM$126,77+$A$311,FALSE)*((cubicm/gal)*(day/yr))</f>
        <v>0</v>
      </c>
      <c r="O380">
        <f>VLOOKUP(N370,'8. Uncertainty Results'!$A$115:$CM$126,78+$A$311,FALSE)*((cubicm/gal)*(day/yr))</f>
        <v>0</v>
      </c>
      <c r="P380">
        <f>VLOOKUP(N370,'8. Uncertainty Results'!$A$115:$CM$126,79+$A$311,FALSE)*((cubicm/gal)*(day/yr))</f>
        <v>0</v>
      </c>
      <c r="Q380">
        <f>VLOOKUP(Q370,'8. Uncertainty Results'!$A$115:$CM$126,77+$A$311,FALSE)*((cubicm/gal)*(day/yr))</f>
        <v>0</v>
      </c>
      <c r="R380">
        <f>VLOOKUP(Q370,'8. Uncertainty Results'!$A$115:$CM$126,78+$A$311,FALSE)*((cubicm/gal)*(day/yr))</f>
        <v>0</v>
      </c>
      <c r="S380">
        <f>VLOOKUP(Q370,'8. Uncertainty Results'!$A$115:$CM$126,79+$A$311,FALSE)*((cubicm/gal)*(day/yr))</f>
        <v>0</v>
      </c>
      <c r="T380">
        <f>VLOOKUP(T370,'8. Uncertainty Results'!$A$115:$CM$126,77+$A$311,FALSE)*((cubicm/gal)*(day/yr))</f>
        <v>0</v>
      </c>
      <c r="U380">
        <f>VLOOKUP(T370,'8. Uncertainty Results'!$A$115:$CM$126,78+$A$311,FALSE)*((cubicm/gal)*(day/yr))</f>
        <v>0</v>
      </c>
      <c r="V380">
        <f>VLOOKUP(T370,'8. Uncertainty Results'!$A$115:$CM$126,79+$A$311,FALSE)*((cubicm/gal)*(day/yr))</f>
        <v>0</v>
      </c>
      <c r="W380">
        <f>VLOOKUP(W370,'8. Uncertainty Results'!$A$115:$CM$126,77+$A$311,FALSE)*((cubicm/gal)*(day/yr))</f>
        <v>2.7963782437561107</v>
      </c>
      <c r="X380">
        <f>VLOOKUP(W370,'8. Uncertainty Results'!$A$115:$CM$126,78+$A$311,FALSE)*((cubicm/gal)*(day/yr))</f>
        <v>3.3866580262255113</v>
      </c>
      <c r="Y380">
        <f>VLOOKUP(W370,'8. Uncertainty Results'!$A$115:$CM$126,79+$A$311,FALSE)*((cubicm/gal)*(day/yr))</f>
        <v>4.0660709127512344</v>
      </c>
    </row>
    <row r="381" spans="1:25" x14ac:dyDescent="0.2">
      <c r="A381" s="36" t="s">
        <v>492</v>
      </c>
      <c r="B381">
        <f>VLOOKUP(B370,'8. Uncertainty Results'!$A$203:$D$215,2,FALSE)/1000000/B353</f>
        <v>19.894933982942813</v>
      </c>
      <c r="C381">
        <f>VLOOKUP(B370,'8. Uncertainty Results'!$A$203:$D$215,3,FALSE)/1000000/C353</f>
        <v>13.901060465083315</v>
      </c>
      <c r="D381">
        <f>VLOOKUP(B370,'8. Uncertainty Results'!$A$203:$D$215,4,FALSE)/1000000/D353</f>
        <v>10.580641884256098</v>
      </c>
      <c r="E381">
        <f>VLOOKUP(E370,'8. Uncertainty Results'!$A$203:$D$215,2,FALSE)/1000000</f>
        <v>30.329777237026992</v>
      </c>
      <c r="F381">
        <f>VLOOKUP(E370,'8. Uncertainty Results'!$A$203:$D$215,3,FALSE)/1000000</f>
        <v>34.810209497471384</v>
      </c>
      <c r="G381">
        <f>VLOOKUP(E370,'8. Uncertainty Results'!$A$203:$D$215,4,FALSE)/1000000</f>
        <v>39.804593895523155</v>
      </c>
      <c r="H381">
        <f>VLOOKUP(H370,'8. Uncertainty Results'!$A$203:$D$215,2,FALSE)/1000000</f>
        <v>0.36684257135850085</v>
      </c>
      <c r="I381">
        <f>VLOOKUP(H370,'8. Uncertainty Results'!$A$203:$D$215,3,FALSE)/1000000</f>
        <v>1.9272387365708405</v>
      </c>
      <c r="J381">
        <f>VLOOKUP(H370,'8. Uncertainty Results'!$A$203:$D$215,4,FALSE)/1000000</f>
        <v>9.7366119085476832</v>
      </c>
      <c r="K381">
        <f>VLOOKUP(K370,'8. Uncertainty Results'!$A$203:$D$215,2,FALSE)/1000000</f>
        <v>28.572915147869598</v>
      </c>
      <c r="L381">
        <f>VLOOKUP(K370,'8. Uncertainty Results'!$A$203:$D$215,3,FALSE)/1000000</f>
        <v>36.784589510791825</v>
      </c>
      <c r="M381">
        <f>VLOOKUP(K370,'8. Uncertainty Results'!$A$203:$D$215,4,FALSE)/1000000</f>
        <v>63.986855731934547</v>
      </c>
      <c r="N381">
        <f>VLOOKUP(N370,'8. Uncertainty Results'!$A$203:$D$215,2,FALSE)/1000000</f>
        <v>12.60217290105447</v>
      </c>
      <c r="O381">
        <f>VLOOKUP(N370,'8. Uncertainty Results'!$A$203:$D$215,3,FALSE)/1000000</f>
        <v>19.226978004610444</v>
      </c>
      <c r="P381">
        <f>VLOOKUP(N370,'8. Uncertainty Results'!$A$203:$D$215,4,FALSE)/1000000</f>
        <v>49.036167912910365</v>
      </c>
      <c r="Q381">
        <f>VLOOKUP(Q370,'8. Uncertainty Results'!$A$203:$D$215,2,FALSE)/1000000</f>
        <v>4.9234855062215894</v>
      </c>
      <c r="R381">
        <f>VLOOKUP(Q370,'8. Uncertainty Results'!$A$203:$D$215,3,FALSE)/1000000</f>
        <v>5.37106142092306</v>
      </c>
      <c r="S381">
        <f>VLOOKUP(Q370,'8. Uncertainty Results'!$A$203:$D$215,4,FALSE)/1000000</f>
        <v>5.8389653933930203</v>
      </c>
      <c r="T381">
        <f>VLOOKUP(T370,'8. Uncertainty Results'!$A$203:$D$215,2,FALSE)/1000000</f>
        <v>3.9079818470785299</v>
      </c>
      <c r="U381">
        <f>VLOOKUP(T370,'8. Uncertainty Results'!$A$203:$D$215,3,FALSE)/1000000</f>
        <v>4.2843021047777894</v>
      </c>
      <c r="V381">
        <f>VLOOKUP(T370,'8. Uncertainty Results'!$A$203:$D$215,4,FALSE)/1000000</f>
        <v>4.6474321803099699</v>
      </c>
      <c r="W381">
        <f>VLOOKUP(W370,'8. Uncertainty Results'!$A$203:$D$215,2,FALSE)/1000000</f>
        <v>0.23425673678805656</v>
      </c>
      <c r="X381">
        <f>VLOOKUP(W370,'8. Uncertainty Results'!$A$203:$D$215,3,FALSE)/1000000</f>
        <v>1.1548930353673985</v>
      </c>
      <c r="Y381">
        <f>VLOOKUP(W370,'8. Uncertainty Results'!$A$203:$D$215,4,FALSE)/1000000</f>
        <v>5.5129749020288967</v>
      </c>
    </row>
  </sheetData>
  <mergeCells count="400">
    <mergeCell ref="Q370:S370"/>
    <mergeCell ref="T370:V370"/>
    <mergeCell ref="W370:Y370"/>
    <mergeCell ref="B371:D371"/>
    <mergeCell ref="E371:G371"/>
    <mergeCell ref="H371:J371"/>
    <mergeCell ref="K371:M371"/>
    <mergeCell ref="N371:P371"/>
    <mergeCell ref="Q371:S371"/>
    <mergeCell ref="T371:V371"/>
    <mergeCell ref="W371:Y371"/>
    <mergeCell ref="B370:D370"/>
    <mergeCell ref="E370:G370"/>
    <mergeCell ref="H370:J370"/>
    <mergeCell ref="K370:M370"/>
    <mergeCell ref="N370:P370"/>
    <mergeCell ref="Q356:S356"/>
    <mergeCell ref="T356:V356"/>
    <mergeCell ref="W356:Y356"/>
    <mergeCell ref="B357:D357"/>
    <mergeCell ref="E357:G357"/>
    <mergeCell ref="H357:J357"/>
    <mergeCell ref="K357:M357"/>
    <mergeCell ref="N357:P357"/>
    <mergeCell ref="Q357:S357"/>
    <mergeCell ref="T357:V357"/>
    <mergeCell ref="W357:Y357"/>
    <mergeCell ref="B356:D356"/>
    <mergeCell ref="E356:G356"/>
    <mergeCell ref="H356:J356"/>
    <mergeCell ref="K356:M356"/>
    <mergeCell ref="N356:P356"/>
    <mergeCell ref="Q340:S340"/>
    <mergeCell ref="T340:V340"/>
    <mergeCell ref="W340:Y340"/>
    <mergeCell ref="B341:D341"/>
    <mergeCell ref="E341:G341"/>
    <mergeCell ref="H341:J341"/>
    <mergeCell ref="K341:M341"/>
    <mergeCell ref="N341:P341"/>
    <mergeCell ref="Q341:S341"/>
    <mergeCell ref="T341:V341"/>
    <mergeCell ref="W341:Y341"/>
    <mergeCell ref="B340:D340"/>
    <mergeCell ref="E340:G340"/>
    <mergeCell ref="H340:J340"/>
    <mergeCell ref="K340:M340"/>
    <mergeCell ref="N340:P340"/>
    <mergeCell ref="Q327:S327"/>
    <mergeCell ref="T327:V327"/>
    <mergeCell ref="W327:Y327"/>
    <mergeCell ref="B328:D328"/>
    <mergeCell ref="E328:G328"/>
    <mergeCell ref="H328:J328"/>
    <mergeCell ref="K328:M328"/>
    <mergeCell ref="N328:P328"/>
    <mergeCell ref="Q328:S328"/>
    <mergeCell ref="T328:V328"/>
    <mergeCell ref="W328:Y328"/>
    <mergeCell ref="B327:D327"/>
    <mergeCell ref="E327:G327"/>
    <mergeCell ref="H327:J327"/>
    <mergeCell ref="K327:M327"/>
    <mergeCell ref="N327:P327"/>
    <mergeCell ref="Q313:S313"/>
    <mergeCell ref="T313:V313"/>
    <mergeCell ref="W313:Y313"/>
    <mergeCell ref="B314:D314"/>
    <mergeCell ref="E314:G314"/>
    <mergeCell ref="H314:J314"/>
    <mergeCell ref="K314:M314"/>
    <mergeCell ref="N314:P314"/>
    <mergeCell ref="Q314:S314"/>
    <mergeCell ref="T314:V314"/>
    <mergeCell ref="W314:Y314"/>
    <mergeCell ref="B313:D313"/>
    <mergeCell ref="E313:G313"/>
    <mergeCell ref="H313:J313"/>
    <mergeCell ref="K313:M313"/>
    <mergeCell ref="N313:P313"/>
    <mergeCell ref="Q294:S294"/>
    <mergeCell ref="T294:V294"/>
    <mergeCell ref="W294:Y294"/>
    <mergeCell ref="B295:D295"/>
    <mergeCell ref="E295:G295"/>
    <mergeCell ref="H295:J295"/>
    <mergeCell ref="K295:M295"/>
    <mergeCell ref="N295:P295"/>
    <mergeCell ref="Q295:S295"/>
    <mergeCell ref="T295:V295"/>
    <mergeCell ref="W295:Y295"/>
    <mergeCell ref="B294:D294"/>
    <mergeCell ref="E294:G294"/>
    <mergeCell ref="H294:J294"/>
    <mergeCell ref="K294:M294"/>
    <mergeCell ref="N294:P294"/>
    <mergeCell ref="Q280:S280"/>
    <mergeCell ref="T280:V280"/>
    <mergeCell ref="W280:Y280"/>
    <mergeCell ref="B281:D281"/>
    <mergeCell ref="E281:G281"/>
    <mergeCell ref="H281:J281"/>
    <mergeCell ref="K281:M281"/>
    <mergeCell ref="N281:P281"/>
    <mergeCell ref="Q281:S281"/>
    <mergeCell ref="T281:V281"/>
    <mergeCell ref="W281:Y281"/>
    <mergeCell ref="B280:D280"/>
    <mergeCell ref="E280:G280"/>
    <mergeCell ref="H280:J280"/>
    <mergeCell ref="K280:M280"/>
    <mergeCell ref="N280:P280"/>
    <mergeCell ref="Q264:S264"/>
    <mergeCell ref="T264:V264"/>
    <mergeCell ref="W264:Y264"/>
    <mergeCell ref="B265:D265"/>
    <mergeCell ref="E265:G265"/>
    <mergeCell ref="H265:J265"/>
    <mergeCell ref="K265:M265"/>
    <mergeCell ref="N265:P265"/>
    <mergeCell ref="Q265:S265"/>
    <mergeCell ref="T265:V265"/>
    <mergeCell ref="W265:Y265"/>
    <mergeCell ref="B264:D264"/>
    <mergeCell ref="E264:G264"/>
    <mergeCell ref="H264:J264"/>
    <mergeCell ref="K264:M264"/>
    <mergeCell ref="N264:P264"/>
    <mergeCell ref="Q251:S251"/>
    <mergeCell ref="T251:V251"/>
    <mergeCell ref="W251:Y251"/>
    <mergeCell ref="B252:D252"/>
    <mergeCell ref="E252:G252"/>
    <mergeCell ref="H252:J252"/>
    <mergeCell ref="K252:M252"/>
    <mergeCell ref="N252:P252"/>
    <mergeCell ref="Q252:S252"/>
    <mergeCell ref="T252:V252"/>
    <mergeCell ref="W252:Y252"/>
    <mergeCell ref="B251:D251"/>
    <mergeCell ref="E251:G251"/>
    <mergeCell ref="H251:J251"/>
    <mergeCell ref="K251:M251"/>
    <mergeCell ref="N251:P251"/>
    <mergeCell ref="Q234:S234"/>
    <mergeCell ref="T234:V234"/>
    <mergeCell ref="W234:Y234"/>
    <mergeCell ref="B235:D235"/>
    <mergeCell ref="E235:G235"/>
    <mergeCell ref="H235:J235"/>
    <mergeCell ref="K235:M235"/>
    <mergeCell ref="N235:P235"/>
    <mergeCell ref="Q235:S235"/>
    <mergeCell ref="T235:V235"/>
    <mergeCell ref="W235:Y235"/>
    <mergeCell ref="B234:D234"/>
    <mergeCell ref="E234:G234"/>
    <mergeCell ref="H234:J234"/>
    <mergeCell ref="K234:M234"/>
    <mergeCell ref="N234:P234"/>
    <mergeCell ref="Q215:S215"/>
    <mergeCell ref="T215:V215"/>
    <mergeCell ref="W215:Y215"/>
    <mergeCell ref="B216:D216"/>
    <mergeCell ref="E216:G216"/>
    <mergeCell ref="H216:J216"/>
    <mergeCell ref="K216:M216"/>
    <mergeCell ref="N216:P216"/>
    <mergeCell ref="Q216:S216"/>
    <mergeCell ref="T216:V216"/>
    <mergeCell ref="W216:Y216"/>
    <mergeCell ref="B215:D215"/>
    <mergeCell ref="E215:G215"/>
    <mergeCell ref="H215:J215"/>
    <mergeCell ref="K215:M215"/>
    <mergeCell ref="N215:P215"/>
    <mergeCell ref="Q201:S201"/>
    <mergeCell ref="T201:V201"/>
    <mergeCell ref="W201:Y201"/>
    <mergeCell ref="B202:D202"/>
    <mergeCell ref="E202:G202"/>
    <mergeCell ref="H202:J202"/>
    <mergeCell ref="K202:M202"/>
    <mergeCell ref="N202:P202"/>
    <mergeCell ref="Q202:S202"/>
    <mergeCell ref="T202:V202"/>
    <mergeCell ref="W202:Y202"/>
    <mergeCell ref="B201:D201"/>
    <mergeCell ref="E201:G201"/>
    <mergeCell ref="H201:J201"/>
    <mergeCell ref="K201:M201"/>
    <mergeCell ref="N201:P201"/>
    <mergeCell ref="Q185:S185"/>
    <mergeCell ref="T185:V185"/>
    <mergeCell ref="W185:Y185"/>
    <mergeCell ref="B186:D186"/>
    <mergeCell ref="E186:G186"/>
    <mergeCell ref="H186:J186"/>
    <mergeCell ref="K186:M186"/>
    <mergeCell ref="N186:P186"/>
    <mergeCell ref="Q186:S186"/>
    <mergeCell ref="T186:V186"/>
    <mergeCell ref="W186:Y186"/>
    <mergeCell ref="B185:D185"/>
    <mergeCell ref="E185:G185"/>
    <mergeCell ref="H185:J185"/>
    <mergeCell ref="K185:M185"/>
    <mergeCell ref="N185:P185"/>
    <mergeCell ref="Q172:S172"/>
    <mergeCell ref="T172:V172"/>
    <mergeCell ref="W172:Y172"/>
    <mergeCell ref="B173:D173"/>
    <mergeCell ref="E173:G173"/>
    <mergeCell ref="H173:J173"/>
    <mergeCell ref="K173:M173"/>
    <mergeCell ref="N173:P173"/>
    <mergeCell ref="Q173:S173"/>
    <mergeCell ref="T173:V173"/>
    <mergeCell ref="W173:Y173"/>
    <mergeCell ref="B172:D172"/>
    <mergeCell ref="E172:G172"/>
    <mergeCell ref="H172:J172"/>
    <mergeCell ref="K172:M172"/>
    <mergeCell ref="N172:P172"/>
    <mergeCell ref="Q156:S156"/>
    <mergeCell ref="T156:V156"/>
    <mergeCell ref="W156:Y156"/>
    <mergeCell ref="B157:D157"/>
    <mergeCell ref="E157:G157"/>
    <mergeCell ref="H157:J157"/>
    <mergeCell ref="K157:M157"/>
    <mergeCell ref="N157:P157"/>
    <mergeCell ref="Q157:S157"/>
    <mergeCell ref="T157:V157"/>
    <mergeCell ref="W157:Y157"/>
    <mergeCell ref="B156:D156"/>
    <mergeCell ref="E156:G156"/>
    <mergeCell ref="H156:J156"/>
    <mergeCell ref="K156:M156"/>
    <mergeCell ref="N156:P156"/>
    <mergeCell ref="Q137:S137"/>
    <mergeCell ref="T137:V137"/>
    <mergeCell ref="W137:Y137"/>
    <mergeCell ref="B138:D138"/>
    <mergeCell ref="E138:G138"/>
    <mergeCell ref="H138:J138"/>
    <mergeCell ref="K138:M138"/>
    <mergeCell ref="N138:P138"/>
    <mergeCell ref="Q138:S138"/>
    <mergeCell ref="T138:V138"/>
    <mergeCell ref="W138:Y138"/>
    <mergeCell ref="B137:D137"/>
    <mergeCell ref="E137:G137"/>
    <mergeCell ref="H137:J137"/>
    <mergeCell ref="K137:M137"/>
    <mergeCell ref="N137:P137"/>
    <mergeCell ref="Q123:S123"/>
    <mergeCell ref="T123:V123"/>
    <mergeCell ref="W123:Y123"/>
    <mergeCell ref="B124:D124"/>
    <mergeCell ref="E124:G124"/>
    <mergeCell ref="H124:J124"/>
    <mergeCell ref="K124:M124"/>
    <mergeCell ref="N124:P124"/>
    <mergeCell ref="Q124:S124"/>
    <mergeCell ref="T124:V124"/>
    <mergeCell ref="W124:Y124"/>
    <mergeCell ref="B123:D123"/>
    <mergeCell ref="E123:G123"/>
    <mergeCell ref="H123:J123"/>
    <mergeCell ref="K123:M123"/>
    <mergeCell ref="N123:P123"/>
    <mergeCell ref="Q107:S107"/>
    <mergeCell ref="T107:V107"/>
    <mergeCell ref="W107:Y107"/>
    <mergeCell ref="B108:D108"/>
    <mergeCell ref="E108:G108"/>
    <mergeCell ref="H108:J108"/>
    <mergeCell ref="K108:M108"/>
    <mergeCell ref="N108:P108"/>
    <mergeCell ref="Q108:S108"/>
    <mergeCell ref="T108:V108"/>
    <mergeCell ref="W108:Y108"/>
    <mergeCell ref="B107:D107"/>
    <mergeCell ref="E107:G107"/>
    <mergeCell ref="H107:J107"/>
    <mergeCell ref="K107:M107"/>
    <mergeCell ref="N107:P107"/>
    <mergeCell ref="Q94:S94"/>
    <mergeCell ref="T94:V94"/>
    <mergeCell ref="W94:Y94"/>
    <mergeCell ref="B95:D95"/>
    <mergeCell ref="E95:G95"/>
    <mergeCell ref="H95:J95"/>
    <mergeCell ref="K95:M95"/>
    <mergeCell ref="N95:P95"/>
    <mergeCell ref="Q95:S95"/>
    <mergeCell ref="T95:V95"/>
    <mergeCell ref="W95:Y95"/>
    <mergeCell ref="B94:D94"/>
    <mergeCell ref="E94:G94"/>
    <mergeCell ref="H94:J94"/>
    <mergeCell ref="K94:M94"/>
    <mergeCell ref="N94:P94"/>
    <mergeCell ref="Q79:S79"/>
    <mergeCell ref="T79:V79"/>
    <mergeCell ref="W79:Y79"/>
    <mergeCell ref="B80:D80"/>
    <mergeCell ref="E80:G80"/>
    <mergeCell ref="H80:J80"/>
    <mergeCell ref="K80:M80"/>
    <mergeCell ref="N80:P80"/>
    <mergeCell ref="Q80:S80"/>
    <mergeCell ref="T80:V80"/>
    <mergeCell ref="W80:Y80"/>
    <mergeCell ref="B79:D79"/>
    <mergeCell ref="E79:G79"/>
    <mergeCell ref="H79:J79"/>
    <mergeCell ref="K79:M79"/>
    <mergeCell ref="N79:P79"/>
    <mergeCell ref="W5:Y5"/>
    <mergeCell ref="B4:D4"/>
    <mergeCell ref="B5:D5"/>
    <mergeCell ref="T4:V4"/>
    <mergeCell ref="W4:Y4"/>
    <mergeCell ref="E5:G5"/>
    <mergeCell ref="H5:J5"/>
    <mergeCell ref="K5:M5"/>
    <mergeCell ref="N5:P5"/>
    <mergeCell ref="Q5:S5"/>
    <mergeCell ref="E4:G4"/>
    <mergeCell ref="H4:J4"/>
    <mergeCell ref="K4:M4"/>
    <mergeCell ref="N4:P4"/>
    <mergeCell ref="Q4:S4"/>
    <mergeCell ref="T5:V5"/>
    <mergeCell ref="W18:Y18"/>
    <mergeCell ref="B19:D19"/>
    <mergeCell ref="E19:G19"/>
    <mergeCell ref="H19:J19"/>
    <mergeCell ref="K19:M19"/>
    <mergeCell ref="N19:P19"/>
    <mergeCell ref="Q19:S19"/>
    <mergeCell ref="T19:V19"/>
    <mergeCell ref="W19:Y19"/>
    <mergeCell ref="B18:D18"/>
    <mergeCell ref="E18:G18"/>
    <mergeCell ref="H18:J18"/>
    <mergeCell ref="K18:M18"/>
    <mergeCell ref="N18:P18"/>
    <mergeCell ref="Q18:S18"/>
    <mergeCell ref="T18:V18"/>
    <mergeCell ref="T47:V47"/>
    <mergeCell ref="W47:Y47"/>
    <mergeCell ref="B48:D48"/>
    <mergeCell ref="E48:G48"/>
    <mergeCell ref="H48:J48"/>
    <mergeCell ref="K48:M48"/>
    <mergeCell ref="N48:P48"/>
    <mergeCell ref="Q48:S48"/>
    <mergeCell ref="T48:V48"/>
    <mergeCell ref="W48:Y48"/>
    <mergeCell ref="B47:D47"/>
    <mergeCell ref="E47:G47"/>
    <mergeCell ref="H47:J47"/>
    <mergeCell ref="K47:M47"/>
    <mergeCell ref="N47:P47"/>
    <mergeCell ref="Q47:S47"/>
    <mergeCell ref="T61:V61"/>
    <mergeCell ref="W61:Y61"/>
    <mergeCell ref="B62:D62"/>
    <mergeCell ref="E62:G62"/>
    <mergeCell ref="H62:J62"/>
    <mergeCell ref="K62:M62"/>
    <mergeCell ref="N62:P62"/>
    <mergeCell ref="Q62:S62"/>
    <mergeCell ref="T62:V62"/>
    <mergeCell ref="W62:Y62"/>
    <mergeCell ref="B61:D61"/>
    <mergeCell ref="E61:G61"/>
    <mergeCell ref="H61:J61"/>
    <mergeCell ref="K61:M61"/>
    <mergeCell ref="N61:P61"/>
    <mergeCell ref="Q61:S61"/>
    <mergeCell ref="W31:Y31"/>
    <mergeCell ref="B32:D32"/>
    <mergeCell ref="E32:G32"/>
    <mergeCell ref="H32:J32"/>
    <mergeCell ref="K32:M32"/>
    <mergeCell ref="N32:P32"/>
    <mergeCell ref="Q32:S32"/>
    <mergeCell ref="T32:V32"/>
    <mergeCell ref="W32:Y32"/>
    <mergeCell ref="B31:D31"/>
    <mergeCell ref="E31:G31"/>
    <mergeCell ref="H31:J31"/>
    <mergeCell ref="K31:M31"/>
    <mergeCell ref="N31:P31"/>
    <mergeCell ref="Q31:S31"/>
    <mergeCell ref="T31:V3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4DA75-878E-B04D-A387-A3630FFD5046}">
  <dimension ref="A2:L46"/>
  <sheetViews>
    <sheetView topLeftCell="H18" workbookViewId="0">
      <selection activeCell="Q13" sqref="Q13"/>
    </sheetView>
  </sheetViews>
  <sheetFormatPr baseColWidth="10" defaultRowHeight="15" x14ac:dyDescent="0.2"/>
  <sheetData>
    <row r="2" spans="1:12" ht="16" thickBot="1" x14ac:dyDescent="0.25">
      <c r="A2" s="32" t="s">
        <v>576</v>
      </c>
    </row>
    <row r="3" spans="1:12" ht="16" thickBot="1" x14ac:dyDescent="0.25">
      <c r="B3" s="334" t="s">
        <v>495</v>
      </c>
      <c r="C3" s="335" t="s">
        <v>496</v>
      </c>
      <c r="D3" s="335" t="s">
        <v>497</v>
      </c>
      <c r="E3" s="335" t="s">
        <v>498</v>
      </c>
      <c r="F3" s="336" t="s">
        <v>499</v>
      </c>
    </row>
    <row r="4" spans="1:12" x14ac:dyDescent="0.2">
      <c r="A4" s="281" t="s">
        <v>493</v>
      </c>
      <c r="B4" s="211">
        <v>1.8530701313360001</v>
      </c>
      <c r="C4">
        <v>3.1497248018273898</v>
      </c>
      <c r="D4">
        <v>2.5239502678413901</v>
      </c>
      <c r="E4">
        <v>1.2105358299090201</v>
      </c>
      <c r="F4" s="139">
        <v>2.3526395951188901</v>
      </c>
    </row>
    <row r="5" spans="1:12" ht="16" thickBot="1" x14ac:dyDescent="0.25">
      <c r="A5" s="206" t="s">
        <v>494</v>
      </c>
      <c r="B5" s="212">
        <v>2.5462904215035298</v>
      </c>
      <c r="C5" s="210">
        <v>3.8411504516660702</v>
      </c>
      <c r="D5" s="210">
        <v>3.1911549420898599</v>
      </c>
      <c r="E5" s="210">
        <v>1.56009193696826</v>
      </c>
      <c r="F5" s="142">
        <v>2.8952195434571801</v>
      </c>
    </row>
    <row r="7" spans="1:12" ht="16" thickBot="1" x14ac:dyDescent="0.25">
      <c r="A7" s="32" t="s">
        <v>500</v>
      </c>
    </row>
    <row r="8" spans="1:12" ht="16" thickBot="1" x14ac:dyDescent="0.25">
      <c r="B8" s="233" t="s">
        <v>495</v>
      </c>
      <c r="C8" s="234" t="s">
        <v>496</v>
      </c>
      <c r="D8" s="234" t="s">
        <v>497</v>
      </c>
      <c r="E8" s="234" t="s">
        <v>498</v>
      </c>
      <c r="F8" s="235" t="s">
        <v>499</v>
      </c>
    </row>
    <row r="9" spans="1:12" x14ac:dyDescent="0.2">
      <c r="A9" s="281" t="s">
        <v>493</v>
      </c>
      <c r="B9" s="253">
        <v>7.8831046625910002</v>
      </c>
      <c r="C9" s="253">
        <v>2.9008085896080398</v>
      </c>
      <c r="D9" s="253">
        <v>-5.4778314891106996</v>
      </c>
      <c r="E9" s="253">
        <v>3.2679547750754501</v>
      </c>
      <c r="F9" s="333">
        <v>1.0848448304915299</v>
      </c>
    </row>
    <row r="10" spans="1:12" ht="16" thickBot="1" x14ac:dyDescent="0.25">
      <c r="A10" s="206" t="s">
        <v>494</v>
      </c>
      <c r="B10" s="210">
        <v>6.0946253735375802</v>
      </c>
      <c r="C10" s="210">
        <v>-2.43115510669625</v>
      </c>
      <c r="D10" s="210">
        <v>-6.3639300714528</v>
      </c>
      <c r="E10" s="210">
        <v>9.1642332444779502</v>
      </c>
      <c r="F10" s="142">
        <v>3.4727521426854802</v>
      </c>
    </row>
    <row r="13" spans="1:12" x14ac:dyDescent="0.2">
      <c r="A13" s="32" t="s">
        <v>548</v>
      </c>
    </row>
    <row r="14" spans="1:12" ht="16" thickBot="1" x14ac:dyDescent="0.25"/>
    <row r="15" spans="1:12" x14ac:dyDescent="0.2">
      <c r="C15" s="233" t="s">
        <v>411</v>
      </c>
      <c r="D15" s="234" t="s">
        <v>411</v>
      </c>
      <c r="E15" s="234" t="s">
        <v>411</v>
      </c>
      <c r="F15" s="234" t="s">
        <v>411</v>
      </c>
      <c r="G15" s="234" t="s">
        <v>411</v>
      </c>
      <c r="H15" s="234" t="s">
        <v>494</v>
      </c>
      <c r="I15" s="234" t="s">
        <v>494</v>
      </c>
      <c r="J15" s="234" t="s">
        <v>494</v>
      </c>
      <c r="K15" s="234" t="s">
        <v>494</v>
      </c>
      <c r="L15" s="235" t="s">
        <v>494</v>
      </c>
    </row>
    <row r="16" spans="1:12" ht="16" thickBot="1" x14ac:dyDescent="0.25">
      <c r="C16" s="337" t="s">
        <v>457</v>
      </c>
      <c r="D16" s="338" t="s">
        <v>550</v>
      </c>
      <c r="E16" s="338" t="s">
        <v>459</v>
      </c>
      <c r="F16" s="338" t="s">
        <v>551</v>
      </c>
      <c r="G16" s="338" t="s">
        <v>461</v>
      </c>
      <c r="H16" s="338" t="s">
        <v>457</v>
      </c>
      <c r="I16" s="338" t="s">
        <v>550</v>
      </c>
      <c r="J16" s="338" t="s">
        <v>459</v>
      </c>
      <c r="K16" s="338" t="s">
        <v>551</v>
      </c>
      <c r="L16" s="339" t="s">
        <v>461</v>
      </c>
    </row>
    <row r="17" spans="1:12" x14ac:dyDescent="0.2">
      <c r="A17" s="332">
        <v>16060011</v>
      </c>
      <c r="B17" s="333" t="s">
        <v>419</v>
      </c>
      <c r="C17" s="253">
        <v>1.66423015873015</v>
      </c>
      <c r="D17" s="253">
        <v>3.3396150793650801</v>
      </c>
      <c r="E17" s="253">
        <v>2.1167777777777701</v>
      </c>
      <c r="F17" s="253">
        <v>1.0039087301587299</v>
      </c>
      <c r="G17" s="253">
        <v>1.9788809523809501</v>
      </c>
      <c r="H17" s="253">
        <v>2.3568095238095199</v>
      </c>
      <c r="I17" s="253">
        <v>3.9679484126984099</v>
      </c>
      <c r="J17" s="253">
        <v>2.44011111111111</v>
      </c>
      <c r="K17" s="253">
        <v>1.3768849206349201</v>
      </c>
      <c r="L17" s="333">
        <v>2.6716984126984098</v>
      </c>
    </row>
    <row r="18" spans="1:12" x14ac:dyDescent="0.2">
      <c r="A18" s="211">
        <v>15030202</v>
      </c>
      <c r="B18" s="139" t="s">
        <v>418</v>
      </c>
      <c r="C18">
        <v>1.6417817460317401</v>
      </c>
      <c r="D18">
        <v>3.3043174603174501</v>
      </c>
      <c r="E18">
        <v>2.0944246031746001</v>
      </c>
      <c r="F18">
        <v>1.01630555555555</v>
      </c>
      <c r="G18">
        <v>1.9611190476190401</v>
      </c>
      <c r="H18">
        <v>2.2997976190476099</v>
      </c>
      <c r="I18">
        <v>3.95566666666666</v>
      </c>
      <c r="J18">
        <v>2.4226388888888799</v>
      </c>
      <c r="K18">
        <v>1.4036865079365</v>
      </c>
      <c r="L18" s="139">
        <v>2.6521507936507902</v>
      </c>
    </row>
    <row r="19" spans="1:12" x14ac:dyDescent="0.2">
      <c r="A19" s="211">
        <v>15030201</v>
      </c>
      <c r="B19" s="139" t="s">
        <v>423</v>
      </c>
      <c r="C19">
        <v>1.5874404761904699</v>
      </c>
      <c r="D19">
        <v>3.4678571428571399</v>
      </c>
      <c r="E19">
        <v>2.4644325396825302</v>
      </c>
      <c r="F19">
        <v>1.09255555555555</v>
      </c>
      <c r="G19">
        <v>2.1810357142857102</v>
      </c>
      <c r="H19">
        <v>2.12220238095238</v>
      </c>
      <c r="I19">
        <v>4.1800396825396797</v>
      </c>
      <c r="J19">
        <v>2.7898293650793602</v>
      </c>
      <c r="K19">
        <v>1.5198174603174499</v>
      </c>
      <c r="L19" s="139">
        <v>3.0481785714285698</v>
      </c>
    </row>
    <row r="20" spans="1:12" x14ac:dyDescent="0.2">
      <c r="A20" s="211">
        <v>18100204</v>
      </c>
      <c r="B20" s="139" t="s">
        <v>539</v>
      </c>
      <c r="C20">
        <v>2.1721825396825398</v>
      </c>
      <c r="D20">
        <v>2.9949404761904699</v>
      </c>
      <c r="E20">
        <v>2.8308015873015799</v>
      </c>
      <c r="F20">
        <v>1.2147738095238001</v>
      </c>
      <c r="G20">
        <v>2.5720000000000001</v>
      </c>
      <c r="H20">
        <v>2.8888492063491999</v>
      </c>
      <c r="I20">
        <v>3.74557539682539</v>
      </c>
      <c r="J20">
        <v>3.6725873015873001</v>
      </c>
      <c r="K20">
        <v>1.69017063492063</v>
      </c>
      <c r="L20" s="139">
        <v>2.9958492063492002</v>
      </c>
    </row>
    <row r="21" spans="1:12" x14ac:dyDescent="0.2">
      <c r="A21" s="211">
        <v>16060013</v>
      </c>
      <c r="B21" s="139" t="s">
        <v>421</v>
      </c>
      <c r="C21">
        <v>1.89567063492063</v>
      </c>
      <c r="D21">
        <v>2.4961984126984098</v>
      </c>
      <c r="E21">
        <v>2.6741587301587302</v>
      </c>
      <c r="F21">
        <v>1.1941269841269799</v>
      </c>
      <c r="G21">
        <v>2.3024841269841199</v>
      </c>
      <c r="H21">
        <v>2.49630555555555</v>
      </c>
      <c r="I21">
        <v>3.3006031746031699</v>
      </c>
      <c r="J21">
        <v>3.5453095238095198</v>
      </c>
      <c r="K21">
        <v>1.5722619047619</v>
      </c>
      <c r="L21" s="139">
        <v>2.6778015873015799</v>
      </c>
    </row>
    <row r="22" spans="1:12" x14ac:dyDescent="0.2">
      <c r="A22" s="211">
        <v>16060003</v>
      </c>
      <c r="B22" s="139" t="s">
        <v>420</v>
      </c>
      <c r="C22">
        <v>2.36386904761904</v>
      </c>
      <c r="D22">
        <v>2.7347460317460301</v>
      </c>
      <c r="E22">
        <v>2.6800595238095202</v>
      </c>
      <c r="F22">
        <v>1.1629444444444399</v>
      </c>
      <c r="G22">
        <v>2.5366904761904698</v>
      </c>
      <c r="H22">
        <v>2.7765674603174602</v>
      </c>
      <c r="I22">
        <v>3.42950793650793</v>
      </c>
      <c r="J22">
        <v>3.4543452380952302</v>
      </c>
      <c r="K22">
        <v>1.4950476190476101</v>
      </c>
      <c r="L22" s="139">
        <v>2.9217301587301501</v>
      </c>
    </row>
    <row r="23" spans="1:12" x14ac:dyDescent="0.2">
      <c r="A23" s="211">
        <v>3050105</v>
      </c>
      <c r="B23" s="139" t="s">
        <v>426</v>
      </c>
      <c r="C23">
        <v>2.12105952380952</v>
      </c>
      <c r="D23">
        <v>2.5860833333333302</v>
      </c>
      <c r="E23">
        <v>2.7977261904761899</v>
      </c>
      <c r="F23">
        <v>1.31765079365079</v>
      </c>
      <c r="G23">
        <v>2.3461706349206302</v>
      </c>
      <c r="H23">
        <v>2.8774880952380899</v>
      </c>
      <c r="I23">
        <v>3.2191785714285701</v>
      </c>
      <c r="J23">
        <v>3.5584404761904702</v>
      </c>
      <c r="K23">
        <v>1.6654285714285699</v>
      </c>
      <c r="L23" s="139">
        <v>2.7750992063491999</v>
      </c>
    </row>
    <row r="24" spans="1:12" x14ac:dyDescent="0.2">
      <c r="A24" s="211">
        <v>16040201</v>
      </c>
      <c r="B24" s="139" t="s">
        <v>417</v>
      </c>
      <c r="C24">
        <v>2.11291269841269</v>
      </c>
      <c r="D24">
        <v>2.5650119047619002</v>
      </c>
      <c r="E24">
        <v>2.76540873015872</v>
      </c>
      <c r="F24">
        <v>1.27353571428571</v>
      </c>
      <c r="G24">
        <v>2.2843611111111102</v>
      </c>
      <c r="H24">
        <v>2.8917222222222199</v>
      </c>
      <c r="I24">
        <v>3.1951706349206299</v>
      </c>
      <c r="J24">
        <v>3.4858849206349198</v>
      </c>
      <c r="K24">
        <v>1.58317857142857</v>
      </c>
      <c r="L24" s="139">
        <v>2.7015039682539599</v>
      </c>
    </row>
    <row r="25" spans="1:12" x14ac:dyDescent="0.2">
      <c r="A25" s="211">
        <v>14030005</v>
      </c>
      <c r="B25" s="139" t="s">
        <v>427</v>
      </c>
      <c r="C25">
        <v>2.0703452380952299</v>
      </c>
      <c r="D25">
        <v>2.6084444444444399</v>
      </c>
      <c r="E25">
        <v>2.8106111111111098</v>
      </c>
      <c r="F25">
        <v>1.33136507936507</v>
      </c>
      <c r="G25">
        <v>2.3234920634920599</v>
      </c>
      <c r="H25">
        <v>2.8332023809523799</v>
      </c>
      <c r="I25">
        <v>3.2349126984126899</v>
      </c>
      <c r="J25">
        <v>3.5972777777777698</v>
      </c>
      <c r="K25">
        <v>1.68656349206349</v>
      </c>
      <c r="L25" s="139">
        <v>2.7571825396825398</v>
      </c>
    </row>
    <row r="26" spans="1:12" x14ac:dyDescent="0.2">
      <c r="A26" s="211">
        <v>3050102</v>
      </c>
      <c r="B26" s="139" t="s">
        <v>425</v>
      </c>
      <c r="C26">
        <v>1.98401984126984</v>
      </c>
      <c r="D26">
        <v>2.5988412698412602</v>
      </c>
      <c r="E26">
        <v>2.77357539682539</v>
      </c>
      <c r="F26">
        <v>1.3096111111111</v>
      </c>
      <c r="G26">
        <v>2.2694087301587298</v>
      </c>
      <c r="H26">
        <v>2.7068769841269802</v>
      </c>
      <c r="I26">
        <v>3.2375317460317401</v>
      </c>
      <c r="J26">
        <v>3.55055952380952</v>
      </c>
      <c r="K26">
        <v>1.67373809523809</v>
      </c>
      <c r="L26" s="139">
        <v>2.7145674603174501</v>
      </c>
    </row>
    <row r="27" spans="1:12" x14ac:dyDescent="0.2">
      <c r="A27" s="211">
        <v>16060010</v>
      </c>
      <c r="B27" s="139" t="s">
        <v>422</v>
      </c>
      <c r="C27">
        <v>1.7514920634920601</v>
      </c>
      <c r="D27">
        <v>2.44543253968253</v>
      </c>
      <c r="E27">
        <v>2.5647976190476101</v>
      </c>
      <c r="F27">
        <v>1.19819047619047</v>
      </c>
      <c r="G27">
        <v>2.1278333333333301</v>
      </c>
      <c r="H27">
        <v>2.3804999999999898</v>
      </c>
      <c r="I27">
        <v>3.17221825396825</v>
      </c>
      <c r="J27">
        <v>3.30880555555555</v>
      </c>
      <c r="K27">
        <v>1.4627936507936401</v>
      </c>
      <c r="L27" s="139">
        <v>2.4719603174603102</v>
      </c>
    </row>
    <row r="28" spans="1:12" ht="16" thickBot="1" x14ac:dyDescent="0.25">
      <c r="A28" s="212">
        <v>11140205</v>
      </c>
      <c r="B28" s="142" t="s">
        <v>424</v>
      </c>
      <c r="C28" s="210">
        <v>1.77747619047619</v>
      </c>
      <c r="D28" s="210">
        <v>2.4199801587301599</v>
      </c>
      <c r="E28" s="210">
        <v>2.4590714285714301</v>
      </c>
      <c r="F28" s="210">
        <v>1.17779761904762</v>
      </c>
      <c r="G28" s="210">
        <v>2.00141666666666</v>
      </c>
      <c r="H28" s="210">
        <v>2.31021428571428</v>
      </c>
      <c r="I28" s="210">
        <v>3.1357738095237999</v>
      </c>
      <c r="J28" s="210">
        <v>3.2093492063492</v>
      </c>
      <c r="K28" s="210">
        <v>1.3216468253968201</v>
      </c>
      <c r="L28" s="142">
        <v>2.2297103174603099</v>
      </c>
    </row>
    <row r="31" spans="1:12" x14ac:dyDescent="0.2">
      <c r="A31" s="32" t="s">
        <v>549</v>
      </c>
    </row>
    <row r="32" spans="1:12" ht="16" thickBot="1" x14ac:dyDescent="0.25"/>
    <row r="33" spans="1:12" x14ac:dyDescent="0.2">
      <c r="C33" s="233" t="s">
        <v>457</v>
      </c>
      <c r="D33" s="234" t="s">
        <v>550</v>
      </c>
      <c r="E33" s="234" t="s">
        <v>459</v>
      </c>
      <c r="F33" s="234" t="s">
        <v>551</v>
      </c>
      <c r="G33" s="234" t="s">
        <v>461</v>
      </c>
      <c r="H33" s="234" t="s">
        <v>457</v>
      </c>
      <c r="I33" s="234" t="s">
        <v>550</v>
      </c>
      <c r="J33" s="234" t="s">
        <v>459</v>
      </c>
      <c r="K33" s="234" t="s">
        <v>551</v>
      </c>
      <c r="L33" s="235" t="s">
        <v>461</v>
      </c>
    </row>
    <row r="34" spans="1:12" ht="16" thickBot="1" x14ac:dyDescent="0.25">
      <c r="C34" s="340" t="s">
        <v>411</v>
      </c>
      <c r="D34" s="341" t="s">
        <v>411</v>
      </c>
      <c r="E34" s="341" t="s">
        <v>411</v>
      </c>
      <c r="F34" s="341" t="s">
        <v>411</v>
      </c>
      <c r="G34" s="341" t="s">
        <v>411</v>
      </c>
      <c r="H34" s="341" t="s">
        <v>494</v>
      </c>
      <c r="I34" s="341" t="s">
        <v>494</v>
      </c>
      <c r="J34" s="341" t="s">
        <v>494</v>
      </c>
      <c r="K34" s="341" t="s">
        <v>494</v>
      </c>
      <c r="L34" s="342" t="s">
        <v>494</v>
      </c>
    </row>
    <row r="35" spans="1:12" x14ac:dyDescent="0.2">
      <c r="A35" s="332">
        <v>16060011</v>
      </c>
      <c r="B35" s="253" t="s">
        <v>419</v>
      </c>
      <c r="C35" s="332">
        <v>9.3798697885048998</v>
      </c>
      <c r="D35" s="253">
        <v>2.69944960066961</v>
      </c>
      <c r="E35" s="253">
        <v>-5.8330846022198903</v>
      </c>
      <c r="F35" s="253">
        <v>7.6829290079141099</v>
      </c>
      <c r="G35" s="253">
        <v>7.7117508095039797</v>
      </c>
      <c r="H35" s="253">
        <v>8.7699141102297808</v>
      </c>
      <c r="I35" s="253">
        <v>0.59967464195999998</v>
      </c>
      <c r="J35" s="253">
        <v>3.3444799638268501</v>
      </c>
      <c r="K35" s="253">
        <v>10.993916501081801</v>
      </c>
      <c r="L35" s="333">
        <v>14.946268275748199</v>
      </c>
    </row>
    <row r="36" spans="1:12" x14ac:dyDescent="0.2">
      <c r="A36" s="211">
        <v>15030202</v>
      </c>
      <c r="B36" t="s">
        <v>418</v>
      </c>
      <c r="C36" s="211">
        <v>8.9168572521468192</v>
      </c>
      <c r="D36">
        <v>2.0497129387288799</v>
      </c>
      <c r="E36">
        <v>-5.6022050514271999</v>
      </c>
      <c r="F36">
        <v>7.1522319690745704</v>
      </c>
      <c r="G36">
        <v>6.1953694879517798</v>
      </c>
      <c r="H36">
        <v>10.0556922906905</v>
      </c>
      <c r="I36">
        <v>-1.01698440422285</v>
      </c>
      <c r="J36">
        <v>2.0983505764643899</v>
      </c>
      <c r="K36">
        <v>9.7070220718431592</v>
      </c>
      <c r="L36" s="139">
        <v>14.742051009592901</v>
      </c>
    </row>
    <row r="37" spans="1:12" x14ac:dyDescent="0.2">
      <c r="A37" s="211">
        <v>15030201</v>
      </c>
      <c r="B37" t="s">
        <v>423</v>
      </c>
      <c r="C37" s="211">
        <v>-0.27045654572087102</v>
      </c>
      <c r="D37">
        <v>-2.10831946273905</v>
      </c>
      <c r="E37">
        <v>-8.8257714644213596</v>
      </c>
      <c r="F37">
        <v>7.9586863226164599</v>
      </c>
      <c r="G37">
        <v>-8.9976724055780402</v>
      </c>
      <c r="H37">
        <v>5.2718405184298698</v>
      </c>
      <c r="I37">
        <v>-11.445577235297099</v>
      </c>
      <c r="J37">
        <v>-15.167010328421499</v>
      </c>
      <c r="K37">
        <v>13.9120247659838</v>
      </c>
      <c r="L37" s="139">
        <v>0.256463457371221</v>
      </c>
    </row>
    <row r="38" spans="1:12" x14ac:dyDescent="0.2">
      <c r="A38" s="211">
        <v>18100204</v>
      </c>
      <c r="B38" t="s">
        <v>539</v>
      </c>
      <c r="C38" s="211">
        <v>6.0267251035864904</v>
      </c>
      <c r="D38">
        <v>-3.3011367944787402</v>
      </c>
      <c r="E38">
        <v>-4.4863162182531697</v>
      </c>
      <c r="F38">
        <v>0.46072783380677701</v>
      </c>
      <c r="G38">
        <v>-0.21042927190775701</v>
      </c>
      <c r="H38">
        <v>14.7585448777282</v>
      </c>
      <c r="I38">
        <v>-7.1418530927889101</v>
      </c>
      <c r="J38">
        <v>-18.018892699968902</v>
      </c>
      <c r="K38">
        <v>18.124072720351901</v>
      </c>
      <c r="L38" s="139">
        <v>-1.12758745837732</v>
      </c>
    </row>
    <row r="39" spans="1:12" x14ac:dyDescent="0.2">
      <c r="A39" s="211">
        <v>16060013</v>
      </c>
      <c r="B39" t="s">
        <v>421</v>
      </c>
      <c r="C39" s="211">
        <v>4.72067326769956</v>
      </c>
      <c r="D39">
        <v>-6.7451867932926998E-2</v>
      </c>
      <c r="E39">
        <v>-12.8316859896249</v>
      </c>
      <c r="F39">
        <v>-3.7906833529170298</v>
      </c>
      <c r="G39">
        <v>-2.49284745165123</v>
      </c>
      <c r="H39">
        <v>6.5516996437792798</v>
      </c>
      <c r="I39">
        <v>-13.1110333605261</v>
      </c>
      <c r="J39">
        <v>-26.0493447817713</v>
      </c>
      <c r="K39">
        <v>6.0945101953178398</v>
      </c>
      <c r="L39" s="139">
        <v>4.4951539273494499</v>
      </c>
    </row>
    <row r="40" spans="1:12" x14ac:dyDescent="0.2">
      <c r="A40" s="211">
        <v>16060003</v>
      </c>
      <c r="B40" t="s">
        <v>420</v>
      </c>
      <c r="C40" s="211">
        <v>21.200106041582</v>
      </c>
      <c r="D40">
        <v>1.74528277350612</v>
      </c>
      <c r="E40">
        <v>-7.3525858302207103</v>
      </c>
      <c r="F40">
        <v>-5.5948590043227199E-2</v>
      </c>
      <c r="G40">
        <v>5.0958600728278398</v>
      </c>
      <c r="H40">
        <v>18.8110896327101</v>
      </c>
      <c r="I40">
        <v>1.04015046902236</v>
      </c>
      <c r="J40">
        <v>-0.48472688943699299</v>
      </c>
      <c r="K40">
        <v>9.3139792427347601</v>
      </c>
      <c r="L40" s="139">
        <v>4.66112016282257</v>
      </c>
    </row>
    <row r="41" spans="1:12" x14ac:dyDescent="0.2">
      <c r="A41" s="211">
        <v>3050105</v>
      </c>
      <c r="B41" t="s">
        <v>426</v>
      </c>
      <c r="C41" s="211">
        <v>11.873649273619501</v>
      </c>
      <c r="D41">
        <v>4.80560597291975</v>
      </c>
      <c r="E41">
        <v>-5.6328035209251004</v>
      </c>
      <c r="F41">
        <v>0.87735541270974804</v>
      </c>
      <c r="G41">
        <v>17.168475455489698</v>
      </c>
      <c r="H41">
        <v>6.1339852216833002</v>
      </c>
      <c r="I41">
        <v>-1.83941827050194</v>
      </c>
      <c r="J41">
        <v>0.94196318248325495</v>
      </c>
      <c r="K41">
        <v>13.3361801721455</v>
      </c>
      <c r="L41" s="139">
        <v>12.801126695938599</v>
      </c>
    </row>
    <row r="42" spans="1:12" x14ac:dyDescent="0.2">
      <c r="A42" s="211">
        <v>16040201</v>
      </c>
      <c r="B42" t="s">
        <v>417</v>
      </c>
      <c r="C42" s="211">
        <v>16.214789841829901</v>
      </c>
      <c r="D42">
        <v>4.9308572591387696</v>
      </c>
      <c r="E42">
        <v>-4.8524746510480803</v>
      </c>
      <c r="F42">
        <v>-0.16148627844012001</v>
      </c>
      <c r="G42">
        <v>17.748718647456101</v>
      </c>
      <c r="H42">
        <v>9.2323607872791698</v>
      </c>
      <c r="I42">
        <v>-5.2929604243083901</v>
      </c>
      <c r="J42">
        <v>6.1661973933032499</v>
      </c>
      <c r="K42">
        <v>17.516606777861998</v>
      </c>
      <c r="L42" s="139">
        <v>10.454016448489799</v>
      </c>
    </row>
    <row r="43" spans="1:12" x14ac:dyDescent="0.2">
      <c r="A43" s="211">
        <v>14030005</v>
      </c>
      <c r="B43" t="s">
        <v>427</v>
      </c>
      <c r="C43" s="211">
        <v>14.049163380874401</v>
      </c>
      <c r="D43">
        <v>8.0423342039739101</v>
      </c>
      <c r="E43">
        <v>-3.9339388812087699</v>
      </c>
      <c r="F43">
        <v>0.90155125215452603</v>
      </c>
      <c r="G43">
        <v>16.029221937668499</v>
      </c>
      <c r="H43">
        <v>4.0891940671464804</v>
      </c>
      <c r="I43">
        <v>2.5362258563609599</v>
      </c>
      <c r="J43">
        <v>1.9469799407292001</v>
      </c>
      <c r="K43">
        <v>12.0475852512758</v>
      </c>
      <c r="L43" s="139">
        <v>14.131421573151901</v>
      </c>
    </row>
    <row r="44" spans="1:12" x14ac:dyDescent="0.2">
      <c r="A44" s="211">
        <v>3050102</v>
      </c>
      <c r="B44" t="s">
        <v>425</v>
      </c>
      <c r="C44" s="211">
        <v>20.655837457274998</v>
      </c>
      <c r="D44">
        <v>9.9443796103057895</v>
      </c>
      <c r="E44">
        <v>-3.7008403870090101</v>
      </c>
      <c r="F44">
        <v>-0.235399563794606</v>
      </c>
      <c r="G44">
        <v>17.2664811750819</v>
      </c>
      <c r="H44">
        <v>8.9250654839154393</v>
      </c>
      <c r="I44">
        <v>3.1992803325711199</v>
      </c>
      <c r="J44">
        <v>3.8400840651274102</v>
      </c>
      <c r="K44">
        <v>15.876239926232699</v>
      </c>
      <c r="L44" s="139">
        <v>15.049809745100699</v>
      </c>
    </row>
    <row r="45" spans="1:12" x14ac:dyDescent="0.2">
      <c r="A45" s="211">
        <v>16060010</v>
      </c>
      <c r="B45" t="s">
        <v>422</v>
      </c>
      <c r="C45" s="211">
        <v>26.285928738575599</v>
      </c>
      <c r="D45">
        <v>7.0940958446583098</v>
      </c>
      <c r="E45">
        <v>-7.50914891809167</v>
      </c>
      <c r="F45">
        <v>-8.6095032248325207</v>
      </c>
      <c r="G45">
        <v>-4.8054133756214403</v>
      </c>
      <c r="H45">
        <v>7.0508736851621698</v>
      </c>
      <c r="I45">
        <v>-11.094280450812599</v>
      </c>
      <c r="J45">
        <v>-3.6421177510588301</v>
      </c>
      <c r="K45">
        <v>16.406692729485201</v>
      </c>
      <c r="L45" s="139">
        <v>-10.2454027075353</v>
      </c>
    </row>
    <row r="46" spans="1:12" ht="16" thickBot="1" x14ac:dyDescent="0.25">
      <c r="A46" s="212">
        <v>11140205</v>
      </c>
      <c r="B46" s="210" t="s">
        <v>424</v>
      </c>
      <c r="C46" s="212">
        <v>20.3000138719106</v>
      </c>
      <c r="D46" s="210">
        <v>16.686853495445401</v>
      </c>
      <c r="E46" s="210">
        <v>-1.2646746160703699</v>
      </c>
      <c r="F46" s="210">
        <v>-19.741842553325299</v>
      </c>
      <c r="G46" s="210">
        <v>-10.3316549942866</v>
      </c>
      <c r="H46" s="210">
        <v>13.0445538728421</v>
      </c>
      <c r="I46" s="210">
        <v>-0.130603361065636</v>
      </c>
      <c r="J46" s="210">
        <v>-8.3136367315845892</v>
      </c>
      <c r="K46" s="210">
        <v>-4.1758794998873601</v>
      </c>
      <c r="L46" s="142">
        <v>-10.609679132342199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19CF-DCD1-674B-81DA-00DDE042205E}">
  <dimension ref="A2:F16"/>
  <sheetViews>
    <sheetView workbookViewId="0">
      <selection activeCell="I13" sqref="I13"/>
    </sheetView>
  </sheetViews>
  <sheetFormatPr baseColWidth="10" defaultRowHeight="15" x14ac:dyDescent="0.2"/>
  <cols>
    <col min="1" max="1" width="13.83203125" customWidth="1"/>
    <col min="2" max="2" width="18.6640625" bestFit="1" customWidth="1"/>
    <col min="3" max="4" width="12.1640625" bestFit="1" customWidth="1"/>
  </cols>
  <sheetData>
    <row r="2" spans="1:6" ht="16" thickBot="1" x14ac:dyDescent="0.25">
      <c r="A2" s="32" t="s">
        <v>577</v>
      </c>
    </row>
    <row r="3" spans="1:6" ht="16" thickBot="1" x14ac:dyDescent="0.25">
      <c r="A3" s="193" t="s">
        <v>444</v>
      </c>
      <c r="B3" s="195" t="s">
        <v>445</v>
      </c>
      <c r="C3" s="195" t="s">
        <v>446</v>
      </c>
      <c r="D3" s="196" t="s">
        <v>447</v>
      </c>
      <c r="F3" s="38" t="s">
        <v>443</v>
      </c>
    </row>
    <row r="4" spans="1:6" x14ac:dyDescent="0.2">
      <c r="A4" s="205" t="s">
        <v>448</v>
      </c>
      <c r="B4">
        <v>1.6870000000000001</v>
      </c>
      <c r="C4">
        <v>0.98099999999999998</v>
      </c>
      <c r="D4" s="139">
        <v>9.7000000000000003E-2</v>
      </c>
    </row>
    <row r="5" spans="1:6" ht="16" thickBot="1" x14ac:dyDescent="0.25">
      <c r="A5" s="206" t="s">
        <v>449</v>
      </c>
      <c r="B5" s="210">
        <v>0.92300000000000004</v>
      </c>
      <c r="C5" s="210">
        <v>7.2999999999999995E-2</v>
      </c>
      <c r="D5" s="142">
        <f>0.00000000000078</f>
        <v>7.8000000000000001E-13</v>
      </c>
    </row>
    <row r="7" spans="1:6" ht="16" thickBot="1" x14ac:dyDescent="0.25">
      <c r="A7" s="32" t="s">
        <v>578</v>
      </c>
    </row>
    <row r="8" spans="1:6" ht="16" thickBot="1" x14ac:dyDescent="0.25">
      <c r="A8" s="193" t="s">
        <v>444</v>
      </c>
      <c r="B8" s="195" t="s">
        <v>445</v>
      </c>
      <c r="C8" s="195" t="s">
        <v>446</v>
      </c>
      <c r="D8" s="196" t="s">
        <v>447</v>
      </c>
      <c r="F8" s="38" t="s">
        <v>443</v>
      </c>
    </row>
    <row r="9" spans="1:6" x14ac:dyDescent="0.2">
      <c r="A9" s="205" t="s">
        <v>448</v>
      </c>
      <c r="B9">
        <v>4.4390000000000001</v>
      </c>
      <c r="C9">
        <v>0.64200000000000002</v>
      </c>
      <c r="D9" s="245">
        <f>0.000000038</f>
        <v>3.8000000000000003E-8</v>
      </c>
    </row>
    <row r="10" spans="1:6" x14ac:dyDescent="0.2">
      <c r="A10" s="205" t="s">
        <v>449</v>
      </c>
      <c r="B10">
        <v>0.374</v>
      </c>
      <c r="C10">
        <v>4.2000000000000003E-2</v>
      </c>
      <c r="D10" s="139">
        <f>0.00000000017</f>
        <v>1.7000000000000001E-10</v>
      </c>
    </row>
    <row r="11" spans="1:6" ht="16" thickBot="1" x14ac:dyDescent="0.25">
      <c r="A11" s="206" t="s">
        <v>451</v>
      </c>
      <c r="B11" s="210">
        <v>0.61</v>
      </c>
      <c r="C11" s="210">
        <v>0.11700000000000001</v>
      </c>
      <c r="D11" s="246">
        <f>0.0000074</f>
        <v>7.4000000000000003E-6</v>
      </c>
    </row>
    <row r="13" spans="1:6" ht="18" thickBot="1" x14ac:dyDescent="0.25">
      <c r="A13" s="32" t="s">
        <v>579</v>
      </c>
    </row>
    <row r="14" spans="1:6" ht="18" thickBot="1" x14ac:dyDescent="0.25">
      <c r="A14" s="193" t="s">
        <v>452</v>
      </c>
      <c r="B14" s="195" t="s">
        <v>455</v>
      </c>
      <c r="C14" s="196" t="s">
        <v>450</v>
      </c>
    </row>
    <row r="15" spans="1:6" x14ac:dyDescent="0.2">
      <c r="A15" s="205" t="s">
        <v>453</v>
      </c>
      <c r="B15">
        <v>0.85</v>
      </c>
      <c r="C15" s="139">
        <v>46</v>
      </c>
    </row>
    <row r="16" spans="1:6" ht="16" thickBot="1" x14ac:dyDescent="0.25">
      <c r="A16" s="206" t="s">
        <v>454</v>
      </c>
      <c r="B16" s="210">
        <v>0.68</v>
      </c>
      <c r="C16" s="142">
        <v>43</v>
      </c>
    </row>
  </sheetData>
  <hyperlinks>
    <hyperlink ref="F3" r:id="rId1" xr:uid="{1AF0A076-F90C-7C40-B615-5A77EFB3E063}"/>
    <hyperlink ref="F8" r:id="rId2" xr:uid="{DDFAD0EA-FB59-9241-90F0-748A533133B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6C1E2-3A52-3846-A8DF-90D2F391377C}">
  <dimension ref="A1:B26"/>
  <sheetViews>
    <sheetView workbookViewId="0">
      <selection activeCell="A23" sqref="A23"/>
    </sheetView>
  </sheetViews>
  <sheetFormatPr baseColWidth="10" defaultRowHeight="15" x14ac:dyDescent="0.2"/>
  <cols>
    <col min="2" max="2" width="15" bestFit="1" customWidth="1"/>
  </cols>
  <sheetData>
    <row r="1" spans="1:2" x14ac:dyDescent="0.2">
      <c r="A1" s="32" t="s">
        <v>200</v>
      </c>
    </row>
    <row r="2" spans="1:2" ht="16" thickBot="1" x14ac:dyDescent="0.25"/>
    <row r="3" spans="1:2" x14ac:dyDescent="0.2">
      <c r="A3" s="477" t="s">
        <v>201</v>
      </c>
      <c r="B3" s="473"/>
    </row>
    <row r="4" spans="1:2" x14ac:dyDescent="0.2">
      <c r="A4" s="211">
        <v>1</v>
      </c>
      <c r="B4" s="139" t="s">
        <v>202</v>
      </c>
    </row>
    <row r="5" spans="1:2" x14ac:dyDescent="0.2">
      <c r="A5" s="211">
        <v>365</v>
      </c>
      <c r="B5" s="139" t="s">
        <v>203</v>
      </c>
    </row>
    <row r="6" spans="1:2" x14ac:dyDescent="0.2">
      <c r="A6" s="211">
        <f>24*A5</f>
        <v>8760</v>
      </c>
      <c r="B6" s="139" t="s">
        <v>204</v>
      </c>
    </row>
    <row r="7" spans="1:2" x14ac:dyDescent="0.2">
      <c r="A7" s="211">
        <f>A6*60</f>
        <v>525600</v>
      </c>
      <c r="B7" s="139" t="s">
        <v>205</v>
      </c>
    </row>
    <row r="8" spans="1:2" ht="16" thickBot="1" x14ac:dyDescent="0.25">
      <c r="A8" s="212">
        <f>A7*60</f>
        <v>31536000</v>
      </c>
      <c r="B8" s="142" t="s">
        <v>206</v>
      </c>
    </row>
    <row r="9" spans="1:2" ht="16" thickBot="1" x14ac:dyDescent="0.25"/>
    <row r="10" spans="1:2" ht="16" thickBot="1" x14ac:dyDescent="0.25">
      <c r="A10" s="436" t="s">
        <v>207</v>
      </c>
      <c r="B10" s="437"/>
    </row>
    <row r="11" spans="1:2" x14ac:dyDescent="0.2">
      <c r="A11" s="211">
        <v>1</v>
      </c>
      <c r="B11" s="139" t="s">
        <v>208</v>
      </c>
    </row>
    <row r="12" spans="1:2" x14ac:dyDescent="0.2">
      <c r="A12" s="211">
        <v>1.1023099999999999</v>
      </c>
      <c r="B12" s="139" t="s">
        <v>209</v>
      </c>
    </row>
    <row r="13" spans="1:2" ht="16" thickBot="1" x14ac:dyDescent="0.25">
      <c r="A13" s="212">
        <v>1000</v>
      </c>
      <c r="B13" s="142" t="s">
        <v>32</v>
      </c>
    </row>
    <row r="14" spans="1:2" ht="16" thickBot="1" x14ac:dyDescent="0.25"/>
    <row r="15" spans="1:2" ht="16" thickBot="1" x14ac:dyDescent="0.25">
      <c r="A15" s="436" t="s">
        <v>210</v>
      </c>
      <c r="B15" s="437"/>
    </row>
    <row r="16" spans="1:2" x14ac:dyDescent="0.2">
      <c r="A16" s="211">
        <v>1</v>
      </c>
      <c r="B16" s="139" t="s">
        <v>14</v>
      </c>
    </row>
    <row r="17" spans="1:2" x14ac:dyDescent="0.2">
      <c r="A17" s="211">
        <v>1000</v>
      </c>
      <c r="B17" s="139" t="s">
        <v>211</v>
      </c>
    </row>
    <row r="18" spans="1:2" x14ac:dyDescent="0.2">
      <c r="A18" s="211">
        <v>264.17200000000003</v>
      </c>
      <c r="B18" s="139" t="s">
        <v>212</v>
      </c>
    </row>
    <row r="19" spans="1:2" x14ac:dyDescent="0.2">
      <c r="A19" s="211">
        <v>35.314700000000002</v>
      </c>
      <c r="B19" s="139" t="s">
        <v>277</v>
      </c>
    </row>
    <row r="20" spans="1:2" ht="16" thickBot="1" x14ac:dyDescent="0.25">
      <c r="A20" s="212">
        <v>8.1071400000000003E-4</v>
      </c>
      <c r="B20" s="142" t="s">
        <v>391</v>
      </c>
    </row>
    <row r="21" spans="1:2" ht="16" thickBot="1" x14ac:dyDescent="0.25"/>
    <row r="22" spans="1:2" ht="16" thickBot="1" x14ac:dyDescent="0.25">
      <c r="A22" s="436" t="s">
        <v>580</v>
      </c>
      <c r="B22" s="437"/>
    </row>
    <row r="23" spans="1:2" x14ac:dyDescent="0.2">
      <c r="A23" s="211">
        <v>1</v>
      </c>
      <c r="B23" s="139" t="s">
        <v>311</v>
      </c>
    </row>
    <row r="24" spans="1:2" x14ac:dyDescent="0.2">
      <c r="A24" s="211">
        <v>5.3230000000000004</v>
      </c>
      <c r="B24" s="139" t="s">
        <v>130</v>
      </c>
    </row>
    <row r="25" spans="1:2" x14ac:dyDescent="0.2">
      <c r="A25" s="211">
        <v>2.153</v>
      </c>
      <c r="B25" s="139" t="s">
        <v>312</v>
      </c>
    </row>
    <row r="26" spans="1:2" ht="16" thickBot="1" x14ac:dyDescent="0.25">
      <c r="A26" s="212">
        <v>3.448</v>
      </c>
      <c r="B26" s="142" t="s">
        <v>131</v>
      </c>
    </row>
  </sheetData>
  <mergeCells count="4">
    <mergeCell ref="A3:B3"/>
    <mergeCell ref="A10:B10"/>
    <mergeCell ref="A15:B15"/>
    <mergeCell ref="A22:B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29AB3A-1F98-2649-931F-62A14854D3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13</vt:i4>
      </vt:variant>
      <vt:variant>
        <vt:lpstr>Named Ranges</vt:lpstr>
      </vt:variant>
      <vt:variant>
        <vt:i4>17</vt:i4>
      </vt:variant>
    </vt:vector>
  </HeadingPairs>
  <TitlesOfParts>
    <vt:vector size="30" baseType="lpstr">
      <vt:lpstr>1. Introduction &amp; Notes</vt:lpstr>
      <vt:lpstr>2. Lithium Content in Resources</vt:lpstr>
      <vt:lpstr>3. Literature LCI Values</vt:lpstr>
      <vt:lpstr>4. Proposed Mine LOM &amp; Resource</vt:lpstr>
      <vt:lpstr>5. Proposed Mine Water Data</vt:lpstr>
      <vt:lpstr>6. Proposed Mine LCI Values</vt:lpstr>
      <vt:lpstr>7. Operating Mines Data</vt:lpstr>
      <vt:lpstr>8. Uncertainty Results</vt:lpstr>
      <vt:lpstr>9. Net Water Avail Vis</vt:lpstr>
      <vt:lpstr>10. Water Demand Vis</vt:lpstr>
      <vt:lpstr>11. Temp and Precip Change</vt:lpstr>
      <vt:lpstr>12. Regressions &amp; Equations</vt:lpstr>
      <vt:lpstr>13. Conversions</vt:lpstr>
      <vt:lpstr>acreft</vt:lpstr>
      <vt:lpstr>cubicft</vt:lpstr>
      <vt:lpstr>cubicm</vt:lpstr>
      <vt:lpstr>day</vt:lpstr>
      <vt:lpstr>gal</vt:lpstr>
      <vt:lpstr>hr</vt:lpstr>
      <vt:lpstr>kg</vt:lpstr>
      <vt:lpstr>lce</vt:lpstr>
      <vt:lpstr>lhe</vt:lpstr>
      <vt:lpstr>li</vt:lpstr>
      <vt:lpstr>li2o</vt:lpstr>
      <vt:lpstr>liter</vt:lpstr>
      <vt:lpstr>min</vt:lpstr>
      <vt:lpstr>sec</vt:lpstr>
      <vt:lpstr>ston</vt:lpstr>
      <vt:lpstr>ton</vt:lpstr>
      <vt:lpstr>yr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Jenna Trost</cp:lastModifiedBy>
  <cp:revision/>
  <dcterms:created xsi:type="dcterms:W3CDTF">2025-01-24T01:25:32Z</dcterms:created>
  <dcterms:modified xsi:type="dcterms:W3CDTF">2026-02-04T20:38:21Z</dcterms:modified>
  <cp:category/>
  <cp:contentStatus/>
</cp:coreProperties>
</file>